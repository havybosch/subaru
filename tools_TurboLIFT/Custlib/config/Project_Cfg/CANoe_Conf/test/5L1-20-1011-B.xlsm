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yga1hc\Documents\Macro\"/>
    </mc:Choice>
  </mc:AlternateContent>
  <xr:revisionPtr revIDLastSave="0" documentId="13_ncr:1_{A728731C-092C-4654-9663-2BB23AFDBB48}" xr6:coauthVersionLast="45" xr6:coauthVersionMax="45" xr10:uidLastSave="{00000000-0000-0000-0000-000000000000}"/>
  <bookViews>
    <workbookView xWindow="7170" yWindow="4740" windowWidth="19785" windowHeight="12855" tabRatio="921" firstSheet="10" activeTab="15" xr2:uid="{00000000-000D-0000-FFFF-FFFF00000000}"/>
  </bookViews>
  <sheets>
    <sheet name="Cover" sheetId="37" r:id="rId1"/>
    <sheet name="TOC" sheetId="3" r:id="rId2"/>
    <sheet name="Intro" sheetId="4" r:id="rId3"/>
    <sheet name="EnvEval" sheetId="30" r:id="rId4"/>
    <sheet name="DesignVal" sheetId="6" r:id="rId5"/>
    <sheet name="SpecsDescRules" sheetId="31" r:id="rId6"/>
    <sheet name="FuncEvalItems_Aggregate" sheetId="25" r:id="rId7"/>
    <sheet name="FuncEvalItems_Aggregate_All" sheetId="36" r:id="rId8"/>
    <sheet name="DetailedManual_M1_M8" sheetId="19" r:id="rId9"/>
    <sheet name="DetailedManual_M9_M17" sheetId="21" r:id="rId10"/>
    <sheet name="DetailedManual_M18_M27" sheetId="22" r:id="rId11"/>
    <sheet name="DetailedManual_M28_M37" sheetId="23" r:id="rId12"/>
    <sheet name="DetailedManual_M38_M45" sheetId="26" r:id="rId13"/>
    <sheet name="DetailedManual_M46_M54" sheetId="32" r:id="rId14"/>
    <sheet name="DetailedManual_M55" sheetId="33" r:id="rId15"/>
    <sheet name="OutputSettings" sheetId="16" r:id="rId16"/>
    <sheet name="CmdList" sheetId="17" r:id="rId17"/>
    <sheet name="cinTemplate" sheetId="34" r:id="rId18"/>
    <sheet name="xmlTemplate" sheetId="35" r:id="rId19"/>
    <sheet name="ChangeHistory" sheetId="38" r:id="rId20"/>
  </sheets>
  <functionGroups builtInGroupCount="19"/>
  <externalReferences>
    <externalReference r:id="rId21"/>
    <externalReference r:id="rId22"/>
    <externalReference r:id="rId23"/>
  </externalReferences>
  <definedNames>
    <definedName name="_ABS2" localSheetId="19" hidden="1">{#N/A,#N/A,TRUE,"P2_HDR.XLS";#N/A,#N/A,TRUE,"content.xls";#N/A,#N/A,TRUE,"P2_MSGS";#N/A,#N/A,TRUE,"P2_DS.XLS";#N/A,#N/A,TRUE,"P2_TST.XLS";#N/A,#N/A,TRUE,"P2_CMD.XLS";#N/A,#N/A,TRUE,"P2_PID.XLS";#N/A,#N/A,TRUE,"P2_DMR.XLS";#N/A,#N/A,TRUE,"P2_DTC.XLS";#N/A,#N/A,TRUE,"P2_CNFG.XLS";#N/A,#N/A,TRUE,"P2_OVR.XLS";#N/A,#N/A,TRUE,"P2_REV.XLS"}</definedName>
    <definedName name="_ABS2" localSheetId="0" hidden="1">{#N/A,#N/A,TRUE,"P2_HDR.XLS";#N/A,#N/A,TRUE,"content.xls";#N/A,#N/A,TRUE,"P2_MSGS";#N/A,#N/A,TRUE,"P2_DS.XLS";#N/A,#N/A,TRUE,"P2_TST.XLS";#N/A,#N/A,TRUE,"P2_CMD.XLS";#N/A,#N/A,TRUE,"P2_PID.XLS";#N/A,#N/A,TRUE,"P2_DMR.XLS";#N/A,#N/A,TRUE,"P2_DTC.XLS";#N/A,#N/A,TRUE,"P2_CNFG.XLS";#N/A,#N/A,TRUE,"P2_OVR.XLS";#N/A,#N/A,TRUE,"P2_REV.XLS"}</definedName>
    <definedName name="_ABS2" localSheetId="8" hidden="1">{#N/A,#N/A,TRUE,"P2_HDR.XLS";#N/A,#N/A,TRUE,"content.xls";#N/A,#N/A,TRUE,"P2_MSGS";#N/A,#N/A,TRUE,"P2_DS.XLS";#N/A,#N/A,TRUE,"P2_TST.XLS";#N/A,#N/A,TRUE,"P2_CMD.XLS";#N/A,#N/A,TRUE,"P2_PID.XLS";#N/A,#N/A,TRUE,"P2_DMR.XLS";#N/A,#N/A,TRUE,"P2_DTC.XLS";#N/A,#N/A,TRUE,"P2_CNFG.XLS";#N/A,#N/A,TRUE,"P2_OVR.XLS";#N/A,#N/A,TRUE,"P2_REV.XLS"}</definedName>
    <definedName name="_ABS2" localSheetId="10" hidden="1">{#N/A,#N/A,TRUE,"P2_HDR.XLS";#N/A,#N/A,TRUE,"content.xls";#N/A,#N/A,TRUE,"P2_MSGS";#N/A,#N/A,TRUE,"P2_DS.XLS";#N/A,#N/A,TRUE,"P2_TST.XLS";#N/A,#N/A,TRUE,"P2_CMD.XLS";#N/A,#N/A,TRUE,"P2_PID.XLS";#N/A,#N/A,TRUE,"P2_DMR.XLS";#N/A,#N/A,TRUE,"P2_DTC.XLS";#N/A,#N/A,TRUE,"P2_CNFG.XLS";#N/A,#N/A,TRUE,"P2_OVR.XLS";#N/A,#N/A,TRUE,"P2_REV.XLS"}</definedName>
    <definedName name="_ABS2" localSheetId="11" hidden="1">{#N/A,#N/A,TRUE,"P2_HDR.XLS";#N/A,#N/A,TRUE,"content.xls";#N/A,#N/A,TRUE,"P2_MSGS";#N/A,#N/A,TRUE,"P2_DS.XLS";#N/A,#N/A,TRUE,"P2_TST.XLS";#N/A,#N/A,TRUE,"P2_CMD.XLS";#N/A,#N/A,TRUE,"P2_PID.XLS";#N/A,#N/A,TRUE,"P2_DMR.XLS";#N/A,#N/A,TRUE,"P2_DTC.XLS";#N/A,#N/A,TRUE,"P2_CNFG.XLS";#N/A,#N/A,TRUE,"P2_OVR.XLS";#N/A,#N/A,TRUE,"P2_REV.XLS"}</definedName>
    <definedName name="_ABS2" localSheetId="14" hidden="1">{#N/A,#N/A,TRUE,"P2_HDR.XLS";#N/A,#N/A,TRUE,"content.xls";#N/A,#N/A,TRUE,"P2_MSGS";#N/A,#N/A,TRUE,"P2_DS.XLS";#N/A,#N/A,TRUE,"P2_TST.XLS";#N/A,#N/A,TRUE,"P2_CMD.XLS";#N/A,#N/A,TRUE,"P2_PID.XLS";#N/A,#N/A,TRUE,"P2_DMR.XLS";#N/A,#N/A,TRUE,"P2_DTC.XLS";#N/A,#N/A,TRUE,"P2_CNFG.XLS";#N/A,#N/A,TRUE,"P2_OVR.XLS";#N/A,#N/A,TRUE,"P2_REV.XLS"}</definedName>
    <definedName name="_ABS2" localSheetId="9" hidden="1">{#N/A,#N/A,TRUE,"P2_HDR.XLS";#N/A,#N/A,TRUE,"content.xls";#N/A,#N/A,TRUE,"P2_MSGS";#N/A,#N/A,TRUE,"P2_DS.XLS";#N/A,#N/A,TRUE,"P2_TST.XLS";#N/A,#N/A,TRUE,"P2_CMD.XLS";#N/A,#N/A,TRUE,"P2_PID.XLS";#N/A,#N/A,TRUE,"P2_DMR.XLS";#N/A,#N/A,TRUE,"P2_DTC.XLS";#N/A,#N/A,TRUE,"P2_CNFG.XLS";#N/A,#N/A,TRUE,"P2_OVR.XLS";#N/A,#N/A,TRUE,"P2_REV.XLS"}</definedName>
    <definedName name="_ABS2" localSheetId="3" hidden="1">{#N/A,#N/A,TRUE,"P2_HDR.XLS";#N/A,#N/A,TRUE,"content.xls";#N/A,#N/A,TRUE,"P2_MSGS";#N/A,#N/A,TRUE,"P2_DS.XLS";#N/A,#N/A,TRUE,"P2_TST.XLS";#N/A,#N/A,TRUE,"P2_CMD.XLS";#N/A,#N/A,TRUE,"P2_PID.XLS";#N/A,#N/A,TRUE,"P2_DMR.XLS";#N/A,#N/A,TRUE,"P2_DTC.XLS";#N/A,#N/A,TRUE,"P2_CNFG.XLS";#N/A,#N/A,TRUE,"P2_OVR.XLS";#N/A,#N/A,TRUE,"P2_REV.XLS"}</definedName>
    <definedName name="_ABS2" localSheetId="7" hidden="1">{#N/A,#N/A,TRUE,"P2_HDR.XLS";#N/A,#N/A,TRUE,"content.xls";#N/A,#N/A,TRUE,"P2_MSGS";#N/A,#N/A,TRUE,"P2_DS.XLS";#N/A,#N/A,TRUE,"P2_TST.XLS";#N/A,#N/A,TRUE,"P2_CMD.XLS";#N/A,#N/A,TRUE,"P2_PID.XLS";#N/A,#N/A,TRUE,"P2_DMR.XLS";#N/A,#N/A,TRUE,"P2_DTC.XLS";#N/A,#N/A,TRUE,"P2_CNFG.XLS";#N/A,#N/A,TRUE,"P2_OVR.XLS";#N/A,#N/A,TRUE,"P2_REV.XLS"}</definedName>
    <definedName name="_ABS2" localSheetId="5" hidden="1">{#N/A,#N/A,TRUE,"P2_HDR.XLS";#N/A,#N/A,TRUE,"content.xls";#N/A,#N/A,TRUE,"P2_MSGS";#N/A,#N/A,TRUE,"P2_DS.XLS";#N/A,#N/A,TRUE,"P2_TST.XLS";#N/A,#N/A,TRUE,"P2_CMD.XLS";#N/A,#N/A,TRUE,"P2_PID.XLS";#N/A,#N/A,TRUE,"P2_DMR.XLS";#N/A,#N/A,TRUE,"P2_DTC.XLS";#N/A,#N/A,TRUE,"P2_CNFG.XLS";#N/A,#N/A,TRUE,"P2_OVR.XLS";#N/A,#N/A,TRUE,"P2_REV.XLS"}</definedName>
    <definedName name="_ABS2" hidden="1">{#N/A,#N/A,TRUE,"P2_HDR.XLS";#N/A,#N/A,TRUE,"content.xls";#N/A,#N/A,TRUE,"P2_MSGS";#N/A,#N/A,TRUE,"P2_DS.XLS";#N/A,#N/A,TRUE,"P2_TST.XLS";#N/A,#N/A,TRUE,"P2_CMD.XLS";#N/A,#N/A,TRUE,"P2_PID.XLS";#N/A,#N/A,TRUE,"P2_DMR.XLS";#N/A,#N/A,TRUE,"P2_DTC.XLS";#N/A,#N/A,TRUE,"P2_CNFG.XLS";#N/A,#N/A,TRUE,"P2_OVR.XLS";#N/A,#N/A,TRUE,"P2_REV.XLS"}</definedName>
    <definedName name="_Fill" localSheetId="19" hidden="1">#REF!</definedName>
    <definedName name="_Fill" localSheetId="0" hidden="1">#REF!</definedName>
    <definedName name="_Fill" hidden="1">#REF!</definedName>
    <definedName name="_xlnm._FilterDatabase" localSheetId="7" hidden="1">FuncEvalItems_Aggregate_All!$A$8:$S$675</definedName>
    <definedName name="a" localSheetId="19" hidden="1">{#N/A,#N/A,TRUE,"P2_HDR.XLS";#N/A,#N/A,TRUE,"content.xls";#N/A,#N/A,TRUE,"P2_MSGS";#N/A,#N/A,TRUE,"P2_DS.XLS";#N/A,#N/A,TRUE,"P2_TST.XLS";#N/A,#N/A,TRUE,"P2_CMD.XLS";#N/A,#N/A,TRUE,"P2_PID.XLS";#N/A,#N/A,TRUE,"P2_DMR.XLS";#N/A,#N/A,TRUE,"P2_DTC.XLS";#N/A,#N/A,TRUE,"P2_CNFG.XLS";#N/A,#N/A,TRUE,"P2_OVR.XLS";#N/A,#N/A,TRUE,"P2_REV.XLS"}</definedName>
    <definedName name="a" localSheetId="0" hidden="1">{#N/A,#N/A,TRUE,"P2_HDR.XLS";#N/A,#N/A,TRUE,"content.xls";#N/A,#N/A,TRUE,"P2_MSGS";#N/A,#N/A,TRUE,"P2_DS.XLS";#N/A,#N/A,TRUE,"P2_TST.XLS";#N/A,#N/A,TRUE,"P2_CMD.XLS";#N/A,#N/A,TRUE,"P2_PID.XLS";#N/A,#N/A,TRUE,"P2_DMR.XLS";#N/A,#N/A,TRUE,"P2_DTC.XLS";#N/A,#N/A,TRUE,"P2_CNFG.XLS";#N/A,#N/A,TRUE,"P2_OVR.XLS";#N/A,#N/A,TRUE,"P2_REV.XLS"}</definedName>
    <definedName name="a" localSheetId="8" hidden="1">{#N/A,#N/A,TRUE,"P2_HDR.XLS";#N/A,#N/A,TRUE,"content.xls";#N/A,#N/A,TRUE,"P2_MSGS";#N/A,#N/A,TRUE,"P2_DS.XLS";#N/A,#N/A,TRUE,"P2_TST.XLS";#N/A,#N/A,TRUE,"P2_CMD.XLS";#N/A,#N/A,TRUE,"P2_PID.XLS";#N/A,#N/A,TRUE,"P2_DMR.XLS";#N/A,#N/A,TRUE,"P2_DTC.XLS";#N/A,#N/A,TRUE,"P2_CNFG.XLS";#N/A,#N/A,TRUE,"P2_OVR.XLS";#N/A,#N/A,TRUE,"P2_REV.XLS"}</definedName>
    <definedName name="a" localSheetId="10" hidden="1">{#N/A,#N/A,TRUE,"P2_HDR.XLS";#N/A,#N/A,TRUE,"content.xls";#N/A,#N/A,TRUE,"P2_MSGS";#N/A,#N/A,TRUE,"P2_DS.XLS";#N/A,#N/A,TRUE,"P2_TST.XLS";#N/A,#N/A,TRUE,"P2_CMD.XLS";#N/A,#N/A,TRUE,"P2_PID.XLS";#N/A,#N/A,TRUE,"P2_DMR.XLS";#N/A,#N/A,TRUE,"P2_DTC.XLS";#N/A,#N/A,TRUE,"P2_CNFG.XLS";#N/A,#N/A,TRUE,"P2_OVR.XLS";#N/A,#N/A,TRUE,"P2_REV.XLS"}</definedName>
    <definedName name="a" localSheetId="11" hidden="1">{#N/A,#N/A,TRUE,"P2_HDR.XLS";#N/A,#N/A,TRUE,"content.xls";#N/A,#N/A,TRUE,"P2_MSGS";#N/A,#N/A,TRUE,"P2_DS.XLS";#N/A,#N/A,TRUE,"P2_TST.XLS";#N/A,#N/A,TRUE,"P2_CMD.XLS";#N/A,#N/A,TRUE,"P2_PID.XLS";#N/A,#N/A,TRUE,"P2_DMR.XLS";#N/A,#N/A,TRUE,"P2_DTC.XLS";#N/A,#N/A,TRUE,"P2_CNFG.XLS";#N/A,#N/A,TRUE,"P2_OVR.XLS";#N/A,#N/A,TRUE,"P2_REV.XLS"}</definedName>
    <definedName name="a" localSheetId="14" hidden="1">{#N/A,#N/A,TRUE,"P2_HDR.XLS";#N/A,#N/A,TRUE,"content.xls";#N/A,#N/A,TRUE,"P2_MSGS";#N/A,#N/A,TRUE,"P2_DS.XLS";#N/A,#N/A,TRUE,"P2_TST.XLS";#N/A,#N/A,TRUE,"P2_CMD.XLS";#N/A,#N/A,TRUE,"P2_PID.XLS";#N/A,#N/A,TRUE,"P2_DMR.XLS";#N/A,#N/A,TRUE,"P2_DTC.XLS";#N/A,#N/A,TRUE,"P2_CNFG.XLS";#N/A,#N/A,TRUE,"P2_OVR.XLS";#N/A,#N/A,TRUE,"P2_REV.XLS"}</definedName>
    <definedName name="a" localSheetId="9" hidden="1">{#N/A,#N/A,TRUE,"P2_HDR.XLS";#N/A,#N/A,TRUE,"content.xls";#N/A,#N/A,TRUE,"P2_MSGS";#N/A,#N/A,TRUE,"P2_DS.XLS";#N/A,#N/A,TRUE,"P2_TST.XLS";#N/A,#N/A,TRUE,"P2_CMD.XLS";#N/A,#N/A,TRUE,"P2_PID.XLS";#N/A,#N/A,TRUE,"P2_DMR.XLS";#N/A,#N/A,TRUE,"P2_DTC.XLS";#N/A,#N/A,TRUE,"P2_CNFG.XLS";#N/A,#N/A,TRUE,"P2_OVR.XLS";#N/A,#N/A,TRUE,"P2_REV.XLS"}</definedName>
    <definedName name="a" localSheetId="3" hidden="1">{#N/A,#N/A,TRUE,"P2_HDR.XLS";#N/A,#N/A,TRUE,"content.xls";#N/A,#N/A,TRUE,"P2_MSGS";#N/A,#N/A,TRUE,"P2_DS.XLS";#N/A,#N/A,TRUE,"P2_TST.XLS";#N/A,#N/A,TRUE,"P2_CMD.XLS";#N/A,#N/A,TRUE,"P2_PID.XLS";#N/A,#N/A,TRUE,"P2_DMR.XLS";#N/A,#N/A,TRUE,"P2_DTC.XLS";#N/A,#N/A,TRUE,"P2_CNFG.XLS";#N/A,#N/A,TRUE,"P2_OVR.XLS";#N/A,#N/A,TRUE,"P2_REV.XLS"}</definedName>
    <definedName name="a" localSheetId="7" hidden="1">{#N/A,#N/A,TRUE,"P2_HDR.XLS";#N/A,#N/A,TRUE,"content.xls";#N/A,#N/A,TRUE,"P2_MSGS";#N/A,#N/A,TRUE,"P2_DS.XLS";#N/A,#N/A,TRUE,"P2_TST.XLS";#N/A,#N/A,TRUE,"P2_CMD.XLS";#N/A,#N/A,TRUE,"P2_PID.XLS";#N/A,#N/A,TRUE,"P2_DMR.XLS";#N/A,#N/A,TRUE,"P2_DTC.XLS";#N/A,#N/A,TRUE,"P2_CNFG.XLS";#N/A,#N/A,TRUE,"P2_OVR.XLS";#N/A,#N/A,TRUE,"P2_REV.XLS"}</definedName>
    <definedName name="a" localSheetId="5" hidden="1">{#N/A,#N/A,TRUE,"P2_HDR.XLS";#N/A,#N/A,TRUE,"content.xls";#N/A,#N/A,TRUE,"P2_MSGS";#N/A,#N/A,TRUE,"P2_DS.XLS";#N/A,#N/A,TRUE,"P2_TST.XLS";#N/A,#N/A,TRUE,"P2_CMD.XLS";#N/A,#N/A,TRUE,"P2_PID.XLS";#N/A,#N/A,TRUE,"P2_DMR.XLS";#N/A,#N/A,TRUE,"P2_DTC.XLS";#N/A,#N/A,TRUE,"P2_CNFG.XLS";#N/A,#N/A,TRUE,"P2_OVR.XLS";#N/A,#N/A,TRUE,"P2_REV.XLS"}</definedName>
    <definedName name="a" hidden="1">{#N/A,#N/A,TRUE,"P2_HDR.XLS";#N/A,#N/A,TRUE,"content.xls";#N/A,#N/A,TRUE,"P2_MSGS";#N/A,#N/A,TRUE,"P2_DS.XLS";#N/A,#N/A,TRUE,"P2_TST.XLS";#N/A,#N/A,TRUE,"P2_CMD.XLS";#N/A,#N/A,TRUE,"P2_PID.XLS";#N/A,#N/A,TRUE,"P2_DMR.XLS";#N/A,#N/A,TRUE,"P2_DTC.XLS";#N/A,#N/A,TRUE,"P2_CNFG.XLS";#N/A,#N/A,TRUE,"P2_OVR.XLS";#N/A,#N/A,TRUE,"P2_REV.XLS"}</definedName>
    <definedName name="AA" localSheetId="19" hidden="1">{#N/A,#N/A,TRUE,"P2_HDR.XLS";#N/A,#N/A,TRUE,"content.xls";#N/A,#N/A,TRUE,"P2_MSGS";#N/A,#N/A,TRUE,"P2_DS.XLS";#N/A,#N/A,TRUE,"P2_TST.XLS";#N/A,#N/A,TRUE,"P2_CMD.XLS";#N/A,#N/A,TRUE,"P2_PID.XLS";#N/A,#N/A,TRUE,"P2_DMR.XLS";#N/A,#N/A,TRUE,"P2_DTC.XLS";#N/A,#N/A,TRUE,"P2_CNFG.XLS";#N/A,#N/A,TRUE,"P2_OVR.XLS";#N/A,#N/A,TRUE,"P2_REV.XLS"}</definedName>
    <definedName name="AA" localSheetId="0" hidden="1">{#N/A,#N/A,TRUE,"P2_HDR.XLS";#N/A,#N/A,TRUE,"content.xls";#N/A,#N/A,TRUE,"P2_MSGS";#N/A,#N/A,TRUE,"P2_DS.XLS";#N/A,#N/A,TRUE,"P2_TST.XLS";#N/A,#N/A,TRUE,"P2_CMD.XLS";#N/A,#N/A,TRUE,"P2_PID.XLS";#N/A,#N/A,TRUE,"P2_DMR.XLS";#N/A,#N/A,TRUE,"P2_DTC.XLS";#N/A,#N/A,TRUE,"P2_CNFG.XLS";#N/A,#N/A,TRUE,"P2_OVR.XLS";#N/A,#N/A,TRUE,"P2_REV.XLS"}</definedName>
    <definedName name="AA" localSheetId="8" hidden="1">{#N/A,#N/A,TRUE,"P2_HDR.XLS";#N/A,#N/A,TRUE,"content.xls";#N/A,#N/A,TRUE,"P2_MSGS";#N/A,#N/A,TRUE,"P2_DS.XLS";#N/A,#N/A,TRUE,"P2_TST.XLS";#N/A,#N/A,TRUE,"P2_CMD.XLS";#N/A,#N/A,TRUE,"P2_PID.XLS";#N/A,#N/A,TRUE,"P2_DMR.XLS";#N/A,#N/A,TRUE,"P2_DTC.XLS";#N/A,#N/A,TRUE,"P2_CNFG.XLS";#N/A,#N/A,TRUE,"P2_OVR.XLS";#N/A,#N/A,TRUE,"P2_REV.XLS"}</definedName>
    <definedName name="AA" localSheetId="10" hidden="1">{#N/A,#N/A,TRUE,"P2_HDR.XLS";#N/A,#N/A,TRUE,"content.xls";#N/A,#N/A,TRUE,"P2_MSGS";#N/A,#N/A,TRUE,"P2_DS.XLS";#N/A,#N/A,TRUE,"P2_TST.XLS";#N/A,#N/A,TRUE,"P2_CMD.XLS";#N/A,#N/A,TRUE,"P2_PID.XLS";#N/A,#N/A,TRUE,"P2_DMR.XLS";#N/A,#N/A,TRUE,"P2_DTC.XLS";#N/A,#N/A,TRUE,"P2_CNFG.XLS";#N/A,#N/A,TRUE,"P2_OVR.XLS";#N/A,#N/A,TRUE,"P2_REV.XLS"}</definedName>
    <definedName name="AA" localSheetId="11" hidden="1">{#N/A,#N/A,TRUE,"P2_HDR.XLS";#N/A,#N/A,TRUE,"content.xls";#N/A,#N/A,TRUE,"P2_MSGS";#N/A,#N/A,TRUE,"P2_DS.XLS";#N/A,#N/A,TRUE,"P2_TST.XLS";#N/A,#N/A,TRUE,"P2_CMD.XLS";#N/A,#N/A,TRUE,"P2_PID.XLS";#N/A,#N/A,TRUE,"P2_DMR.XLS";#N/A,#N/A,TRUE,"P2_DTC.XLS";#N/A,#N/A,TRUE,"P2_CNFG.XLS";#N/A,#N/A,TRUE,"P2_OVR.XLS";#N/A,#N/A,TRUE,"P2_REV.XLS"}</definedName>
    <definedName name="AA" localSheetId="14" hidden="1">{#N/A,#N/A,TRUE,"P2_HDR.XLS";#N/A,#N/A,TRUE,"content.xls";#N/A,#N/A,TRUE,"P2_MSGS";#N/A,#N/A,TRUE,"P2_DS.XLS";#N/A,#N/A,TRUE,"P2_TST.XLS";#N/A,#N/A,TRUE,"P2_CMD.XLS";#N/A,#N/A,TRUE,"P2_PID.XLS";#N/A,#N/A,TRUE,"P2_DMR.XLS";#N/A,#N/A,TRUE,"P2_DTC.XLS";#N/A,#N/A,TRUE,"P2_CNFG.XLS";#N/A,#N/A,TRUE,"P2_OVR.XLS";#N/A,#N/A,TRUE,"P2_REV.XLS"}</definedName>
    <definedName name="AA" localSheetId="9" hidden="1">{#N/A,#N/A,TRUE,"P2_HDR.XLS";#N/A,#N/A,TRUE,"content.xls";#N/A,#N/A,TRUE,"P2_MSGS";#N/A,#N/A,TRUE,"P2_DS.XLS";#N/A,#N/A,TRUE,"P2_TST.XLS";#N/A,#N/A,TRUE,"P2_CMD.XLS";#N/A,#N/A,TRUE,"P2_PID.XLS";#N/A,#N/A,TRUE,"P2_DMR.XLS";#N/A,#N/A,TRUE,"P2_DTC.XLS";#N/A,#N/A,TRUE,"P2_CNFG.XLS";#N/A,#N/A,TRUE,"P2_OVR.XLS";#N/A,#N/A,TRUE,"P2_REV.XLS"}</definedName>
    <definedName name="AA" localSheetId="3" hidden="1">{#N/A,#N/A,TRUE,"P2_HDR.XLS";#N/A,#N/A,TRUE,"content.xls";#N/A,#N/A,TRUE,"P2_MSGS";#N/A,#N/A,TRUE,"P2_DS.XLS";#N/A,#N/A,TRUE,"P2_TST.XLS";#N/A,#N/A,TRUE,"P2_CMD.XLS";#N/A,#N/A,TRUE,"P2_PID.XLS";#N/A,#N/A,TRUE,"P2_DMR.XLS";#N/A,#N/A,TRUE,"P2_DTC.XLS";#N/A,#N/A,TRUE,"P2_CNFG.XLS";#N/A,#N/A,TRUE,"P2_OVR.XLS";#N/A,#N/A,TRUE,"P2_REV.XLS"}</definedName>
    <definedName name="AA" localSheetId="7" hidden="1">{#N/A,#N/A,TRUE,"P2_HDR.XLS";#N/A,#N/A,TRUE,"content.xls";#N/A,#N/A,TRUE,"P2_MSGS";#N/A,#N/A,TRUE,"P2_DS.XLS";#N/A,#N/A,TRUE,"P2_TST.XLS";#N/A,#N/A,TRUE,"P2_CMD.XLS";#N/A,#N/A,TRUE,"P2_PID.XLS";#N/A,#N/A,TRUE,"P2_DMR.XLS";#N/A,#N/A,TRUE,"P2_DTC.XLS";#N/A,#N/A,TRUE,"P2_CNFG.XLS";#N/A,#N/A,TRUE,"P2_OVR.XLS";#N/A,#N/A,TRUE,"P2_REV.XLS"}</definedName>
    <definedName name="AA" localSheetId="5" hidden="1">{#N/A,#N/A,TRUE,"P2_HDR.XLS";#N/A,#N/A,TRUE,"content.xls";#N/A,#N/A,TRUE,"P2_MSGS";#N/A,#N/A,TRUE,"P2_DS.XLS";#N/A,#N/A,TRUE,"P2_TST.XLS";#N/A,#N/A,TRUE,"P2_CMD.XLS";#N/A,#N/A,TRUE,"P2_PID.XLS";#N/A,#N/A,TRUE,"P2_DMR.XLS";#N/A,#N/A,TRUE,"P2_DTC.XLS";#N/A,#N/A,TRUE,"P2_CNFG.XLS";#N/A,#N/A,TRUE,"P2_OVR.XLS";#N/A,#N/A,TRUE,"P2_REV.XLS"}</definedName>
    <definedName name="AA" hidden="1">{#N/A,#N/A,TRUE,"P2_HDR.XLS";#N/A,#N/A,TRUE,"content.xls";#N/A,#N/A,TRUE,"P2_MSGS";#N/A,#N/A,TRUE,"P2_DS.XLS";#N/A,#N/A,TRUE,"P2_TST.XLS";#N/A,#N/A,TRUE,"P2_CMD.XLS";#N/A,#N/A,TRUE,"P2_PID.XLS";#N/A,#N/A,TRUE,"P2_DMR.XLS";#N/A,#N/A,TRUE,"P2_DTC.XLS";#N/A,#N/A,TRUE,"P2_CNFG.XLS";#N/A,#N/A,TRUE,"P2_OVR.XLS";#N/A,#N/A,TRUE,"P2_REV.XLS"}</definedName>
    <definedName name="AAA" localSheetId="19" hidden="1">{#N/A,#N/A,TRUE,"P2_HDR.XLS";#N/A,#N/A,TRUE,"content.xls";#N/A,#N/A,TRUE,"P2_MSGS";#N/A,#N/A,TRUE,"P2_DS.XLS";#N/A,#N/A,TRUE,"P2_TST.XLS";#N/A,#N/A,TRUE,"P2_CMD.XLS";#N/A,#N/A,TRUE,"P2_PID.XLS";#N/A,#N/A,TRUE,"P2_DMR.XLS";#N/A,#N/A,TRUE,"P2_DTC.XLS";#N/A,#N/A,TRUE,"P2_CNFG.XLS";#N/A,#N/A,TRUE,"P2_OVR.XLS";#N/A,#N/A,TRUE,"P2_REV.XLS"}</definedName>
    <definedName name="AAA" localSheetId="0" hidden="1">{#N/A,#N/A,TRUE,"P2_HDR.XLS";#N/A,#N/A,TRUE,"content.xls";#N/A,#N/A,TRUE,"P2_MSGS";#N/A,#N/A,TRUE,"P2_DS.XLS";#N/A,#N/A,TRUE,"P2_TST.XLS";#N/A,#N/A,TRUE,"P2_CMD.XLS";#N/A,#N/A,TRUE,"P2_PID.XLS";#N/A,#N/A,TRUE,"P2_DMR.XLS";#N/A,#N/A,TRUE,"P2_DTC.XLS";#N/A,#N/A,TRUE,"P2_CNFG.XLS";#N/A,#N/A,TRUE,"P2_OVR.XLS";#N/A,#N/A,TRUE,"P2_REV.XLS"}</definedName>
    <definedName name="AAA" localSheetId="8" hidden="1">{#N/A,#N/A,TRUE,"P2_HDR.XLS";#N/A,#N/A,TRUE,"content.xls";#N/A,#N/A,TRUE,"P2_MSGS";#N/A,#N/A,TRUE,"P2_DS.XLS";#N/A,#N/A,TRUE,"P2_TST.XLS";#N/A,#N/A,TRUE,"P2_CMD.XLS";#N/A,#N/A,TRUE,"P2_PID.XLS";#N/A,#N/A,TRUE,"P2_DMR.XLS";#N/A,#N/A,TRUE,"P2_DTC.XLS";#N/A,#N/A,TRUE,"P2_CNFG.XLS";#N/A,#N/A,TRUE,"P2_OVR.XLS";#N/A,#N/A,TRUE,"P2_REV.XLS"}</definedName>
    <definedName name="AAA" localSheetId="10" hidden="1">{#N/A,#N/A,TRUE,"P2_HDR.XLS";#N/A,#N/A,TRUE,"content.xls";#N/A,#N/A,TRUE,"P2_MSGS";#N/A,#N/A,TRUE,"P2_DS.XLS";#N/A,#N/A,TRUE,"P2_TST.XLS";#N/A,#N/A,TRUE,"P2_CMD.XLS";#N/A,#N/A,TRUE,"P2_PID.XLS";#N/A,#N/A,TRUE,"P2_DMR.XLS";#N/A,#N/A,TRUE,"P2_DTC.XLS";#N/A,#N/A,TRUE,"P2_CNFG.XLS";#N/A,#N/A,TRUE,"P2_OVR.XLS";#N/A,#N/A,TRUE,"P2_REV.XLS"}</definedName>
    <definedName name="AAA" localSheetId="11" hidden="1">{#N/A,#N/A,TRUE,"P2_HDR.XLS";#N/A,#N/A,TRUE,"content.xls";#N/A,#N/A,TRUE,"P2_MSGS";#N/A,#N/A,TRUE,"P2_DS.XLS";#N/A,#N/A,TRUE,"P2_TST.XLS";#N/A,#N/A,TRUE,"P2_CMD.XLS";#N/A,#N/A,TRUE,"P2_PID.XLS";#N/A,#N/A,TRUE,"P2_DMR.XLS";#N/A,#N/A,TRUE,"P2_DTC.XLS";#N/A,#N/A,TRUE,"P2_CNFG.XLS";#N/A,#N/A,TRUE,"P2_OVR.XLS";#N/A,#N/A,TRUE,"P2_REV.XLS"}</definedName>
    <definedName name="AAA" localSheetId="14" hidden="1">{#N/A,#N/A,TRUE,"P2_HDR.XLS";#N/A,#N/A,TRUE,"content.xls";#N/A,#N/A,TRUE,"P2_MSGS";#N/A,#N/A,TRUE,"P2_DS.XLS";#N/A,#N/A,TRUE,"P2_TST.XLS";#N/A,#N/A,TRUE,"P2_CMD.XLS";#N/A,#N/A,TRUE,"P2_PID.XLS";#N/A,#N/A,TRUE,"P2_DMR.XLS";#N/A,#N/A,TRUE,"P2_DTC.XLS";#N/A,#N/A,TRUE,"P2_CNFG.XLS";#N/A,#N/A,TRUE,"P2_OVR.XLS";#N/A,#N/A,TRUE,"P2_REV.XLS"}</definedName>
    <definedName name="AAA" localSheetId="9" hidden="1">{#N/A,#N/A,TRUE,"P2_HDR.XLS";#N/A,#N/A,TRUE,"content.xls";#N/A,#N/A,TRUE,"P2_MSGS";#N/A,#N/A,TRUE,"P2_DS.XLS";#N/A,#N/A,TRUE,"P2_TST.XLS";#N/A,#N/A,TRUE,"P2_CMD.XLS";#N/A,#N/A,TRUE,"P2_PID.XLS";#N/A,#N/A,TRUE,"P2_DMR.XLS";#N/A,#N/A,TRUE,"P2_DTC.XLS";#N/A,#N/A,TRUE,"P2_CNFG.XLS";#N/A,#N/A,TRUE,"P2_OVR.XLS";#N/A,#N/A,TRUE,"P2_REV.XLS"}</definedName>
    <definedName name="AAA" localSheetId="3" hidden="1">{#N/A,#N/A,TRUE,"P2_HDR.XLS";#N/A,#N/A,TRUE,"content.xls";#N/A,#N/A,TRUE,"P2_MSGS";#N/A,#N/A,TRUE,"P2_DS.XLS";#N/A,#N/A,TRUE,"P2_TST.XLS";#N/A,#N/A,TRUE,"P2_CMD.XLS";#N/A,#N/A,TRUE,"P2_PID.XLS";#N/A,#N/A,TRUE,"P2_DMR.XLS";#N/A,#N/A,TRUE,"P2_DTC.XLS";#N/A,#N/A,TRUE,"P2_CNFG.XLS";#N/A,#N/A,TRUE,"P2_OVR.XLS";#N/A,#N/A,TRUE,"P2_REV.XLS"}</definedName>
    <definedName name="AAA" localSheetId="7" hidden="1">{#N/A,#N/A,TRUE,"P2_HDR.XLS";#N/A,#N/A,TRUE,"content.xls";#N/A,#N/A,TRUE,"P2_MSGS";#N/A,#N/A,TRUE,"P2_DS.XLS";#N/A,#N/A,TRUE,"P2_TST.XLS";#N/A,#N/A,TRUE,"P2_CMD.XLS";#N/A,#N/A,TRUE,"P2_PID.XLS";#N/A,#N/A,TRUE,"P2_DMR.XLS";#N/A,#N/A,TRUE,"P2_DTC.XLS";#N/A,#N/A,TRUE,"P2_CNFG.XLS";#N/A,#N/A,TRUE,"P2_OVR.XLS";#N/A,#N/A,TRUE,"P2_REV.XLS"}</definedName>
    <definedName name="AAA" localSheetId="5" hidden="1">{#N/A,#N/A,TRUE,"P2_HDR.XLS";#N/A,#N/A,TRUE,"content.xls";#N/A,#N/A,TRUE,"P2_MSGS";#N/A,#N/A,TRUE,"P2_DS.XLS";#N/A,#N/A,TRUE,"P2_TST.XLS";#N/A,#N/A,TRUE,"P2_CMD.XLS";#N/A,#N/A,TRUE,"P2_PID.XLS";#N/A,#N/A,TRUE,"P2_DMR.XLS";#N/A,#N/A,TRUE,"P2_DTC.XLS";#N/A,#N/A,TRUE,"P2_CNFG.XLS";#N/A,#N/A,TRUE,"P2_OVR.XLS";#N/A,#N/A,TRUE,"P2_REV.XLS"}</definedName>
    <definedName name="AAA" hidden="1">{#N/A,#N/A,TRUE,"P2_HDR.XLS";#N/A,#N/A,TRUE,"content.xls";#N/A,#N/A,TRUE,"P2_MSGS";#N/A,#N/A,TRUE,"P2_DS.XLS";#N/A,#N/A,TRUE,"P2_TST.XLS";#N/A,#N/A,TRUE,"P2_CMD.XLS";#N/A,#N/A,TRUE,"P2_PID.XLS";#N/A,#N/A,TRUE,"P2_DMR.XLS";#N/A,#N/A,TRUE,"P2_DTC.XLS";#N/A,#N/A,TRUE,"P2_CNFG.XLS";#N/A,#N/A,TRUE,"P2_OVR.XLS";#N/A,#N/A,TRUE,"P2_REV.XLS"}</definedName>
    <definedName name="aaaa" localSheetId="19" hidden="1">{#N/A,#N/A,TRUE,"P2_HDR.XLS";#N/A,#N/A,TRUE,"content.xls";#N/A,#N/A,TRUE,"P2_MSGS";#N/A,#N/A,TRUE,"P2_DS.XLS";#N/A,#N/A,TRUE,"P2_TST.XLS";#N/A,#N/A,TRUE,"P2_CMD.XLS";#N/A,#N/A,TRUE,"P2_PID.XLS";#N/A,#N/A,TRUE,"P2_DMR.XLS";#N/A,#N/A,TRUE,"P2_DTC.XLS";#N/A,#N/A,TRUE,"P2_CNFG.XLS";#N/A,#N/A,TRUE,"P2_OVR.XLS";#N/A,#N/A,TRUE,"P2_REV.XLS"}</definedName>
    <definedName name="aaaa" localSheetId="0" hidden="1">{#N/A,#N/A,TRUE,"P2_HDR.XLS";#N/A,#N/A,TRUE,"content.xls";#N/A,#N/A,TRUE,"P2_MSGS";#N/A,#N/A,TRUE,"P2_DS.XLS";#N/A,#N/A,TRUE,"P2_TST.XLS";#N/A,#N/A,TRUE,"P2_CMD.XLS";#N/A,#N/A,TRUE,"P2_PID.XLS";#N/A,#N/A,TRUE,"P2_DMR.XLS";#N/A,#N/A,TRUE,"P2_DTC.XLS";#N/A,#N/A,TRUE,"P2_CNFG.XLS";#N/A,#N/A,TRUE,"P2_OVR.XLS";#N/A,#N/A,TRUE,"P2_REV.XLS"}</definedName>
    <definedName name="aaaa" localSheetId="8" hidden="1">{#N/A,#N/A,TRUE,"P2_HDR.XLS";#N/A,#N/A,TRUE,"content.xls";#N/A,#N/A,TRUE,"P2_MSGS";#N/A,#N/A,TRUE,"P2_DS.XLS";#N/A,#N/A,TRUE,"P2_TST.XLS";#N/A,#N/A,TRUE,"P2_CMD.XLS";#N/A,#N/A,TRUE,"P2_PID.XLS";#N/A,#N/A,TRUE,"P2_DMR.XLS";#N/A,#N/A,TRUE,"P2_DTC.XLS";#N/A,#N/A,TRUE,"P2_CNFG.XLS";#N/A,#N/A,TRUE,"P2_OVR.XLS";#N/A,#N/A,TRUE,"P2_REV.XLS"}</definedName>
    <definedName name="aaaa" localSheetId="10" hidden="1">{#N/A,#N/A,TRUE,"P2_HDR.XLS";#N/A,#N/A,TRUE,"content.xls";#N/A,#N/A,TRUE,"P2_MSGS";#N/A,#N/A,TRUE,"P2_DS.XLS";#N/A,#N/A,TRUE,"P2_TST.XLS";#N/A,#N/A,TRUE,"P2_CMD.XLS";#N/A,#N/A,TRUE,"P2_PID.XLS";#N/A,#N/A,TRUE,"P2_DMR.XLS";#N/A,#N/A,TRUE,"P2_DTC.XLS";#N/A,#N/A,TRUE,"P2_CNFG.XLS";#N/A,#N/A,TRUE,"P2_OVR.XLS";#N/A,#N/A,TRUE,"P2_REV.XLS"}</definedName>
    <definedName name="aaaa" localSheetId="11" hidden="1">{#N/A,#N/A,TRUE,"P2_HDR.XLS";#N/A,#N/A,TRUE,"content.xls";#N/A,#N/A,TRUE,"P2_MSGS";#N/A,#N/A,TRUE,"P2_DS.XLS";#N/A,#N/A,TRUE,"P2_TST.XLS";#N/A,#N/A,TRUE,"P2_CMD.XLS";#N/A,#N/A,TRUE,"P2_PID.XLS";#N/A,#N/A,TRUE,"P2_DMR.XLS";#N/A,#N/A,TRUE,"P2_DTC.XLS";#N/A,#N/A,TRUE,"P2_CNFG.XLS";#N/A,#N/A,TRUE,"P2_OVR.XLS";#N/A,#N/A,TRUE,"P2_REV.XLS"}</definedName>
    <definedName name="aaaa" localSheetId="14" hidden="1">{#N/A,#N/A,TRUE,"P2_HDR.XLS";#N/A,#N/A,TRUE,"content.xls";#N/A,#N/A,TRUE,"P2_MSGS";#N/A,#N/A,TRUE,"P2_DS.XLS";#N/A,#N/A,TRUE,"P2_TST.XLS";#N/A,#N/A,TRUE,"P2_CMD.XLS";#N/A,#N/A,TRUE,"P2_PID.XLS";#N/A,#N/A,TRUE,"P2_DMR.XLS";#N/A,#N/A,TRUE,"P2_DTC.XLS";#N/A,#N/A,TRUE,"P2_CNFG.XLS";#N/A,#N/A,TRUE,"P2_OVR.XLS";#N/A,#N/A,TRUE,"P2_REV.XLS"}</definedName>
    <definedName name="aaaa" localSheetId="9" hidden="1">{#N/A,#N/A,TRUE,"P2_HDR.XLS";#N/A,#N/A,TRUE,"content.xls";#N/A,#N/A,TRUE,"P2_MSGS";#N/A,#N/A,TRUE,"P2_DS.XLS";#N/A,#N/A,TRUE,"P2_TST.XLS";#N/A,#N/A,TRUE,"P2_CMD.XLS";#N/A,#N/A,TRUE,"P2_PID.XLS";#N/A,#N/A,TRUE,"P2_DMR.XLS";#N/A,#N/A,TRUE,"P2_DTC.XLS";#N/A,#N/A,TRUE,"P2_CNFG.XLS";#N/A,#N/A,TRUE,"P2_OVR.XLS";#N/A,#N/A,TRUE,"P2_REV.XLS"}</definedName>
    <definedName name="aaaa" localSheetId="3" hidden="1">{#N/A,#N/A,TRUE,"P2_HDR.XLS";#N/A,#N/A,TRUE,"content.xls";#N/A,#N/A,TRUE,"P2_MSGS";#N/A,#N/A,TRUE,"P2_DS.XLS";#N/A,#N/A,TRUE,"P2_TST.XLS";#N/A,#N/A,TRUE,"P2_CMD.XLS";#N/A,#N/A,TRUE,"P2_PID.XLS";#N/A,#N/A,TRUE,"P2_DMR.XLS";#N/A,#N/A,TRUE,"P2_DTC.XLS";#N/A,#N/A,TRUE,"P2_CNFG.XLS";#N/A,#N/A,TRUE,"P2_OVR.XLS";#N/A,#N/A,TRUE,"P2_REV.XLS"}</definedName>
    <definedName name="aaaa" localSheetId="7" hidden="1">{#N/A,#N/A,TRUE,"P2_HDR.XLS";#N/A,#N/A,TRUE,"content.xls";#N/A,#N/A,TRUE,"P2_MSGS";#N/A,#N/A,TRUE,"P2_DS.XLS";#N/A,#N/A,TRUE,"P2_TST.XLS";#N/A,#N/A,TRUE,"P2_CMD.XLS";#N/A,#N/A,TRUE,"P2_PID.XLS";#N/A,#N/A,TRUE,"P2_DMR.XLS";#N/A,#N/A,TRUE,"P2_DTC.XLS";#N/A,#N/A,TRUE,"P2_CNFG.XLS";#N/A,#N/A,TRUE,"P2_OVR.XLS";#N/A,#N/A,TRUE,"P2_REV.XLS"}</definedName>
    <definedName name="aaaa" localSheetId="5" hidden="1">{#N/A,#N/A,TRUE,"P2_HDR.XLS";#N/A,#N/A,TRUE,"content.xls";#N/A,#N/A,TRUE,"P2_MSGS";#N/A,#N/A,TRUE,"P2_DS.XLS";#N/A,#N/A,TRUE,"P2_TST.XLS";#N/A,#N/A,TRUE,"P2_CMD.XLS";#N/A,#N/A,TRUE,"P2_PID.XLS";#N/A,#N/A,TRUE,"P2_DMR.XLS";#N/A,#N/A,TRUE,"P2_DTC.XLS";#N/A,#N/A,TRUE,"P2_CNFG.XLS";#N/A,#N/A,TRUE,"P2_OVR.XLS";#N/A,#N/A,TRUE,"P2_REV.XLS"}</definedName>
    <definedName name="aaaa" hidden="1">{#N/A,#N/A,TRUE,"P2_HDR.XLS";#N/A,#N/A,TRUE,"content.xls";#N/A,#N/A,TRUE,"P2_MSGS";#N/A,#N/A,TRUE,"P2_DS.XLS";#N/A,#N/A,TRUE,"P2_TST.XLS";#N/A,#N/A,TRUE,"P2_CMD.XLS";#N/A,#N/A,TRUE,"P2_PID.XLS";#N/A,#N/A,TRUE,"P2_DMR.XLS";#N/A,#N/A,TRUE,"P2_DTC.XLS";#N/A,#N/A,TRUE,"P2_CNFG.XLS";#N/A,#N/A,TRUE,"P2_OVR.XLS";#N/A,#N/A,TRUE,"P2_REV.XLS"}</definedName>
    <definedName name="AAAAA" localSheetId="19" hidden="1">{#N/A,#N/A,TRUE,"P2_HDR.XLS";#N/A,#N/A,TRUE,"content.xls";#N/A,#N/A,TRUE,"P2_MSGS";#N/A,#N/A,TRUE,"P2_DS.XLS";#N/A,#N/A,TRUE,"P2_TST.XLS";#N/A,#N/A,TRUE,"P2_CMD.XLS";#N/A,#N/A,TRUE,"P2_PID.XLS";#N/A,#N/A,TRUE,"P2_DMR.XLS";#N/A,#N/A,TRUE,"P2_DTC.XLS";#N/A,#N/A,TRUE,"P2_CNFG.XLS";#N/A,#N/A,TRUE,"P2_OVR.XLS";#N/A,#N/A,TRUE,"P2_REV.XLS"}</definedName>
    <definedName name="AAAAA" localSheetId="0" hidden="1">{#N/A,#N/A,TRUE,"P2_HDR.XLS";#N/A,#N/A,TRUE,"content.xls";#N/A,#N/A,TRUE,"P2_MSGS";#N/A,#N/A,TRUE,"P2_DS.XLS";#N/A,#N/A,TRUE,"P2_TST.XLS";#N/A,#N/A,TRUE,"P2_CMD.XLS";#N/A,#N/A,TRUE,"P2_PID.XLS";#N/A,#N/A,TRUE,"P2_DMR.XLS";#N/A,#N/A,TRUE,"P2_DTC.XLS";#N/A,#N/A,TRUE,"P2_CNFG.XLS";#N/A,#N/A,TRUE,"P2_OVR.XLS";#N/A,#N/A,TRUE,"P2_REV.XLS"}</definedName>
    <definedName name="AAAAA" localSheetId="8" hidden="1">{#N/A,#N/A,TRUE,"P2_HDR.XLS";#N/A,#N/A,TRUE,"content.xls";#N/A,#N/A,TRUE,"P2_MSGS";#N/A,#N/A,TRUE,"P2_DS.XLS";#N/A,#N/A,TRUE,"P2_TST.XLS";#N/A,#N/A,TRUE,"P2_CMD.XLS";#N/A,#N/A,TRUE,"P2_PID.XLS";#N/A,#N/A,TRUE,"P2_DMR.XLS";#N/A,#N/A,TRUE,"P2_DTC.XLS";#N/A,#N/A,TRUE,"P2_CNFG.XLS";#N/A,#N/A,TRUE,"P2_OVR.XLS";#N/A,#N/A,TRUE,"P2_REV.XLS"}</definedName>
    <definedName name="AAAAA" localSheetId="10" hidden="1">{#N/A,#N/A,TRUE,"P2_HDR.XLS";#N/A,#N/A,TRUE,"content.xls";#N/A,#N/A,TRUE,"P2_MSGS";#N/A,#N/A,TRUE,"P2_DS.XLS";#N/A,#N/A,TRUE,"P2_TST.XLS";#N/A,#N/A,TRUE,"P2_CMD.XLS";#N/A,#N/A,TRUE,"P2_PID.XLS";#N/A,#N/A,TRUE,"P2_DMR.XLS";#N/A,#N/A,TRUE,"P2_DTC.XLS";#N/A,#N/A,TRUE,"P2_CNFG.XLS";#N/A,#N/A,TRUE,"P2_OVR.XLS";#N/A,#N/A,TRUE,"P2_REV.XLS"}</definedName>
    <definedName name="AAAAA" localSheetId="11" hidden="1">{#N/A,#N/A,TRUE,"P2_HDR.XLS";#N/A,#N/A,TRUE,"content.xls";#N/A,#N/A,TRUE,"P2_MSGS";#N/A,#N/A,TRUE,"P2_DS.XLS";#N/A,#N/A,TRUE,"P2_TST.XLS";#N/A,#N/A,TRUE,"P2_CMD.XLS";#N/A,#N/A,TRUE,"P2_PID.XLS";#N/A,#N/A,TRUE,"P2_DMR.XLS";#N/A,#N/A,TRUE,"P2_DTC.XLS";#N/A,#N/A,TRUE,"P2_CNFG.XLS";#N/A,#N/A,TRUE,"P2_OVR.XLS";#N/A,#N/A,TRUE,"P2_REV.XLS"}</definedName>
    <definedName name="AAAAA" localSheetId="14" hidden="1">{#N/A,#N/A,TRUE,"P2_HDR.XLS";#N/A,#N/A,TRUE,"content.xls";#N/A,#N/A,TRUE,"P2_MSGS";#N/A,#N/A,TRUE,"P2_DS.XLS";#N/A,#N/A,TRUE,"P2_TST.XLS";#N/A,#N/A,TRUE,"P2_CMD.XLS";#N/A,#N/A,TRUE,"P2_PID.XLS";#N/A,#N/A,TRUE,"P2_DMR.XLS";#N/A,#N/A,TRUE,"P2_DTC.XLS";#N/A,#N/A,TRUE,"P2_CNFG.XLS";#N/A,#N/A,TRUE,"P2_OVR.XLS";#N/A,#N/A,TRUE,"P2_REV.XLS"}</definedName>
    <definedName name="AAAAA" localSheetId="9" hidden="1">{#N/A,#N/A,TRUE,"P2_HDR.XLS";#N/A,#N/A,TRUE,"content.xls";#N/A,#N/A,TRUE,"P2_MSGS";#N/A,#N/A,TRUE,"P2_DS.XLS";#N/A,#N/A,TRUE,"P2_TST.XLS";#N/A,#N/A,TRUE,"P2_CMD.XLS";#N/A,#N/A,TRUE,"P2_PID.XLS";#N/A,#N/A,TRUE,"P2_DMR.XLS";#N/A,#N/A,TRUE,"P2_DTC.XLS";#N/A,#N/A,TRUE,"P2_CNFG.XLS";#N/A,#N/A,TRUE,"P2_OVR.XLS";#N/A,#N/A,TRUE,"P2_REV.XLS"}</definedName>
    <definedName name="AAAAA" localSheetId="3" hidden="1">{#N/A,#N/A,TRUE,"P2_HDR.XLS";#N/A,#N/A,TRUE,"content.xls";#N/A,#N/A,TRUE,"P2_MSGS";#N/A,#N/A,TRUE,"P2_DS.XLS";#N/A,#N/A,TRUE,"P2_TST.XLS";#N/A,#N/A,TRUE,"P2_CMD.XLS";#N/A,#N/A,TRUE,"P2_PID.XLS";#N/A,#N/A,TRUE,"P2_DMR.XLS";#N/A,#N/A,TRUE,"P2_DTC.XLS";#N/A,#N/A,TRUE,"P2_CNFG.XLS";#N/A,#N/A,TRUE,"P2_OVR.XLS";#N/A,#N/A,TRUE,"P2_REV.XLS"}</definedName>
    <definedName name="AAAAA" localSheetId="7" hidden="1">{#N/A,#N/A,TRUE,"P2_HDR.XLS";#N/A,#N/A,TRUE,"content.xls";#N/A,#N/A,TRUE,"P2_MSGS";#N/A,#N/A,TRUE,"P2_DS.XLS";#N/A,#N/A,TRUE,"P2_TST.XLS";#N/A,#N/A,TRUE,"P2_CMD.XLS";#N/A,#N/A,TRUE,"P2_PID.XLS";#N/A,#N/A,TRUE,"P2_DMR.XLS";#N/A,#N/A,TRUE,"P2_DTC.XLS";#N/A,#N/A,TRUE,"P2_CNFG.XLS";#N/A,#N/A,TRUE,"P2_OVR.XLS";#N/A,#N/A,TRUE,"P2_REV.XLS"}</definedName>
    <definedName name="AAAAA" localSheetId="5" hidden="1">{#N/A,#N/A,TRUE,"P2_HDR.XLS";#N/A,#N/A,TRUE,"content.xls";#N/A,#N/A,TRUE,"P2_MSGS";#N/A,#N/A,TRUE,"P2_DS.XLS";#N/A,#N/A,TRUE,"P2_TST.XLS";#N/A,#N/A,TRUE,"P2_CMD.XLS";#N/A,#N/A,TRUE,"P2_PID.XLS";#N/A,#N/A,TRUE,"P2_DMR.XLS";#N/A,#N/A,TRUE,"P2_DTC.XLS";#N/A,#N/A,TRUE,"P2_CNFG.XLS";#N/A,#N/A,TRUE,"P2_OVR.XLS";#N/A,#N/A,TRUE,"P2_REV.XLS"}</definedName>
    <definedName name="AAAAA" hidden="1">{#N/A,#N/A,TRUE,"P2_HDR.XLS";#N/A,#N/A,TRUE,"content.xls";#N/A,#N/A,TRUE,"P2_MSGS";#N/A,#N/A,TRUE,"P2_DS.XLS";#N/A,#N/A,TRUE,"P2_TST.XLS";#N/A,#N/A,TRUE,"P2_CMD.XLS";#N/A,#N/A,TRUE,"P2_PID.XLS";#N/A,#N/A,TRUE,"P2_DMR.XLS";#N/A,#N/A,TRUE,"P2_DTC.XLS";#N/A,#N/A,TRUE,"P2_CNFG.XLS";#N/A,#N/A,TRUE,"P2_OVR.XLS";#N/A,#N/A,TRUE,"P2_REV.XLS"}</definedName>
    <definedName name="ALLCAR">[1]ワイブル分析データ!$D$1</definedName>
    <definedName name="B" localSheetId="19">{#N/A,#N/A,TRUE,"P2_HDR.XLS";#N/A,#N/A,TRUE,"content.xls";#N/A,#N/A,TRUE,"P2_MSGS";#N/A,#N/A,TRUE,"P2_DS.XLS";#N/A,#N/A,TRUE,"P2_TST.XLS";#N/A,#N/A,TRUE,"P2_CMD.XLS";#N/A,#N/A,TRUE,"P2_PID.XLS";#N/A,#N/A,TRUE,"P2_DMR.XLS";#N/A,#N/A,TRUE,"P2_DTC.XLS";#N/A,#N/A,TRUE,"P2_CNFG.XLS";#N/A,#N/A,TRUE,"P2_OVR.XLS";#N/A,#N/A,TRUE,"P2_REV.XLS"}</definedName>
    <definedName name="B" localSheetId="0">{#N/A,#N/A,TRUE,"P2_HDR.XLS";#N/A,#N/A,TRUE,"content.xls";#N/A,#N/A,TRUE,"P2_MSGS";#N/A,#N/A,TRUE,"P2_DS.XLS";#N/A,#N/A,TRUE,"P2_TST.XLS";#N/A,#N/A,TRUE,"P2_CMD.XLS";#N/A,#N/A,TRUE,"P2_PID.XLS";#N/A,#N/A,TRUE,"P2_DMR.XLS";#N/A,#N/A,TRUE,"P2_DTC.XLS";#N/A,#N/A,TRUE,"P2_CNFG.XLS";#N/A,#N/A,TRUE,"P2_OVR.XLS";#N/A,#N/A,TRUE,"P2_REV.XLS"}</definedName>
    <definedName name="B" localSheetId="8">{#N/A,#N/A,TRUE,"P2_HDR.XLS";#N/A,#N/A,TRUE,"content.xls";#N/A,#N/A,TRUE,"P2_MSGS";#N/A,#N/A,TRUE,"P2_DS.XLS";#N/A,#N/A,TRUE,"P2_TST.XLS";#N/A,#N/A,TRUE,"P2_CMD.XLS";#N/A,#N/A,TRUE,"P2_PID.XLS";#N/A,#N/A,TRUE,"P2_DMR.XLS";#N/A,#N/A,TRUE,"P2_DTC.XLS";#N/A,#N/A,TRUE,"P2_CNFG.XLS";#N/A,#N/A,TRUE,"P2_OVR.XLS";#N/A,#N/A,TRUE,"P2_REV.XLS"}</definedName>
    <definedName name="B" localSheetId="10">{#N/A,#N/A,TRUE,"P2_HDR.XLS";#N/A,#N/A,TRUE,"content.xls";#N/A,#N/A,TRUE,"P2_MSGS";#N/A,#N/A,TRUE,"P2_DS.XLS";#N/A,#N/A,TRUE,"P2_TST.XLS";#N/A,#N/A,TRUE,"P2_CMD.XLS";#N/A,#N/A,TRUE,"P2_PID.XLS";#N/A,#N/A,TRUE,"P2_DMR.XLS";#N/A,#N/A,TRUE,"P2_DTC.XLS";#N/A,#N/A,TRUE,"P2_CNFG.XLS";#N/A,#N/A,TRUE,"P2_OVR.XLS";#N/A,#N/A,TRUE,"P2_REV.XLS"}</definedName>
    <definedName name="B" localSheetId="11">{#N/A,#N/A,TRUE,"P2_HDR.XLS";#N/A,#N/A,TRUE,"content.xls";#N/A,#N/A,TRUE,"P2_MSGS";#N/A,#N/A,TRUE,"P2_DS.XLS";#N/A,#N/A,TRUE,"P2_TST.XLS";#N/A,#N/A,TRUE,"P2_CMD.XLS";#N/A,#N/A,TRUE,"P2_PID.XLS";#N/A,#N/A,TRUE,"P2_DMR.XLS";#N/A,#N/A,TRUE,"P2_DTC.XLS";#N/A,#N/A,TRUE,"P2_CNFG.XLS";#N/A,#N/A,TRUE,"P2_OVR.XLS";#N/A,#N/A,TRUE,"P2_REV.XLS"}</definedName>
    <definedName name="B" localSheetId="14">{#N/A,#N/A,TRUE,"P2_HDR.XLS";#N/A,#N/A,TRUE,"content.xls";#N/A,#N/A,TRUE,"P2_MSGS";#N/A,#N/A,TRUE,"P2_DS.XLS";#N/A,#N/A,TRUE,"P2_TST.XLS";#N/A,#N/A,TRUE,"P2_CMD.XLS";#N/A,#N/A,TRUE,"P2_PID.XLS";#N/A,#N/A,TRUE,"P2_DMR.XLS";#N/A,#N/A,TRUE,"P2_DTC.XLS";#N/A,#N/A,TRUE,"P2_CNFG.XLS";#N/A,#N/A,TRUE,"P2_OVR.XLS";#N/A,#N/A,TRUE,"P2_REV.XLS"}</definedName>
    <definedName name="B" localSheetId="9">{#N/A,#N/A,TRUE,"P2_HDR.XLS";#N/A,#N/A,TRUE,"content.xls";#N/A,#N/A,TRUE,"P2_MSGS";#N/A,#N/A,TRUE,"P2_DS.XLS";#N/A,#N/A,TRUE,"P2_TST.XLS";#N/A,#N/A,TRUE,"P2_CMD.XLS";#N/A,#N/A,TRUE,"P2_PID.XLS";#N/A,#N/A,TRUE,"P2_DMR.XLS";#N/A,#N/A,TRUE,"P2_DTC.XLS";#N/A,#N/A,TRUE,"P2_CNFG.XLS";#N/A,#N/A,TRUE,"P2_OVR.XLS";#N/A,#N/A,TRUE,"P2_REV.XLS"}</definedName>
    <definedName name="B" localSheetId="3">{#N/A,#N/A,TRUE,"P2_HDR.XLS";#N/A,#N/A,TRUE,"content.xls";#N/A,#N/A,TRUE,"P2_MSGS";#N/A,#N/A,TRUE,"P2_DS.XLS";#N/A,#N/A,TRUE,"P2_TST.XLS";#N/A,#N/A,TRUE,"P2_CMD.XLS";#N/A,#N/A,TRUE,"P2_PID.XLS";#N/A,#N/A,TRUE,"P2_DMR.XLS";#N/A,#N/A,TRUE,"P2_DTC.XLS";#N/A,#N/A,TRUE,"P2_CNFG.XLS";#N/A,#N/A,TRUE,"P2_OVR.XLS";#N/A,#N/A,TRUE,"P2_REV.XLS"}</definedName>
    <definedName name="B" localSheetId="7">{#N/A,#N/A,TRUE,"P2_HDR.XLS";#N/A,#N/A,TRUE,"content.xls";#N/A,#N/A,TRUE,"P2_MSGS";#N/A,#N/A,TRUE,"P2_DS.XLS";#N/A,#N/A,TRUE,"P2_TST.XLS";#N/A,#N/A,TRUE,"P2_CMD.XLS";#N/A,#N/A,TRUE,"P2_PID.XLS";#N/A,#N/A,TRUE,"P2_DMR.XLS";#N/A,#N/A,TRUE,"P2_DTC.XLS";#N/A,#N/A,TRUE,"P2_CNFG.XLS";#N/A,#N/A,TRUE,"P2_OVR.XLS";#N/A,#N/A,TRUE,"P2_REV.XLS"}</definedName>
    <definedName name="B" localSheetId="5">{#N/A,#N/A,TRUE,"P2_HDR.XLS";#N/A,#N/A,TRUE,"content.xls";#N/A,#N/A,TRUE,"P2_MSGS";#N/A,#N/A,TRUE,"P2_DS.XLS";#N/A,#N/A,TRUE,"P2_TST.XLS";#N/A,#N/A,TRUE,"P2_CMD.XLS";#N/A,#N/A,TRUE,"P2_PID.XLS";#N/A,#N/A,TRUE,"P2_DMR.XLS";#N/A,#N/A,TRUE,"P2_DTC.XLS";#N/A,#N/A,TRUE,"P2_CNFG.XLS";#N/A,#N/A,TRUE,"P2_OVR.XLS";#N/A,#N/A,TRUE,"P2_REV.XLS"}</definedName>
    <definedName name="B">{#N/A,#N/A,TRUE,"P2_HDR.XLS";#N/A,#N/A,TRUE,"content.xls";#N/A,#N/A,TRUE,"P2_MSGS";#N/A,#N/A,TRUE,"P2_DS.XLS";#N/A,#N/A,TRUE,"P2_TST.XLS";#N/A,#N/A,TRUE,"P2_CMD.XLS";#N/A,#N/A,TRUE,"P2_PID.XLS";#N/A,#N/A,TRUE,"P2_DMR.XLS";#N/A,#N/A,TRUE,"P2_DTC.XLS";#N/A,#N/A,TRUE,"P2_CNFG.XLS";#N/A,#N/A,TRUE,"P2_OVR.XLS";#N/A,#N/A,TRUE,"P2_REV.XLS"}</definedName>
    <definedName name="BCM" localSheetId="19" hidden="1">{#N/A,#N/A,TRUE,"P2_HDR.XLS";#N/A,#N/A,TRUE,"content.xls";#N/A,#N/A,TRUE,"P2_MSGS";#N/A,#N/A,TRUE,"P2_DS.XLS";#N/A,#N/A,TRUE,"P2_TST.XLS";#N/A,#N/A,TRUE,"P2_CMD.XLS";#N/A,#N/A,TRUE,"P2_PID.XLS";#N/A,#N/A,TRUE,"P2_DMR.XLS";#N/A,#N/A,TRUE,"P2_DTC.XLS";#N/A,#N/A,TRUE,"P2_CNFG.XLS";#N/A,#N/A,TRUE,"P2_OVR.XLS";#N/A,#N/A,TRUE,"P2_REV.XLS"}</definedName>
    <definedName name="BCM" localSheetId="0" hidden="1">{#N/A,#N/A,TRUE,"P2_HDR.XLS";#N/A,#N/A,TRUE,"content.xls";#N/A,#N/A,TRUE,"P2_MSGS";#N/A,#N/A,TRUE,"P2_DS.XLS";#N/A,#N/A,TRUE,"P2_TST.XLS";#N/A,#N/A,TRUE,"P2_CMD.XLS";#N/A,#N/A,TRUE,"P2_PID.XLS";#N/A,#N/A,TRUE,"P2_DMR.XLS";#N/A,#N/A,TRUE,"P2_DTC.XLS";#N/A,#N/A,TRUE,"P2_CNFG.XLS";#N/A,#N/A,TRUE,"P2_OVR.XLS";#N/A,#N/A,TRUE,"P2_REV.XLS"}</definedName>
    <definedName name="BCM" localSheetId="8" hidden="1">{#N/A,#N/A,TRUE,"P2_HDR.XLS";#N/A,#N/A,TRUE,"content.xls";#N/A,#N/A,TRUE,"P2_MSGS";#N/A,#N/A,TRUE,"P2_DS.XLS";#N/A,#N/A,TRUE,"P2_TST.XLS";#N/A,#N/A,TRUE,"P2_CMD.XLS";#N/A,#N/A,TRUE,"P2_PID.XLS";#N/A,#N/A,TRUE,"P2_DMR.XLS";#N/A,#N/A,TRUE,"P2_DTC.XLS";#N/A,#N/A,TRUE,"P2_CNFG.XLS";#N/A,#N/A,TRUE,"P2_OVR.XLS";#N/A,#N/A,TRUE,"P2_REV.XLS"}</definedName>
    <definedName name="BCM" localSheetId="10" hidden="1">{#N/A,#N/A,TRUE,"P2_HDR.XLS";#N/A,#N/A,TRUE,"content.xls";#N/A,#N/A,TRUE,"P2_MSGS";#N/A,#N/A,TRUE,"P2_DS.XLS";#N/A,#N/A,TRUE,"P2_TST.XLS";#N/A,#N/A,TRUE,"P2_CMD.XLS";#N/A,#N/A,TRUE,"P2_PID.XLS";#N/A,#N/A,TRUE,"P2_DMR.XLS";#N/A,#N/A,TRUE,"P2_DTC.XLS";#N/A,#N/A,TRUE,"P2_CNFG.XLS";#N/A,#N/A,TRUE,"P2_OVR.XLS";#N/A,#N/A,TRUE,"P2_REV.XLS"}</definedName>
    <definedName name="BCM" localSheetId="11" hidden="1">{#N/A,#N/A,TRUE,"P2_HDR.XLS";#N/A,#N/A,TRUE,"content.xls";#N/A,#N/A,TRUE,"P2_MSGS";#N/A,#N/A,TRUE,"P2_DS.XLS";#N/A,#N/A,TRUE,"P2_TST.XLS";#N/A,#N/A,TRUE,"P2_CMD.XLS";#N/A,#N/A,TRUE,"P2_PID.XLS";#N/A,#N/A,TRUE,"P2_DMR.XLS";#N/A,#N/A,TRUE,"P2_DTC.XLS";#N/A,#N/A,TRUE,"P2_CNFG.XLS";#N/A,#N/A,TRUE,"P2_OVR.XLS";#N/A,#N/A,TRUE,"P2_REV.XLS"}</definedName>
    <definedName name="BCM" localSheetId="14" hidden="1">{#N/A,#N/A,TRUE,"P2_HDR.XLS";#N/A,#N/A,TRUE,"content.xls";#N/A,#N/A,TRUE,"P2_MSGS";#N/A,#N/A,TRUE,"P2_DS.XLS";#N/A,#N/A,TRUE,"P2_TST.XLS";#N/A,#N/A,TRUE,"P2_CMD.XLS";#N/A,#N/A,TRUE,"P2_PID.XLS";#N/A,#N/A,TRUE,"P2_DMR.XLS";#N/A,#N/A,TRUE,"P2_DTC.XLS";#N/A,#N/A,TRUE,"P2_CNFG.XLS";#N/A,#N/A,TRUE,"P2_OVR.XLS";#N/A,#N/A,TRUE,"P2_REV.XLS"}</definedName>
    <definedName name="BCM" localSheetId="9" hidden="1">{#N/A,#N/A,TRUE,"P2_HDR.XLS";#N/A,#N/A,TRUE,"content.xls";#N/A,#N/A,TRUE,"P2_MSGS";#N/A,#N/A,TRUE,"P2_DS.XLS";#N/A,#N/A,TRUE,"P2_TST.XLS";#N/A,#N/A,TRUE,"P2_CMD.XLS";#N/A,#N/A,TRUE,"P2_PID.XLS";#N/A,#N/A,TRUE,"P2_DMR.XLS";#N/A,#N/A,TRUE,"P2_DTC.XLS";#N/A,#N/A,TRUE,"P2_CNFG.XLS";#N/A,#N/A,TRUE,"P2_OVR.XLS";#N/A,#N/A,TRUE,"P2_REV.XLS"}</definedName>
    <definedName name="BCM" localSheetId="3" hidden="1">{#N/A,#N/A,TRUE,"P2_HDR.XLS";#N/A,#N/A,TRUE,"content.xls";#N/A,#N/A,TRUE,"P2_MSGS";#N/A,#N/A,TRUE,"P2_DS.XLS";#N/A,#N/A,TRUE,"P2_TST.XLS";#N/A,#N/A,TRUE,"P2_CMD.XLS";#N/A,#N/A,TRUE,"P2_PID.XLS";#N/A,#N/A,TRUE,"P2_DMR.XLS";#N/A,#N/A,TRUE,"P2_DTC.XLS";#N/A,#N/A,TRUE,"P2_CNFG.XLS";#N/A,#N/A,TRUE,"P2_OVR.XLS";#N/A,#N/A,TRUE,"P2_REV.XLS"}</definedName>
    <definedName name="BCM" localSheetId="7" hidden="1">{#N/A,#N/A,TRUE,"P2_HDR.XLS";#N/A,#N/A,TRUE,"content.xls";#N/A,#N/A,TRUE,"P2_MSGS";#N/A,#N/A,TRUE,"P2_DS.XLS";#N/A,#N/A,TRUE,"P2_TST.XLS";#N/A,#N/A,TRUE,"P2_CMD.XLS";#N/A,#N/A,TRUE,"P2_PID.XLS";#N/A,#N/A,TRUE,"P2_DMR.XLS";#N/A,#N/A,TRUE,"P2_DTC.XLS";#N/A,#N/A,TRUE,"P2_CNFG.XLS";#N/A,#N/A,TRUE,"P2_OVR.XLS";#N/A,#N/A,TRUE,"P2_REV.XLS"}</definedName>
    <definedName name="BCM" localSheetId="5" hidden="1">{#N/A,#N/A,TRUE,"P2_HDR.XLS";#N/A,#N/A,TRUE,"content.xls";#N/A,#N/A,TRUE,"P2_MSGS";#N/A,#N/A,TRUE,"P2_DS.XLS";#N/A,#N/A,TRUE,"P2_TST.XLS";#N/A,#N/A,TRUE,"P2_CMD.XLS";#N/A,#N/A,TRUE,"P2_PID.XLS";#N/A,#N/A,TRUE,"P2_DMR.XLS";#N/A,#N/A,TRUE,"P2_DTC.XLS";#N/A,#N/A,TRUE,"P2_CNFG.XLS";#N/A,#N/A,TRUE,"P2_OVR.XLS";#N/A,#N/A,TRUE,"P2_REV.XLS"}</definedName>
    <definedName name="BCM" hidden="1">{#N/A,#N/A,TRUE,"P2_HDR.XLS";#N/A,#N/A,TRUE,"content.xls";#N/A,#N/A,TRUE,"P2_MSGS";#N/A,#N/A,TRUE,"P2_DS.XLS";#N/A,#N/A,TRUE,"P2_TST.XLS";#N/A,#N/A,TRUE,"P2_CMD.XLS";#N/A,#N/A,TRUE,"P2_PID.XLS";#N/A,#N/A,TRUE,"P2_DMR.XLS";#N/A,#N/A,TRUE,"P2_DTC.XLS";#N/A,#N/A,TRUE,"P2_CNFG.XLS";#N/A,#N/A,TRUE,"P2_OVR.XLS";#N/A,#N/A,TRUE,"P2_REV.XLS"}</definedName>
    <definedName name="cluster2" localSheetId="19" hidden="1">{#N/A,#N/A,TRUE,"P2_HDR.XLS";#N/A,#N/A,TRUE,"content.xls";#N/A,#N/A,TRUE,"P2_MSGS";#N/A,#N/A,TRUE,"P2_DS.XLS";#N/A,#N/A,TRUE,"P2_TST.XLS";#N/A,#N/A,TRUE,"P2_CMD.XLS";#N/A,#N/A,TRUE,"P2_PID.XLS";#N/A,#N/A,TRUE,"P2_DMR.XLS";#N/A,#N/A,TRUE,"P2_DTC.XLS";#N/A,#N/A,TRUE,"P2_CNFG.XLS";#N/A,#N/A,TRUE,"P2_OVR.XLS";#N/A,#N/A,TRUE,"P2_REV.XLS"}</definedName>
    <definedName name="cluster2" localSheetId="0" hidden="1">{#N/A,#N/A,TRUE,"P2_HDR.XLS";#N/A,#N/A,TRUE,"content.xls";#N/A,#N/A,TRUE,"P2_MSGS";#N/A,#N/A,TRUE,"P2_DS.XLS";#N/A,#N/A,TRUE,"P2_TST.XLS";#N/A,#N/A,TRUE,"P2_CMD.XLS";#N/A,#N/A,TRUE,"P2_PID.XLS";#N/A,#N/A,TRUE,"P2_DMR.XLS";#N/A,#N/A,TRUE,"P2_DTC.XLS";#N/A,#N/A,TRUE,"P2_CNFG.XLS";#N/A,#N/A,TRUE,"P2_OVR.XLS";#N/A,#N/A,TRUE,"P2_REV.XLS"}</definedName>
    <definedName name="cluster2" localSheetId="8" hidden="1">{#N/A,#N/A,TRUE,"P2_HDR.XLS";#N/A,#N/A,TRUE,"content.xls";#N/A,#N/A,TRUE,"P2_MSGS";#N/A,#N/A,TRUE,"P2_DS.XLS";#N/A,#N/A,TRUE,"P2_TST.XLS";#N/A,#N/A,TRUE,"P2_CMD.XLS";#N/A,#N/A,TRUE,"P2_PID.XLS";#N/A,#N/A,TRUE,"P2_DMR.XLS";#N/A,#N/A,TRUE,"P2_DTC.XLS";#N/A,#N/A,TRUE,"P2_CNFG.XLS";#N/A,#N/A,TRUE,"P2_OVR.XLS";#N/A,#N/A,TRUE,"P2_REV.XLS"}</definedName>
    <definedName name="cluster2" localSheetId="10" hidden="1">{#N/A,#N/A,TRUE,"P2_HDR.XLS";#N/A,#N/A,TRUE,"content.xls";#N/A,#N/A,TRUE,"P2_MSGS";#N/A,#N/A,TRUE,"P2_DS.XLS";#N/A,#N/A,TRUE,"P2_TST.XLS";#N/A,#N/A,TRUE,"P2_CMD.XLS";#N/A,#N/A,TRUE,"P2_PID.XLS";#N/A,#N/A,TRUE,"P2_DMR.XLS";#N/A,#N/A,TRUE,"P2_DTC.XLS";#N/A,#N/A,TRUE,"P2_CNFG.XLS";#N/A,#N/A,TRUE,"P2_OVR.XLS";#N/A,#N/A,TRUE,"P2_REV.XLS"}</definedName>
    <definedName name="cluster2" localSheetId="11" hidden="1">{#N/A,#N/A,TRUE,"P2_HDR.XLS";#N/A,#N/A,TRUE,"content.xls";#N/A,#N/A,TRUE,"P2_MSGS";#N/A,#N/A,TRUE,"P2_DS.XLS";#N/A,#N/A,TRUE,"P2_TST.XLS";#N/A,#N/A,TRUE,"P2_CMD.XLS";#N/A,#N/A,TRUE,"P2_PID.XLS";#N/A,#N/A,TRUE,"P2_DMR.XLS";#N/A,#N/A,TRUE,"P2_DTC.XLS";#N/A,#N/A,TRUE,"P2_CNFG.XLS";#N/A,#N/A,TRUE,"P2_OVR.XLS";#N/A,#N/A,TRUE,"P2_REV.XLS"}</definedName>
    <definedName name="cluster2" localSheetId="14" hidden="1">{#N/A,#N/A,TRUE,"P2_HDR.XLS";#N/A,#N/A,TRUE,"content.xls";#N/A,#N/A,TRUE,"P2_MSGS";#N/A,#N/A,TRUE,"P2_DS.XLS";#N/A,#N/A,TRUE,"P2_TST.XLS";#N/A,#N/A,TRUE,"P2_CMD.XLS";#N/A,#N/A,TRUE,"P2_PID.XLS";#N/A,#N/A,TRUE,"P2_DMR.XLS";#N/A,#N/A,TRUE,"P2_DTC.XLS";#N/A,#N/A,TRUE,"P2_CNFG.XLS";#N/A,#N/A,TRUE,"P2_OVR.XLS";#N/A,#N/A,TRUE,"P2_REV.XLS"}</definedName>
    <definedName name="cluster2" localSheetId="9" hidden="1">{#N/A,#N/A,TRUE,"P2_HDR.XLS";#N/A,#N/A,TRUE,"content.xls";#N/A,#N/A,TRUE,"P2_MSGS";#N/A,#N/A,TRUE,"P2_DS.XLS";#N/A,#N/A,TRUE,"P2_TST.XLS";#N/A,#N/A,TRUE,"P2_CMD.XLS";#N/A,#N/A,TRUE,"P2_PID.XLS";#N/A,#N/A,TRUE,"P2_DMR.XLS";#N/A,#N/A,TRUE,"P2_DTC.XLS";#N/A,#N/A,TRUE,"P2_CNFG.XLS";#N/A,#N/A,TRUE,"P2_OVR.XLS";#N/A,#N/A,TRUE,"P2_REV.XLS"}</definedName>
    <definedName name="cluster2" localSheetId="3" hidden="1">{#N/A,#N/A,TRUE,"P2_HDR.XLS";#N/A,#N/A,TRUE,"content.xls";#N/A,#N/A,TRUE,"P2_MSGS";#N/A,#N/A,TRUE,"P2_DS.XLS";#N/A,#N/A,TRUE,"P2_TST.XLS";#N/A,#N/A,TRUE,"P2_CMD.XLS";#N/A,#N/A,TRUE,"P2_PID.XLS";#N/A,#N/A,TRUE,"P2_DMR.XLS";#N/A,#N/A,TRUE,"P2_DTC.XLS";#N/A,#N/A,TRUE,"P2_CNFG.XLS";#N/A,#N/A,TRUE,"P2_OVR.XLS";#N/A,#N/A,TRUE,"P2_REV.XLS"}</definedName>
    <definedName name="cluster2" localSheetId="7" hidden="1">{#N/A,#N/A,TRUE,"P2_HDR.XLS";#N/A,#N/A,TRUE,"content.xls";#N/A,#N/A,TRUE,"P2_MSGS";#N/A,#N/A,TRUE,"P2_DS.XLS";#N/A,#N/A,TRUE,"P2_TST.XLS";#N/A,#N/A,TRUE,"P2_CMD.XLS";#N/A,#N/A,TRUE,"P2_PID.XLS";#N/A,#N/A,TRUE,"P2_DMR.XLS";#N/A,#N/A,TRUE,"P2_DTC.XLS";#N/A,#N/A,TRUE,"P2_CNFG.XLS";#N/A,#N/A,TRUE,"P2_OVR.XLS";#N/A,#N/A,TRUE,"P2_REV.XLS"}</definedName>
    <definedName name="cluster2" localSheetId="5" hidden="1">{#N/A,#N/A,TRUE,"P2_HDR.XLS";#N/A,#N/A,TRUE,"content.xls";#N/A,#N/A,TRUE,"P2_MSGS";#N/A,#N/A,TRUE,"P2_DS.XLS";#N/A,#N/A,TRUE,"P2_TST.XLS";#N/A,#N/A,TRUE,"P2_CMD.XLS";#N/A,#N/A,TRUE,"P2_PID.XLS";#N/A,#N/A,TRUE,"P2_DMR.XLS";#N/A,#N/A,TRUE,"P2_DTC.XLS";#N/A,#N/A,TRUE,"P2_CNFG.XLS";#N/A,#N/A,TRUE,"P2_OVR.XLS";#N/A,#N/A,TRUE,"P2_REV.XLS"}</definedName>
    <definedName name="cluster2" hidden="1">{#N/A,#N/A,TRUE,"P2_HDR.XLS";#N/A,#N/A,TRUE,"content.xls";#N/A,#N/A,TRUE,"P2_MSGS";#N/A,#N/A,TRUE,"P2_DS.XLS";#N/A,#N/A,TRUE,"P2_TST.XLS";#N/A,#N/A,TRUE,"P2_CMD.XLS";#N/A,#N/A,TRUE,"P2_PID.XLS";#N/A,#N/A,TRUE,"P2_DMR.XLS";#N/A,#N/A,TRUE,"P2_DTC.XLS";#N/A,#N/A,TRUE,"P2_CNFG.XLS";#N/A,#N/A,TRUE,"P2_OVR.XLS";#N/A,#N/A,TRUE,"P2_REV.XLS"}</definedName>
    <definedName name="cluster3" localSheetId="19" hidden="1">{#N/A,#N/A,TRUE,"P2_HDR.XLS";#N/A,#N/A,TRUE,"content.xls";#N/A,#N/A,TRUE,"P2_MSGS";#N/A,#N/A,TRUE,"P2_DS.XLS";#N/A,#N/A,TRUE,"P2_TST.XLS";#N/A,#N/A,TRUE,"P2_CMD.XLS";#N/A,#N/A,TRUE,"P2_PID.XLS";#N/A,#N/A,TRUE,"P2_DMR.XLS";#N/A,#N/A,TRUE,"P2_DTC.XLS";#N/A,#N/A,TRUE,"P2_CNFG.XLS";#N/A,#N/A,TRUE,"P2_OVR.XLS";#N/A,#N/A,TRUE,"P2_REV.XLS"}</definedName>
    <definedName name="cluster3" localSheetId="0" hidden="1">{#N/A,#N/A,TRUE,"P2_HDR.XLS";#N/A,#N/A,TRUE,"content.xls";#N/A,#N/A,TRUE,"P2_MSGS";#N/A,#N/A,TRUE,"P2_DS.XLS";#N/A,#N/A,TRUE,"P2_TST.XLS";#N/A,#N/A,TRUE,"P2_CMD.XLS";#N/A,#N/A,TRUE,"P2_PID.XLS";#N/A,#N/A,TRUE,"P2_DMR.XLS";#N/A,#N/A,TRUE,"P2_DTC.XLS";#N/A,#N/A,TRUE,"P2_CNFG.XLS";#N/A,#N/A,TRUE,"P2_OVR.XLS";#N/A,#N/A,TRUE,"P2_REV.XLS"}</definedName>
    <definedName name="cluster3" localSheetId="8" hidden="1">{#N/A,#N/A,TRUE,"P2_HDR.XLS";#N/A,#N/A,TRUE,"content.xls";#N/A,#N/A,TRUE,"P2_MSGS";#N/A,#N/A,TRUE,"P2_DS.XLS";#N/A,#N/A,TRUE,"P2_TST.XLS";#N/A,#N/A,TRUE,"P2_CMD.XLS";#N/A,#N/A,TRUE,"P2_PID.XLS";#N/A,#N/A,TRUE,"P2_DMR.XLS";#N/A,#N/A,TRUE,"P2_DTC.XLS";#N/A,#N/A,TRUE,"P2_CNFG.XLS";#N/A,#N/A,TRUE,"P2_OVR.XLS";#N/A,#N/A,TRUE,"P2_REV.XLS"}</definedName>
    <definedName name="cluster3" localSheetId="10" hidden="1">{#N/A,#N/A,TRUE,"P2_HDR.XLS";#N/A,#N/A,TRUE,"content.xls";#N/A,#N/A,TRUE,"P2_MSGS";#N/A,#N/A,TRUE,"P2_DS.XLS";#N/A,#N/A,TRUE,"P2_TST.XLS";#N/A,#N/A,TRUE,"P2_CMD.XLS";#N/A,#N/A,TRUE,"P2_PID.XLS";#N/A,#N/A,TRUE,"P2_DMR.XLS";#N/A,#N/A,TRUE,"P2_DTC.XLS";#N/A,#N/A,TRUE,"P2_CNFG.XLS";#N/A,#N/A,TRUE,"P2_OVR.XLS";#N/A,#N/A,TRUE,"P2_REV.XLS"}</definedName>
    <definedName name="cluster3" localSheetId="11" hidden="1">{#N/A,#N/A,TRUE,"P2_HDR.XLS";#N/A,#N/A,TRUE,"content.xls";#N/A,#N/A,TRUE,"P2_MSGS";#N/A,#N/A,TRUE,"P2_DS.XLS";#N/A,#N/A,TRUE,"P2_TST.XLS";#N/A,#N/A,TRUE,"P2_CMD.XLS";#N/A,#N/A,TRUE,"P2_PID.XLS";#N/A,#N/A,TRUE,"P2_DMR.XLS";#N/A,#N/A,TRUE,"P2_DTC.XLS";#N/A,#N/A,TRUE,"P2_CNFG.XLS";#N/A,#N/A,TRUE,"P2_OVR.XLS";#N/A,#N/A,TRUE,"P2_REV.XLS"}</definedName>
    <definedName name="cluster3" localSheetId="14" hidden="1">{#N/A,#N/A,TRUE,"P2_HDR.XLS";#N/A,#N/A,TRUE,"content.xls";#N/A,#N/A,TRUE,"P2_MSGS";#N/A,#N/A,TRUE,"P2_DS.XLS";#N/A,#N/A,TRUE,"P2_TST.XLS";#N/A,#N/A,TRUE,"P2_CMD.XLS";#N/A,#N/A,TRUE,"P2_PID.XLS";#N/A,#N/A,TRUE,"P2_DMR.XLS";#N/A,#N/A,TRUE,"P2_DTC.XLS";#N/A,#N/A,TRUE,"P2_CNFG.XLS";#N/A,#N/A,TRUE,"P2_OVR.XLS";#N/A,#N/A,TRUE,"P2_REV.XLS"}</definedName>
    <definedName name="cluster3" localSheetId="9" hidden="1">{#N/A,#N/A,TRUE,"P2_HDR.XLS";#N/A,#N/A,TRUE,"content.xls";#N/A,#N/A,TRUE,"P2_MSGS";#N/A,#N/A,TRUE,"P2_DS.XLS";#N/A,#N/A,TRUE,"P2_TST.XLS";#N/A,#N/A,TRUE,"P2_CMD.XLS";#N/A,#N/A,TRUE,"P2_PID.XLS";#N/A,#N/A,TRUE,"P2_DMR.XLS";#N/A,#N/A,TRUE,"P2_DTC.XLS";#N/A,#N/A,TRUE,"P2_CNFG.XLS";#N/A,#N/A,TRUE,"P2_OVR.XLS";#N/A,#N/A,TRUE,"P2_REV.XLS"}</definedName>
    <definedName name="cluster3" localSheetId="3" hidden="1">{#N/A,#N/A,TRUE,"P2_HDR.XLS";#N/A,#N/A,TRUE,"content.xls";#N/A,#N/A,TRUE,"P2_MSGS";#N/A,#N/A,TRUE,"P2_DS.XLS";#N/A,#N/A,TRUE,"P2_TST.XLS";#N/A,#N/A,TRUE,"P2_CMD.XLS";#N/A,#N/A,TRUE,"P2_PID.XLS";#N/A,#N/A,TRUE,"P2_DMR.XLS";#N/A,#N/A,TRUE,"P2_DTC.XLS";#N/A,#N/A,TRUE,"P2_CNFG.XLS";#N/A,#N/A,TRUE,"P2_OVR.XLS";#N/A,#N/A,TRUE,"P2_REV.XLS"}</definedName>
    <definedName name="cluster3" localSheetId="7" hidden="1">{#N/A,#N/A,TRUE,"P2_HDR.XLS";#N/A,#N/A,TRUE,"content.xls";#N/A,#N/A,TRUE,"P2_MSGS";#N/A,#N/A,TRUE,"P2_DS.XLS";#N/A,#N/A,TRUE,"P2_TST.XLS";#N/A,#N/A,TRUE,"P2_CMD.XLS";#N/A,#N/A,TRUE,"P2_PID.XLS";#N/A,#N/A,TRUE,"P2_DMR.XLS";#N/A,#N/A,TRUE,"P2_DTC.XLS";#N/A,#N/A,TRUE,"P2_CNFG.XLS";#N/A,#N/A,TRUE,"P2_OVR.XLS";#N/A,#N/A,TRUE,"P2_REV.XLS"}</definedName>
    <definedName name="cluster3" localSheetId="5" hidden="1">{#N/A,#N/A,TRUE,"P2_HDR.XLS";#N/A,#N/A,TRUE,"content.xls";#N/A,#N/A,TRUE,"P2_MSGS";#N/A,#N/A,TRUE,"P2_DS.XLS";#N/A,#N/A,TRUE,"P2_TST.XLS";#N/A,#N/A,TRUE,"P2_CMD.XLS";#N/A,#N/A,TRUE,"P2_PID.XLS";#N/A,#N/A,TRUE,"P2_DMR.XLS";#N/A,#N/A,TRUE,"P2_DTC.XLS";#N/A,#N/A,TRUE,"P2_CNFG.XLS";#N/A,#N/A,TRUE,"P2_OVR.XLS";#N/A,#N/A,TRUE,"P2_REV.XLS"}</definedName>
    <definedName name="cluster3" hidden="1">{#N/A,#N/A,TRUE,"P2_HDR.XLS";#N/A,#N/A,TRUE,"content.xls";#N/A,#N/A,TRUE,"P2_MSGS";#N/A,#N/A,TRUE,"P2_DS.XLS";#N/A,#N/A,TRUE,"P2_TST.XLS";#N/A,#N/A,TRUE,"P2_CMD.XLS";#N/A,#N/A,TRUE,"P2_PID.XLS";#N/A,#N/A,TRUE,"P2_DMR.XLS";#N/A,#N/A,TRUE,"P2_DTC.XLS";#N/A,#N/A,TRUE,"P2_CNFG.XLS";#N/A,#N/A,TRUE,"P2_OVR.XLS";#N/A,#N/A,TRUE,"P2_REV.XLS"}</definedName>
    <definedName name="CoreAssemblyNumber" localSheetId="19">#REF!</definedName>
    <definedName name="CoreAssemblyNumber" localSheetId="0">#REF!</definedName>
    <definedName name="CoreAssemblyNumber">#REF!</definedName>
    <definedName name="D" localSheetId="19">{#N/A,#N/A,TRUE,"P2_HDR.XLS";#N/A,#N/A,TRUE,"content.xls";#N/A,#N/A,TRUE,"P2_MSGS";#N/A,#N/A,TRUE,"P2_DS.XLS";#N/A,#N/A,TRUE,"P2_TST.XLS";#N/A,#N/A,TRUE,"P2_CMD.XLS";#N/A,#N/A,TRUE,"P2_PID.XLS";#N/A,#N/A,TRUE,"P2_DMR.XLS";#N/A,#N/A,TRUE,"P2_DTC.XLS";#N/A,#N/A,TRUE,"P2_CNFG.XLS";#N/A,#N/A,TRUE,"P2_OVR.XLS";#N/A,#N/A,TRUE,"P2_REV.XLS"}</definedName>
    <definedName name="D" localSheetId="0">{#N/A,#N/A,TRUE,"P2_HDR.XLS";#N/A,#N/A,TRUE,"content.xls";#N/A,#N/A,TRUE,"P2_MSGS";#N/A,#N/A,TRUE,"P2_DS.XLS";#N/A,#N/A,TRUE,"P2_TST.XLS";#N/A,#N/A,TRUE,"P2_CMD.XLS";#N/A,#N/A,TRUE,"P2_PID.XLS";#N/A,#N/A,TRUE,"P2_DMR.XLS";#N/A,#N/A,TRUE,"P2_DTC.XLS";#N/A,#N/A,TRUE,"P2_CNFG.XLS";#N/A,#N/A,TRUE,"P2_OVR.XLS";#N/A,#N/A,TRUE,"P2_REV.XLS"}</definedName>
    <definedName name="D" localSheetId="8">{#N/A,#N/A,TRUE,"P2_HDR.XLS";#N/A,#N/A,TRUE,"content.xls";#N/A,#N/A,TRUE,"P2_MSGS";#N/A,#N/A,TRUE,"P2_DS.XLS";#N/A,#N/A,TRUE,"P2_TST.XLS";#N/A,#N/A,TRUE,"P2_CMD.XLS";#N/A,#N/A,TRUE,"P2_PID.XLS";#N/A,#N/A,TRUE,"P2_DMR.XLS";#N/A,#N/A,TRUE,"P2_DTC.XLS";#N/A,#N/A,TRUE,"P2_CNFG.XLS";#N/A,#N/A,TRUE,"P2_OVR.XLS";#N/A,#N/A,TRUE,"P2_REV.XLS"}</definedName>
    <definedName name="D" localSheetId="10">{#N/A,#N/A,TRUE,"P2_HDR.XLS";#N/A,#N/A,TRUE,"content.xls";#N/A,#N/A,TRUE,"P2_MSGS";#N/A,#N/A,TRUE,"P2_DS.XLS";#N/A,#N/A,TRUE,"P2_TST.XLS";#N/A,#N/A,TRUE,"P2_CMD.XLS";#N/A,#N/A,TRUE,"P2_PID.XLS";#N/A,#N/A,TRUE,"P2_DMR.XLS";#N/A,#N/A,TRUE,"P2_DTC.XLS";#N/A,#N/A,TRUE,"P2_CNFG.XLS";#N/A,#N/A,TRUE,"P2_OVR.XLS";#N/A,#N/A,TRUE,"P2_REV.XLS"}</definedName>
    <definedName name="D" localSheetId="11">{#N/A,#N/A,TRUE,"P2_HDR.XLS";#N/A,#N/A,TRUE,"content.xls";#N/A,#N/A,TRUE,"P2_MSGS";#N/A,#N/A,TRUE,"P2_DS.XLS";#N/A,#N/A,TRUE,"P2_TST.XLS";#N/A,#N/A,TRUE,"P2_CMD.XLS";#N/A,#N/A,TRUE,"P2_PID.XLS";#N/A,#N/A,TRUE,"P2_DMR.XLS";#N/A,#N/A,TRUE,"P2_DTC.XLS";#N/A,#N/A,TRUE,"P2_CNFG.XLS";#N/A,#N/A,TRUE,"P2_OVR.XLS";#N/A,#N/A,TRUE,"P2_REV.XLS"}</definedName>
    <definedName name="D" localSheetId="14">{#N/A,#N/A,TRUE,"P2_HDR.XLS";#N/A,#N/A,TRUE,"content.xls";#N/A,#N/A,TRUE,"P2_MSGS";#N/A,#N/A,TRUE,"P2_DS.XLS";#N/A,#N/A,TRUE,"P2_TST.XLS";#N/A,#N/A,TRUE,"P2_CMD.XLS";#N/A,#N/A,TRUE,"P2_PID.XLS";#N/A,#N/A,TRUE,"P2_DMR.XLS";#N/A,#N/A,TRUE,"P2_DTC.XLS";#N/A,#N/A,TRUE,"P2_CNFG.XLS";#N/A,#N/A,TRUE,"P2_OVR.XLS";#N/A,#N/A,TRUE,"P2_REV.XLS"}</definedName>
    <definedName name="D" localSheetId="9">{#N/A,#N/A,TRUE,"P2_HDR.XLS";#N/A,#N/A,TRUE,"content.xls";#N/A,#N/A,TRUE,"P2_MSGS";#N/A,#N/A,TRUE,"P2_DS.XLS";#N/A,#N/A,TRUE,"P2_TST.XLS";#N/A,#N/A,TRUE,"P2_CMD.XLS";#N/A,#N/A,TRUE,"P2_PID.XLS";#N/A,#N/A,TRUE,"P2_DMR.XLS";#N/A,#N/A,TRUE,"P2_DTC.XLS";#N/A,#N/A,TRUE,"P2_CNFG.XLS";#N/A,#N/A,TRUE,"P2_OVR.XLS";#N/A,#N/A,TRUE,"P2_REV.XLS"}</definedName>
    <definedName name="D" localSheetId="3">{#N/A,#N/A,TRUE,"P2_HDR.XLS";#N/A,#N/A,TRUE,"content.xls";#N/A,#N/A,TRUE,"P2_MSGS";#N/A,#N/A,TRUE,"P2_DS.XLS";#N/A,#N/A,TRUE,"P2_TST.XLS";#N/A,#N/A,TRUE,"P2_CMD.XLS";#N/A,#N/A,TRUE,"P2_PID.XLS";#N/A,#N/A,TRUE,"P2_DMR.XLS";#N/A,#N/A,TRUE,"P2_DTC.XLS";#N/A,#N/A,TRUE,"P2_CNFG.XLS";#N/A,#N/A,TRUE,"P2_OVR.XLS";#N/A,#N/A,TRUE,"P2_REV.XLS"}</definedName>
    <definedName name="D" localSheetId="7">{#N/A,#N/A,TRUE,"P2_HDR.XLS";#N/A,#N/A,TRUE,"content.xls";#N/A,#N/A,TRUE,"P2_MSGS";#N/A,#N/A,TRUE,"P2_DS.XLS";#N/A,#N/A,TRUE,"P2_TST.XLS";#N/A,#N/A,TRUE,"P2_CMD.XLS";#N/A,#N/A,TRUE,"P2_PID.XLS";#N/A,#N/A,TRUE,"P2_DMR.XLS";#N/A,#N/A,TRUE,"P2_DTC.XLS";#N/A,#N/A,TRUE,"P2_CNFG.XLS";#N/A,#N/A,TRUE,"P2_OVR.XLS";#N/A,#N/A,TRUE,"P2_REV.XLS"}</definedName>
    <definedName name="D" localSheetId="5">{#N/A,#N/A,TRUE,"P2_HDR.XLS";#N/A,#N/A,TRUE,"content.xls";#N/A,#N/A,TRUE,"P2_MSGS";#N/A,#N/A,TRUE,"P2_DS.XLS";#N/A,#N/A,TRUE,"P2_TST.XLS";#N/A,#N/A,TRUE,"P2_CMD.XLS";#N/A,#N/A,TRUE,"P2_PID.XLS";#N/A,#N/A,TRUE,"P2_DMR.XLS";#N/A,#N/A,TRUE,"P2_DTC.XLS";#N/A,#N/A,TRUE,"P2_CNFG.XLS";#N/A,#N/A,TRUE,"P2_OVR.XLS";#N/A,#N/A,TRUE,"P2_REV.XLS"}</definedName>
    <definedName name="D">{#N/A,#N/A,TRUE,"P2_HDR.XLS";#N/A,#N/A,TRUE,"content.xls";#N/A,#N/A,TRUE,"P2_MSGS";#N/A,#N/A,TRUE,"P2_DS.XLS";#N/A,#N/A,TRUE,"P2_TST.XLS";#N/A,#N/A,TRUE,"P2_CMD.XLS";#N/A,#N/A,TRUE,"P2_PID.XLS";#N/A,#N/A,TRUE,"P2_DMR.XLS";#N/A,#N/A,TRUE,"P2_DTC.XLS";#N/A,#N/A,TRUE,"P2_CNFG.XLS";#N/A,#N/A,TRUE,"P2_OVR.XLS";#N/A,#N/A,TRUE,"P2_REV.XLS"}</definedName>
    <definedName name="data" localSheetId="19">#REF!</definedName>
    <definedName name="data" localSheetId="0">#REF!</definedName>
    <definedName name="data">#REF!</definedName>
    <definedName name="data_table" localSheetId="19">#REF!</definedName>
    <definedName name="data_table" localSheetId="8">#REF!</definedName>
    <definedName name="data_table" localSheetId="10">#REF!</definedName>
    <definedName name="data_table" localSheetId="11">#REF!</definedName>
    <definedName name="data_table" localSheetId="14">#REF!</definedName>
    <definedName name="data_table" localSheetId="9">#REF!</definedName>
    <definedName name="data_table" localSheetId="3">#REF!</definedName>
    <definedName name="data_table" localSheetId="5">#REF!</definedName>
    <definedName name="data_table">#REF!</definedName>
    <definedName name="data1" localSheetId="19" hidden="1">{#N/A,#N/A,TRUE,"P2_HDR.XLS";#N/A,#N/A,TRUE,"content.xls";#N/A,#N/A,TRUE,"P2_MSGS";#N/A,#N/A,TRUE,"P2_DS.XLS";#N/A,#N/A,TRUE,"P2_TST.XLS";#N/A,#N/A,TRUE,"P2_CMD.XLS";#N/A,#N/A,TRUE,"P2_PID.XLS";#N/A,#N/A,TRUE,"P2_DMR.XLS";#N/A,#N/A,TRUE,"P2_DTC.XLS";#N/A,#N/A,TRUE,"P2_CNFG.XLS";#N/A,#N/A,TRUE,"P2_OVR.XLS";#N/A,#N/A,TRUE,"P2_REV.XLS"}</definedName>
    <definedName name="data1" localSheetId="0" hidden="1">{#N/A,#N/A,TRUE,"P2_HDR.XLS";#N/A,#N/A,TRUE,"content.xls";#N/A,#N/A,TRUE,"P2_MSGS";#N/A,#N/A,TRUE,"P2_DS.XLS";#N/A,#N/A,TRUE,"P2_TST.XLS";#N/A,#N/A,TRUE,"P2_CMD.XLS";#N/A,#N/A,TRUE,"P2_PID.XLS";#N/A,#N/A,TRUE,"P2_DMR.XLS";#N/A,#N/A,TRUE,"P2_DTC.XLS";#N/A,#N/A,TRUE,"P2_CNFG.XLS";#N/A,#N/A,TRUE,"P2_OVR.XLS";#N/A,#N/A,TRUE,"P2_REV.XLS"}</definedName>
    <definedName name="data1" localSheetId="8" hidden="1">{#N/A,#N/A,TRUE,"P2_HDR.XLS";#N/A,#N/A,TRUE,"content.xls";#N/A,#N/A,TRUE,"P2_MSGS";#N/A,#N/A,TRUE,"P2_DS.XLS";#N/A,#N/A,TRUE,"P2_TST.XLS";#N/A,#N/A,TRUE,"P2_CMD.XLS";#N/A,#N/A,TRUE,"P2_PID.XLS";#N/A,#N/A,TRUE,"P2_DMR.XLS";#N/A,#N/A,TRUE,"P2_DTC.XLS";#N/A,#N/A,TRUE,"P2_CNFG.XLS";#N/A,#N/A,TRUE,"P2_OVR.XLS";#N/A,#N/A,TRUE,"P2_REV.XLS"}</definedName>
    <definedName name="data1" localSheetId="10" hidden="1">{#N/A,#N/A,TRUE,"P2_HDR.XLS";#N/A,#N/A,TRUE,"content.xls";#N/A,#N/A,TRUE,"P2_MSGS";#N/A,#N/A,TRUE,"P2_DS.XLS";#N/A,#N/A,TRUE,"P2_TST.XLS";#N/A,#N/A,TRUE,"P2_CMD.XLS";#N/A,#N/A,TRUE,"P2_PID.XLS";#N/A,#N/A,TRUE,"P2_DMR.XLS";#N/A,#N/A,TRUE,"P2_DTC.XLS";#N/A,#N/A,TRUE,"P2_CNFG.XLS";#N/A,#N/A,TRUE,"P2_OVR.XLS";#N/A,#N/A,TRUE,"P2_REV.XLS"}</definedName>
    <definedName name="data1" localSheetId="11" hidden="1">{#N/A,#N/A,TRUE,"P2_HDR.XLS";#N/A,#N/A,TRUE,"content.xls";#N/A,#N/A,TRUE,"P2_MSGS";#N/A,#N/A,TRUE,"P2_DS.XLS";#N/A,#N/A,TRUE,"P2_TST.XLS";#N/A,#N/A,TRUE,"P2_CMD.XLS";#N/A,#N/A,TRUE,"P2_PID.XLS";#N/A,#N/A,TRUE,"P2_DMR.XLS";#N/A,#N/A,TRUE,"P2_DTC.XLS";#N/A,#N/A,TRUE,"P2_CNFG.XLS";#N/A,#N/A,TRUE,"P2_OVR.XLS";#N/A,#N/A,TRUE,"P2_REV.XLS"}</definedName>
    <definedName name="data1" localSheetId="14" hidden="1">{#N/A,#N/A,TRUE,"P2_HDR.XLS";#N/A,#N/A,TRUE,"content.xls";#N/A,#N/A,TRUE,"P2_MSGS";#N/A,#N/A,TRUE,"P2_DS.XLS";#N/A,#N/A,TRUE,"P2_TST.XLS";#N/A,#N/A,TRUE,"P2_CMD.XLS";#N/A,#N/A,TRUE,"P2_PID.XLS";#N/A,#N/A,TRUE,"P2_DMR.XLS";#N/A,#N/A,TRUE,"P2_DTC.XLS";#N/A,#N/A,TRUE,"P2_CNFG.XLS";#N/A,#N/A,TRUE,"P2_OVR.XLS";#N/A,#N/A,TRUE,"P2_REV.XLS"}</definedName>
    <definedName name="data1" localSheetId="9" hidden="1">{#N/A,#N/A,TRUE,"P2_HDR.XLS";#N/A,#N/A,TRUE,"content.xls";#N/A,#N/A,TRUE,"P2_MSGS";#N/A,#N/A,TRUE,"P2_DS.XLS";#N/A,#N/A,TRUE,"P2_TST.XLS";#N/A,#N/A,TRUE,"P2_CMD.XLS";#N/A,#N/A,TRUE,"P2_PID.XLS";#N/A,#N/A,TRUE,"P2_DMR.XLS";#N/A,#N/A,TRUE,"P2_DTC.XLS";#N/A,#N/A,TRUE,"P2_CNFG.XLS";#N/A,#N/A,TRUE,"P2_OVR.XLS";#N/A,#N/A,TRUE,"P2_REV.XLS"}</definedName>
    <definedName name="data1" localSheetId="3" hidden="1">{#N/A,#N/A,TRUE,"P2_HDR.XLS";#N/A,#N/A,TRUE,"content.xls";#N/A,#N/A,TRUE,"P2_MSGS";#N/A,#N/A,TRUE,"P2_DS.XLS";#N/A,#N/A,TRUE,"P2_TST.XLS";#N/A,#N/A,TRUE,"P2_CMD.XLS";#N/A,#N/A,TRUE,"P2_PID.XLS";#N/A,#N/A,TRUE,"P2_DMR.XLS";#N/A,#N/A,TRUE,"P2_DTC.XLS";#N/A,#N/A,TRUE,"P2_CNFG.XLS";#N/A,#N/A,TRUE,"P2_OVR.XLS";#N/A,#N/A,TRUE,"P2_REV.XLS"}</definedName>
    <definedName name="data1" localSheetId="7" hidden="1">{#N/A,#N/A,TRUE,"P2_HDR.XLS";#N/A,#N/A,TRUE,"content.xls";#N/A,#N/A,TRUE,"P2_MSGS";#N/A,#N/A,TRUE,"P2_DS.XLS";#N/A,#N/A,TRUE,"P2_TST.XLS";#N/A,#N/A,TRUE,"P2_CMD.XLS";#N/A,#N/A,TRUE,"P2_PID.XLS";#N/A,#N/A,TRUE,"P2_DMR.XLS";#N/A,#N/A,TRUE,"P2_DTC.XLS";#N/A,#N/A,TRUE,"P2_CNFG.XLS";#N/A,#N/A,TRUE,"P2_OVR.XLS";#N/A,#N/A,TRUE,"P2_REV.XLS"}</definedName>
    <definedName name="data1" localSheetId="5" hidden="1">{#N/A,#N/A,TRUE,"P2_HDR.XLS";#N/A,#N/A,TRUE,"content.xls";#N/A,#N/A,TRUE,"P2_MSGS";#N/A,#N/A,TRUE,"P2_DS.XLS";#N/A,#N/A,TRUE,"P2_TST.XLS";#N/A,#N/A,TRUE,"P2_CMD.XLS";#N/A,#N/A,TRUE,"P2_PID.XLS";#N/A,#N/A,TRUE,"P2_DMR.XLS";#N/A,#N/A,TRUE,"P2_DTC.XLS";#N/A,#N/A,TRUE,"P2_CNFG.XLS";#N/A,#N/A,TRUE,"P2_OVR.XLS";#N/A,#N/A,TRUE,"P2_REV.XLS"}</definedName>
    <definedName name="data1" hidden="1">{#N/A,#N/A,TRUE,"P2_HDR.XLS";#N/A,#N/A,TRUE,"content.xls";#N/A,#N/A,TRUE,"P2_MSGS";#N/A,#N/A,TRUE,"P2_DS.XLS";#N/A,#N/A,TRUE,"P2_TST.XLS";#N/A,#N/A,TRUE,"P2_CMD.XLS";#N/A,#N/A,TRUE,"P2_PID.XLS";#N/A,#N/A,TRUE,"P2_DMR.XLS";#N/A,#N/A,TRUE,"P2_DTC.XLS";#N/A,#N/A,TRUE,"P2_CNFG.XLS";#N/A,#N/A,TRUE,"P2_OVR.XLS";#N/A,#N/A,TRUE,"P2_REV.XLS"}</definedName>
    <definedName name="Date" localSheetId="19">#REF!</definedName>
    <definedName name="Date" localSheetId="0">#REF!</definedName>
    <definedName name="Date">#REF!</definedName>
    <definedName name="Definition" localSheetId="19">#REF!</definedName>
    <definedName name="Definition" localSheetId="8">#REF!</definedName>
    <definedName name="Definition" localSheetId="10">#REF!</definedName>
    <definedName name="Definition" localSheetId="11">#REF!</definedName>
    <definedName name="Definition" localSheetId="14">#REF!</definedName>
    <definedName name="Definition" localSheetId="9">#REF!</definedName>
    <definedName name="Definition" localSheetId="3">#REF!</definedName>
    <definedName name="Definition" localSheetId="5">#REF!</definedName>
    <definedName name="Definition">#REF!</definedName>
    <definedName name="Description" localSheetId="19">#REF!</definedName>
    <definedName name="Description" localSheetId="8">#REF!</definedName>
    <definedName name="Description" localSheetId="10">#REF!</definedName>
    <definedName name="Description" localSheetId="11">#REF!</definedName>
    <definedName name="Description" localSheetId="14">#REF!</definedName>
    <definedName name="Description" localSheetId="9">#REF!</definedName>
    <definedName name="Description" localSheetId="3">#REF!</definedName>
    <definedName name="Description" localSheetId="5">#REF!</definedName>
    <definedName name="Description">#REF!</definedName>
    <definedName name="DiagnosticScriptPlayerVersion" localSheetId="19">#REF!</definedName>
    <definedName name="DiagnosticScriptPlayerVersion" localSheetId="8">#REF!</definedName>
    <definedName name="DiagnosticScriptPlayerVersion" localSheetId="14">#REF!</definedName>
    <definedName name="DiagnosticScriptPlayerVersion">#REF!</definedName>
    <definedName name="E" localSheetId="19">{#N/A,#N/A,TRUE,"P2_HDR.XLS";#N/A,#N/A,TRUE,"content.xls";#N/A,#N/A,TRUE,"P2_MSGS";#N/A,#N/A,TRUE,"P2_DS.XLS";#N/A,#N/A,TRUE,"P2_TST.XLS";#N/A,#N/A,TRUE,"P2_CMD.XLS";#N/A,#N/A,TRUE,"P2_PID.XLS";#N/A,#N/A,TRUE,"P2_DMR.XLS";#N/A,#N/A,TRUE,"P2_DTC.XLS";#N/A,#N/A,TRUE,"P2_CNFG.XLS";#N/A,#N/A,TRUE,"P2_OVR.XLS";#N/A,#N/A,TRUE,"P2_REV.XLS"}</definedName>
    <definedName name="E" localSheetId="0">{#N/A,#N/A,TRUE,"P2_HDR.XLS";#N/A,#N/A,TRUE,"content.xls";#N/A,#N/A,TRUE,"P2_MSGS";#N/A,#N/A,TRUE,"P2_DS.XLS";#N/A,#N/A,TRUE,"P2_TST.XLS";#N/A,#N/A,TRUE,"P2_CMD.XLS";#N/A,#N/A,TRUE,"P2_PID.XLS";#N/A,#N/A,TRUE,"P2_DMR.XLS";#N/A,#N/A,TRUE,"P2_DTC.XLS";#N/A,#N/A,TRUE,"P2_CNFG.XLS";#N/A,#N/A,TRUE,"P2_OVR.XLS";#N/A,#N/A,TRUE,"P2_REV.XLS"}</definedName>
    <definedName name="E" localSheetId="8">{#N/A,#N/A,TRUE,"P2_HDR.XLS";#N/A,#N/A,TRUE,"content.xls";#N/A,#N/A,TRUE,"P2_MSGS";#N/A,#N/A,TRUE,"P2_DS.XLS";#N/A,#N/A,TRUE,"P2_TST.XLS";#N/A,#N/A,TRUE,"P2_CMD.XLS";#N/A,#N/A,TRUE,"P2_PID.XLS";#N/A,#N/A,TRUE,"P2_DMR.XLS";#N/A,#N/A,TRUE,"P2_DTC.XLS";#N/A,#N/A,TRUE,"P2_CNFG.XLS";#N/A,#N/A,TRUE,"P2_OVR.XLS";#N/A,#N/A,TRUE,"P2_REV.XLS"}</definedName>
    <definedName name="E" localSheetId="10">{#N/A,#N/A,TRUE,"P2_HDR.XLS";#N/A,#N/A,TRUE,"content.xls";#N/A,#N/A,TRUE,"P2_MSGS";#N/A,#N/A,TRUE,"P2_DS.XLS";#N/A,#N/A,TRUE,"P2_TST.XLS";#N/A,#N/A,TRUE,"P2_CMD.XLS";#N/A,#N/A,TRUE,"P2_PID.XLS";#N/A,#N/A,TRUE,"P2_DMR.XLS";#N/A,#N/A,TRUE,"P2_DTC.XLS";#N/A,#N/A,TRUE,"P2_CNFG.XLS";#N/A,#N/A,TRUE,"P2_OVR.XLS";#N/A,#N/A,TRUE,"P2_REV.XLS"}</definedName>
    <definedName name="E" localSheetId="11">{#N/A,#N/A,TRUE,"P2_HDR.XLS";#N/A,#N/A,TRUE,"content.xls";#N/A,#N/A,TRUE,"P2_MSGS";#N/A,#N/A,TRUE,"P2_DS.XLS";#N/A,#N/A,TRUE,"P2_TST.XLS";#N/A,#N/A,TRUE,"P2_CMD.XLS";#N/A,#N/A,TRUE,"P2_PID.XLS";#N/A,#N/A,TRUE,"P2_DMR.XLS";#N/A,#N/A,TRUE,"P2_DTC.XLS";#N/A,#N/A,TRUE,"P2_CNFG.XLS";#N/A,#N/A,TRUE,"P2_OVR.XLS";#N/A,#N/A,TRUE,"P2_REV.XLS"}</definedName>
    <definedName name="E" localSheetId="14">{#N/A,#N/A,TRUE,"P2_HDR.XLS";#N/A,#N/A,TRUE,"content.xls";#N/A,#N/A,TRUE,"P2_MSGS";#N/A,#N/A,TRUE,"P2_DS.XLS";#N/A,#N/A,TRUE,"P2_TST.XLS";#N/A,#N/A,TRUE,"P2_CMD.XLS";#N/A,#N/A,TRUE,"P2_PID.XLS";#N/A,#N/A,TRUE,"P2_DMR.XLS";#N/A,#N/A,TRUE,"P2_DTC.XLS";#N/A,#N/A,TRUE,"P2_CNFG.XLS";#N/A,#N/A,TRUE,"P2_OVR.XLS";#N/A,#N/A,TRUE,"P2_REV.XLS"}</definedName>
    <definedName name="E" localSheetId="9">{#N/A,#N/A,TRUE,"P2_HDR.XLS";#N/A,#N/A,TRUE,"content.xls";#N/A,#N/A,TRUE,"P2_MSGS";#N/A,#N/A,TRUE,"P2_DS.XLS";#N/A,#N/A,TRUE,"P2_TST.XLS";#N/A,#N/A,TRUE,"P2_CMD.XLS";#N/A,#N/A,TRUE,"P2_PID.XLS";#N/A,#N/A,TRUE,"P2_DMR.XLS";#N/A,#N/A,TRUE,"P2_DTC.XLS";#N/A,#N/A,TRUE,"P2_CNFG.XLS";#N/A,#N/A,TRUE,"P2_OVR.XLS";#N/A,#N/A,TRUE,"P2_REV.XLS"}</definedName>
    <definedName name="E" localSheetId="3">{#N/A,#N/A,TRUE,"P2_HDR.XLS";#N/A,#N/A,TRUE,"content.xls";#N/A,#N/A,TRUE,"P2_MSGS";#N/A,#N/A,TRUE,"P2_DS.XLS";#N/A,#N/A,TRUE,"P2_TST.XLS";#N/A,#N/A,TRUE,"P2_CMD.XLS";#N/A,#N/A,TRUE,"P2_PID.XLS";#N/A,#N/A,TRUE,"P2_DMR.XLS";#N/A,#N/A,TRUE,"P2_DTC.XLS";#N/A,#N/A,TRUE,"P2_CNFG.XLS";#N/A,#N/A,TRUE,"P2_OVR.XLS";#N/A,#N/A,TRUE,"P2_REV.XLS"}</definedName>
    <definedName name="E" localSheetId="7">{#N/A,#N/A,TRUE,"P2_HDR.XLS";#N/A,#N/A,TRUE,"content.xls";#N/A,#N/A,TRUE,"P2_MSGS";#N/A,#N/A,TRUE,"P2_DS.XLS";#N/A,#N/A,TRUE,"P2_TST.XLS";#N/A,#N/A,TRUE,"P2_CMD.XLS";#N/A,#N/A,TRUE,"P2_PID.XLS";#N/A,#N/A,TRUE,"P2_DMR.XLS";#N/A,#N/A,TRUE,"P2_DTC.XLS";#N/A,#N/A,TRUE,"P2_CNFG.XLS";#N/A,#N/A,TRUE,"P2_OVR.XLS";#N/A,#N/A,TRUE,"P2_REV.XLS"}</definedName>
    <definedName name="E" localSheetId="5">{#N/A,#N/A,TRUE,"P2_HDR.XLS";#N/A,#N/A,TRUE,"content.xls";#N/A,#N/A,TRUE,"P2_MSGS";#N/A,#N/A,TRUE,"P2_DS.XLS";#N/A,#N/A,TRUE,"P2_TST.XLS";#N/A,#N/A,TRUE,"P2_CMD.XLS";#N/A,#N/A,TRUE,"P2_PID.XLS";#N/A,#N/A,TRUE,"P2_DMR.XLS";#N/A,#N/A,TRUE,"P2_DTC.XLS";#N/A,#N/A,TRUE,"P2_CNFG.XLS";#N/A,#N/A,TRUE,"P2_OVR.XLS";#N/A,#N/A,TRUE,"P2_REV.XLS"}</definedName>
    <definedName name="E">{#N/A,#N/A,TRUE,"P2_HDR.XLS";#N/A,#N/A,TRUE,"content.xls";#N/A,#N/A,TRUE,"P2_MSGS";#N/A,#N/A,TRUE,"P2_DS.XLS";#N/A,#N/A,TRUE,"P2_TST.XLS";#N/A,#N/A,TRUE,"P2_CMD.XLS";#N/A,#N/A,TRUE,"P2_PID.XLS";#N/A,#N/A,TRUE,"P2_DMR.XLS";#N/A,#N/A,TRUE,"P2_DTC.XLS";#N/A,#N/A,TRUE,"P2_CNFG.XLS";#N/A,#N/A,TRUE,"P2_OVR.XLS";#N/A,#N/A,TRUE,"P2_REV.XLS"}</definedName>
    <definedName name="Europe" localSheetId="19">#REF!</definedName>
    <definedName name="Europe" localSheetId="0">#REF!</definedName>
    <definedName name="Europe">#REF!</definedName>
    <definedName name="f" localSheetId="19" hidden="1">{#N/A,#N/A,TRUE,"P2_HDR.XLS";#N/A,#N/A,TRUE,"content.xls";#N/A,#N/A,TRUE,"P2_MSGS";#N/A,#N/A,TRUE,"P2_DS.XLS";#N/A,#N/A,TRUE,"P2_TST.XLS";#N/A,#N/A,TRUE,"P2_CMD.XLS";#N/A,#N/A,TRUE,"P2_PID.XLS";#N/A,#N/A,TRUE,"P2_DMR.XLS";#N/A,#N/A,TRUE,"P2_DTC.XLS";#N/A,#N/A,TRUE,"P2_CNFG.XLS";#N/A,#N/A,TRUE,"P2_OVR.XLS";#N/A,#N/A,TRUE,"P2_REV.XLS"}</definedName>
    <definedName name="f" localSheetId="0" hidden="1">{#N/A,#N/A,TRUE,"P2_HDR.XLS";#N/A,#N/A,TRUE,"content.xls";#N/A,#N/A,TRUE,"P2_MSGS";#N/A,#N/A,TRUE,"P2_DS.XLS";#N/A,#N/A,TRUE,"P2_TST.XLS";#N/A,#N/A,TRUE,"P2_CMD.XLS";#N/A,#N/A,TRUE,"P2_PID.XLS";#N/A,#N/A,TRUE,"P2_DMR.XLS";#N/A,#N/A,TRUE,"P2_DTC.XLS";#N/A,#N/A,TRUE,"P2_CNFG.XLS";#N/A,#N/A,TRUE,"P2_OVR.XLS";#N/A,#N/A,TRUE,"P2_REV.XLS"}</definedName>
    <definedName name="f" localSheetId="8" hidden="1">{#N/A,#N/A,TRUE,"P2_HDR.XLS";#N/A,#N/A,TRUE,"content.xls";#N/A,#N/A,TRUE,"P2_MSGS";#N/A,#N/A,TRUE,"P2_DS.XLS";#N/A,#N/A,TRUE,"P2_TST.XLS";#N/A,#N/A,TRUE,"P2_CMD.XLS";#N/A,#N/A,TRUE,"P2_PID.XLS";#N/A,#N/A,TRUE,"P2_DMR.XLS";#N/A,#N/A,TRUE,"P2_DTC.XLS";#N/A,#N/A,TRUE,"P2_CNFG.XLS";#N/A,#N/A,TRUE,"P2_OVR.XLS";#N/A,#N/A,TRUE,"P2_REV.XLS"}</definedName>
    <definedName name="f" localSheetId="10" hidden="1">{#N/A,#N/A,TRUE,"P2_HDR.XLS";#N/A,#N/A,TRUE,"content.xls";#N/A,#N/A,TRUE,"P2_MSGS";#N/A,#N/A,TRUE,"P2_DS.XLS";#N/A,#N/A,TRUE,"P2_TST.XLS";#N/A,#N/A,TRUE,"P2_CMD.XLS";#N/A,#N/A,TRUE,"P2_PID.XLS";#N/A,#N/A,TRUE,"P2_DMR.XLS";#N/A,#N/A,TRUE,"P2_DTC.XLS";#N/A,#N/A,TRUE,"P2_CNFG.XLS";#N/A,#N/A,TRUE,"P2_OVR.XLS";#N/A,#N/A,TRUE,"P2_REV.XLS"}</definedName>
    <definedName name="f" localSheetId="11" hidden="1">{#N/A,#N/A,TRUE,"P2_HDR.XLS";#N/A,#N/A,TRUE,"content.xls";#N/A,#N/A,TRUE,"P2_MSGS";#N/A,#N/A,TRUE,"P2_DS.XLS";#N/A,#N/A,TRUE,"P2_TST.XLS";#N/A,#N/A,TRUE,"P2_CMD.XLS";#N/A,#N/A,TRUE,"P2_PID.XLS";#N/A,#N/A,TRUE,"P2_DMR.XLS";#N/A,#N/A,TRUE,"P2_DTC.XLS";#N/A,#N/A,TRUE,"P2_CNFG.XLS";#N/A,#N/A,TRUE,"P2_OVR.XLS";#N/A,#N/A,TRUE,"P2_REV.XLS"}</definedName>
    <definedName name="f" localSheetId="14" hidden="1">{#N/A,#N/A,TRUE,"P2_HDR.XLS";#N/A,#N/A,TRUE,"content.xls";#N/A,#N/A,TRUE,"P2_MSGS";#N/A,#N/A,TRUE,"P2_DS.XLS";#N/A,#N/A,TRUE,"P2_TST.XLS";#N/A,#N/A,TRUE,"P2_CMD.XLS";#N/A,#N/A,TRUE,"P2_PID.XLS";#N/A,#N/A,TRUE,"P2_DMR.XLS";#N/A,#N/A,TRUE,"P2_DTC.XLS";#N/A,#N/A,TRUE,"P2_CNFG.XLS";#N/A,#N/A,TRUE,"P2_OVR.XLS";#N/A,#N/A,TRUE,"P2_REV.XLS"}</definedName>
    <definedName name="f" localSheetId="9" hidden="1">{#N/A,#N/A,TRUE,"P2_HDR.XLS";#N/A,#N/A,TRUE,"content.xls";#N/A,#N/A,TRUE,"P2_MSGS";#N/A,#N/A,TRUE,"P2_DS.XLS";#N/A,#N/A,TRUE,"P2_TST.XLS";#N/A,#N/A,TRUE,"P2_CMD.XLS";#N/A,#N/A,TRUE,"P2_PID.XLS";#N/A,#N/A,TRUE,"P2_DMR.XLS";#N/A,#N/A,TRUE,"P2_DTC.XLS";#N/A,#N/A,TRUE,"P2_CNFG.XLS";#N/A,#N/A,TRUE,"P2_OVR.XLS";#N/A,#N/A,TRUE,"P2_REV.XLS"}</definedName>
    <definedName name="f" localSheetId="3" hidden="1">{#N/A,#N/A,TRUE,"P2_HDR.XLS";#N/A,#N/A,TRUE,"content.xls";#N/A,#N/A,TRUE,"P2_MSGS";#N/A,#N/A,TRUE,"P2_DS.XLS";#N/A,#N/A,TRUE,"P2_TST.XLS";#N/A,#N/A,TRUE,"P2_CMD.XLS";#N/A,#N/A,TRUE,"P2_PID.XLS";#N/A,#N/A,TRUE,"P2_DMR.XLS";#N/A,#N/A,TRUE,"P2_DTC.XLS";#N/A,#N/A,TRUE,"P2_CNFG.XLS";#N/A,#N/A,TRUE,"P2_OVR.XLS";#N/A,#N/A,TRUE,"P2_REV.XLS"}</definedName>
    <definedName name="f" localSheetId="7" hidden="1">{#N/A,#N/A,TRUE,"P2_HDR.XLS";#N/A,#N/A,TRUE,"content.xls";#N/A,#N/A,TRUE,"P2_MSGS";#N/A,#N/A,TRUE,"P2_DS.XLS";#N/A,#N/A,TRUE,"P2_TST.XLS";#N/A,#N/A,TRUE,"P2_CMD.XLS";#N/A,#N/A,TRUE,"P2_PID.XLS";#N/A,#N/A,TRUE,"P2_DMR.XLS";#N/A,#N/A,TRUE,"P2_DTC.XLS";#N/A,#N/A,TRUE,"P2_CNFG.XLS";#N/A,#N/A,TRUE,"P2_OVR.XLS";#N/A,#N/A,TRUE,"P2_REV.XLS"}</definedName>
    <definedName name="f" localSheetId="5" hidden="1">{#N/A,#N/A,TRUE,"P2_HDR.XLS";#N/A,#N/A,TRUE,"content.xls";#N/A,#N/A,TRUE,"P2_MSGS";#N/A,#N/A,TRUE,"P2_DS.XLS";#N/A,#N/A,TRUE,"P2_TST.XLS";#N/A,#N/A,TRUE,"P2_CMD.XLS";#N/A,#N/A,TRUE,"P2_PID.XLS";#N/A,#N/A,TRUE,"P2_DMR.XLS";#N/A,#N/A,TRUE,"P2_DTC.XLS";#N/A,#N/A,TRUE,"P2_CNFG.XLS";#N/A,#N/A,TRUE,"P2_OVR.XLS";#N/A,#N/A,TRUE,"P2_REV.XLS"}</definedName>
    <definedName name="f" hidden="1">{#N/A,#N/A,TRUE,"P2_HDR.XLS";#N/A,#N/A,TRUE,"content.xls";#N/A,#N/A,TRUE,"P2_MSGS";#N/A,#N/A,TRUE,"P2_DS.XLS";#N/A,#N/A,TRUE,"P2_TST.XLS";#N/A,#N/A,TRUE,"P2_CMD.XLS";#N/A,#N/A,TRUE,"P2_PID.XLS";#N/A,#N/A,TRUE,"P2_DMR.XLS";#N/A,#N/A,TRUE,"P2_DTC.XLS";#N/A,#N/A,TRUE,"P2_CNFG.XLS";#N/A,#N/A,TRUE,"P2_OVR.XLS";#N/A,#N/A,TRUE,"P2_REV.XLS"}</definedName>
    <definedName name="g" localSheetId="19" hidden="1">{#N/A,#N/A,TRUE,"P2_HDR.XLS";#N/A,#N/A,TRUE,"content.xls";#N/A,#N/A,TRUE,"P2_MSGS";#N/A,#N/A,TRUE,"P2_DS.XLS";#N/A,#N/A,TRUE,"P2_TST.XLS";#N/A,#N/A,TRUE,"P2_CMD.XLS";#N/A,#N/A,TRUE,"P2_PID.XLS";#N/A,#N/A,TRUE,"P2_DMR.XLS";#N/A,#N/A,TRUE,"P2_DTC.XLS";#N/A,#N/A,TRUE,"P2_CNFG.XLS";#N/A,#N/A,TRUE,"P2_OVR.XLS";#N/A,#N/A,TRUE,"P2_REV.XLS"}</definedName>
    <definedName name="g" localSheetId="0" hidden="1">{#N/A,#N/A,TRUE,"P2_HDR.XLS";#N/A,#N/A,TRUE,"content.xls";#N/A,#N/A,TRUE,"P2_MSGS";#N/A,#N/A,TRUE,"P2_DS.XLS";#N/A,#N/A,TRUE,"P2_TST.XLS";#N/A,#N/A,TRUE,"P2_CMD.XLS";#N/A,#N/A,TRUE,"P2_PID.XLS";#N/A,#N/A,TRUE,"P2_DMR.XLS";#N/A,#N/A,TRUE,"P2_DTC.XLS";#N/A,#N/A,TRUE,"P2_CNFG.XLS";#N/A,#N/A,TRUE,"P2_OVR.XLS";#N/A,#N/A,TRUE,"P2_REV.XLS"}</definedName>
    <definedName name="g" localSheetId="8" hidden="1">{#N/A,#N/A,TRUE,"P2_HDR.XLS";#N/A,#N/A,TRUE,"content.xls";#N/A,#N/A,TRUE,"P2_MSGS";#N/A,#N/A,TRUE,"P2_DS.XLS";#N/A,#N/A,TRUE,"P2_TST.XLS";#N/A,#N/A,TRUE,"P2_CMD.XLS";#N/A,#N/A,TRUE,"P2_PID.XLS";#N/A,#N/A,TRUE,"P2_DMR.XLS";#N/A,#N/A,TRUE,"P2_DTC.XLS";#N/A,#N/A,TRUE,"P2_CNFG.XLS";#N/A,#N/A,TRUE,"P2_OVR.XLS";#N/A,#N/A,TRUE,"P2_REV.XLS"}</definedName>
    <definedName name="g" localSheetId="10" hidden="1">{#N/A,#N/A,TRUE,"P2_HDR.XLS";#N/A,#N/A,TRUE,"content.xls";#N/A,#N/A,TRUE,"P2_MSGS";#N/A,#N/A,TRUE,"P2_DS.XLS";#N/A,#N/A,TRUE,"P2_TST.XLS";#N/A,#N/A,TRUE,"P2_CMD.XLS";#N/A,#N/A,TRUE,"P2_PID.XLS";#N/A,#N/A,TRUE,"P2_DMR.XLS";#N/A,#N/A,TRUE,"P2_DTC.XLS";#N/A,#N/A,TRUE,"P2_CNFG.XLS";#N/A,#N/A,TRUE,"P2_OVR.XLS";#N/A,#N/A,TRUE,"P2_REV.XLS"}</definedName>
    <definedName name="g" localSheetId="11" hidden="1">{#N/A,#N/A,TRUE,"P2_HDR.XLS";#N/A,#N/A,TRUE,"content.xls";#N/A,#N/A,TRUE,"P2_MSGS";#N/A,#N/A,TRUE,"P2_DS.XLS";#N/A,#N/A,TRUE,"P2_TST.XLS";#N/A,#N/A,TRUE,"P2_CMD.XLS";#N/A,#N/A,TRUE,"P2_PID.XLS";#N/A,#N/A,TRUE,"P2_DMR.XLS";#N/A,#N/A,TRUE,"P2_DTC.XLS";#N/A,#N/A,TRUE,"P2_CNFG.XLS";#N/A,#N/A,TRUE,"P2_OVR.XLS";#N/A,#N/A,TRUE,"P2_REV.XLS"}</definedName>
    <definedName name="g" localSheetId="14" hidden="1">{#N/A,#N/A,TRUE,"P2_HDR.XLS";#N/A,#N/A,TRUE,"content.xls";#N/A,#N/A,TRUE,"P2_MSGS";#N/A,#N/A,TRUE,"P2_DS.XLS";#N/A,#N/A,TRUE,"P2_TST.XLS";#N/A,#N/A,TRUE,"P2_CMD.XLS";#N/A,#N/A,TRUE,"P2_PID.XLS";#N/A,#N/A,TRUE,"P2_DMR.XLS";#N/A,#N/A,TRUE,"P2_DTC.XLS";#N/A,#N/A,TRUE,"P2_CNFG.XLS";#N/A,#N/A,TRUE,"P2_OVR.XLS";#N/A,#N/A,TRUE,"P2_REV.XLS"}</definedName>
    <definedName name="g" localSheetId="9" hidden="1">{#N/A,#N/A,TRUE,"P2_HDR.XLS";#N/A,#N/A,TRUE,"content.xls";#N/A,#N/A,TRUE,"P2_MSGS";#N/A,#N/A,TRUE,"P2_DS.XLS";#N/A,#N/A,TRUE,"P2_TST.XLS";#N/A,#N/A,TRUE,"P2_CMD.XLS";#N/A,#N/A,TRUE,"P2_PID.XLS";#N/A,#N/A,TRUE,"P2_DMR.XLS";#N/A,#N/A,TRUE,"P2_DTC.XLS";#N/A,#N/A,TRUE,"P2_CNFG.XLS";#N/A,#N/A,TRUE,"P2_OVR.XLS";#N/A,#N/A,TRUE,"P2_REV.XLS"}</definedName>
    <definedName name="g" localSheetId="3" hidden="1">{#N/A,#N/A,TRUE,"P2_HDR.XLS";#N/A,#N/A,TRUE,"content.xls";#N/A,#N/A,TRUE,"P2_MSGS";#N/A,#N/A,TRUE,"P2_DS.XLS";#N/A,#N/A,TRUE,"P2_TST.XLS";#N/A,#N/A,TRUE,"P2_CMD.XLS";#N/A,#N/A,TRUE,"P2_PID.XLS";#N/A,#N/A,TRUE,"P2_DMR.XLS";#N/A,#N/A,TRUE,"P2_DTC.XLS";#N/A,#N/A,TRUE,"P2_CNFG.XLS";#N/A,#N/A,TRUE,"P2_OVR.XLS";#N/A,#N/A,TRUE,"P2_REV.XLS"}</definedName>
    <definedName name="g" localSheetId="7" hidden="1">{#N/A,#N/A,TRUE,"P2_HDR.XLS";#N/A,#N/A,TRUE,"content.xls";#N/A,#N/A,TRUE,"P2_MSGS";#N/A,#N/A,TRUE,"P2_DS.XLS";#N/A,#N/A,TRUE,"P2_TST.XLS";#N/A,#N/A,TRUE,"P2_CMD.XLS";#N/A,#N/A,TRUE,"P2_PID.XLS";#N/A,#N/A,TRUE,"P2_DMR.XLS";#N/A,#N/A,TRUE,"P2_DTC.XLS";#N/A,#N/A,TRUE,"P2_CNFG.XLS";#N/A,#N/A,TRUE,"P2_OVR.XLS";#N/A,#N/A,TRUE,"P2_REV.XLS"}</definedName>
    <definedName name="g" localSheetId="5" hidden="1">{#N/A,#N/A,TRUE,"P2_HDR.XLS";#N/A,#N/A,TRUE,"content.xls";#N/A,#N/A,TRUE,"P2_MSGS";#N/A,#N/A,TRUE,"P2_DS.XLS";#N/A,#N/A,TRUE,"P2_TST.XLS";#N/A,#N/A,TRUE,"P2_CMD.XLS";#N/A,#N/A,TRUE,"P2_PID.XLS";#N/A,#N/A,TRUE,"P2_DMR.XLS";#N/A,#N/A,TRUE,"P2_DTC.XLS";#N/A,#N/A,TRUE,"P2_CNFG.XLS";#N/A,#N/A,TRUE,"P2_OVR.XLS";#N/A,#N/A,TRUE,"P2_REV.XLS"}</definedName>
    <definedName name="g" hidden="1">{#N/A,#N/A,TRUE,"P2_HDR.XLS";#N/A,#N/A,TRUE,"content.xls";#N/A,#N/A,TRUE,"P2_MSGS";#N/A,#N/A,TRUE,"P2_DS.XLS";#N/A,#N/A,TRUE,"P2_TST.XLS";#N/A,#N/A,TRUE,"P2_CMD.XLS";#N/A,#N/A,TRUE,"P2_PID.XLS";#N/A,#N/A,TRUE,"P2_DMR.XLS";#N/A,#N/A,TRUE,"P2_DTC.XLS";#N/A,#N/A,TRUE,"P2_CNFG.XLS";#N/A,#N/A,TRUE,"P2_OVR.XLS";#N/A,#N/A,TRUE,"P2_REV.XLS"}</definedName>
    <definedName name="GE" localSheetId="19" hidden="1">{#N/A,#N/A,TRUE,"P2_HDR.XLS";#N/A,#N/A,TRUE,"content.xls";#N/A,#N/A,TRUE,"P2_MSGS";#N/A,#N/A,TRUE,"P2_DS.XLS";#N/A,#N/A,TRUE,"P2_TST.XLS";#N/A,#N/A,TRUE,"P2_CMD.XLS";#N/A,#N/A,TRUE,"P2_PID.XLS";#N/A,#N/A,TRUE,"P2_DMR.XLS";#N/A,#N/A,TRUE,"P2_DTC.XLS";#N/A,#N/A,TRUE,"P2_CNFG.XLS";#N/A,#N/A,TRUE,"P2_OVR.XLS";#N/A,#N/A,TRUE,"P2_REV.XLS"}</definedName>
    <definedName name="GE" localSheetId="0" hidden="1">{#N/A,#N/A,TRUE,"P2_HDR.XLS";#N/A,#N/A,TRUE,"content.xls";#N/A,#N/A,TRUE,"P2_MSGS";#N/A,#N/A,TRUE,"P2_DS.XLS";#N/A,#N/A,TRUE,"P2_TST.XLS";#N/A,#N/A,TRUE,"P2_CMD.XLS";#N/A,#N/A,TRUE,"P2_PID.XLS";#N/A,#N/A,TRUE,"P2_DMR.XLS";#N/A,#N/A,TRUE,"P2_DTC.XLS";#N/A,#N/A,TRUE,"P2_CNFG.XLS";#N/A,#N/A,TRUE,"P2_OVR.XLS";#N/A,#N/A,TRUE,"P2_REV.XLS"}</definedName>
    <definedName name="GE" localSheetId="8" hidden="1">{#N/A,#N/A,TRUE,"P2_HDR.XLS";#N/A,#N/A,TRUE,"content.xls";#N/A,#N/A,TRUE,"P2_MSGS";#N/A,#N/A,TRUE,"P2_DS.XLS";#N/A,#N/A,TRUE,"P2_TST.XLS";#N/A,#N/A,TRUE,"P2_CMD.XLS";#N/A,#N/A,TRUE,"P2_PID.XLS";#N/A,#N/A,TRUE,"P2_DMR.XLS";#N/A,#N/A,TRUE,"P2_DTC.XLS";#N/A,#N/A,TRUE,"P2_CNFG.XLS";#N/A,#N/A,TRUE,"P2_OVR.XLS";#N/A,#N/A,TRUE,"P2_REV.XLS"}</definedName>
    <definedName name="GE" localSheetId="10" hidden="1">{#N/A,#N/A,TRUE,"P2_HDR.XLS";#N/A,#N/A,TRUE,"content.xls";#N/A,#N/A,TRUE,"P2_MSGS";#N/A,#N/A,TRUE,"P2_DS.XLS";#N/A,#N/A,TRUE,"P2_TST.XLS";#N/A,#N/A,TRUE,"P2_CMD.XLS";#N/A,#N/A,TRUE,"P2_PID.XLS";#N/A,#N/A,TRUE,"P2_DMR.XLS";#N/A,#N/A,TRUE,"P2_DTC.XLS";#N/A,#N/A,TRUE,"P2_CNFG.XLS";#N/A,#N/A,TRUE,"P2_OVR.XLS";#N/A,#N/A,TRUE,"P2_REV.XLS"}</definedName>
    <definedName name="GE" localSheetId="11" hidden="1">{#N/A,#N/A,TRUE,"P2_HDR.XLS";#N/A,#N/A,TRUE,"content.xls";#N/A,#N/A,TRUE,"P2_MSGS";#N/A,#N/A,TRUE,"P2_DS.XLS";#N/A,#N/A,TRUE,"P2_TST.XLS";#N/A,#N/A,TRUE,"P2_CMD.XLS";#N/A,#N/A,TRUE,"P2_PID.XLS";#N/A,#N/A,TRUE,"P2_DMR.XLS";#N/A,#N/A,TRUE,"P2_DTC.XLS";#N/A,#N/A,TRUE,"P2_CNFG.XLS";#N/A,#N/A,TRUE,"P2_OVR.XLS";#N/A,#N/A,TRUE,"P2_REV.XLS"}</definedName>
    <definedName name="GE" localSheetId="14" hidden="1">{#N/A,#N/A,TRUE,"P2_HDR.XLS";#N/A,#N/A,TRUE,"content.xls";#N/A,#N/A,TRUE,"P2_MSGS";#N/A,#N/A,TRUE,"P2_DS.XLS";#N/A,#N/A,TRUE,"P2_TST.XLS";#N/A,#N/A,TRUE,"P2_CMD.XLS";#N/A,#N/A,TRUE,"P2_PID.XLS";#N/A,#N/A,TRUE,"P2_DMR.XLS";#N/A,#N/A,TRUE,"P2_DTC.XLS";#N/A,#N/A,TRUE,"P2_CNFG.XLS";#N/A,#N/A,TRUE,"P2_OVR.XLS";#N/A,#N/A,TRUE,"P2_REV.XLS"}</definedName>
    <definedName name="GE" localSheetId="9" hidden="1">{#N/A,#N/A,TRUE,"P2_HDR.XLS";#N/A,#N/A,TRUE,"content.xls";#N/A,#N/A,TRUE,"P2_MSGS";#N/A,#N/A,TRUE,"P2_DS.XLS";#N/A,#N/A,TRUE,"P2_TST.XLS";#N/A,#N/A,TRUE,"P2_CMD.XLS";#N/A,#N/A,TRUE,"P2_PID.XLS";#N/A,#N/A,TRUE,"P2_DMR.XLS";#N/A,#N/A,TRUE,"P2_DTC.XLS";#N/A,#N/A,TRUE,"P2_CNFG.XLS";#N/A,#N/A,TRUE,"P2_OVR.XLS";#N/A,#N/A,TRUE,"P2_REV.XLS"}</definedName>
    <definedName name="GE" localSheetId="3" hidden="1">{#N/A,#N/A,TRUE,"P2_HDR.XLS";#N/A,#N/A,TRUE,"content.xls";#N/A,#N/A,TRUE,"P2_MSGS";#N/A,#N/A,TRUE,"P2_DS.XLS";#N/A,#N/A,TRUE,"P2_TST.XLS";#N/A,#N/A,TRUE,"P2_CMD.XLS";#N/A,#N/A,TRUE,"P2_PID.XLS";#N/A,#N/A,TRUE,"P2_DMR.XLS";#N/A,#N/A,TRUE,"P2_DTC.XLS";#N/A,#N/A,TRUE,"P2_CNFG.XLS";#N/A,#N/A,TRUE,"P2_OVR.XLS";#N/A,#N/A,TRUE,"P2_REV.XLS"}</definedName>
    <definedName name="GE" localSheetId="7" hidden="1">{#N/A,#N/A,TRUE,"P2_HDR.XLS";#N/A,#N/A,TRUE,"content.xls";#N/A,#N/A,TRUE,"P2_MSGS";#N/A,#N/A,TRUE,"P2_DS.XLS";#N/A,#N/A,TRUE,"P2_TST.XLS";#N/A,#N/A,TRUE,"P2_CMD.XLS";#N/A,#N/A,TRUE,"P2_PID.XLS";#N/A,#N/A,TRUE,"P2_DMR.XLS";#N/A,#N/A,TRUE,"P2_DTC.XLS";#N/A,#N/A,TRUE,"P2_CNFG.XLS";#N/A,#N/A,TRUE,"P2_OVR.XLS";#N/A,#N/A,TRUE,"P2_REV.XLS"}</definedName>
    <definedName name="GE" localSheetId="5" hidden="1">{#N/A,#N/A,TRUE,"P2_HDR.XLS";#N/A,#N/A,TRUE,"content.xls";#N/A,#N/A,TRUE,"P2_MSGS";#N/A,#N/A,TRUE,"P2_DS.XLS";#N/A,#N/A,TRUE,"P2_TST.XLS";#N/A,#N/A,TRUE,"P2_CMD.XLS";#N/A,#N/A,TRUE,"P2_PID.XLS";#N/A,#N/A,TRUE,"P2_DMR.XLS";#N/A,#N/A,TRUE,"P2_DTC.XLS";#N/A,#N/A,TRUE,"P2_CNFG.XLS";#N/A,#N/A,TRUE,"P2_OVR.XLS";#N/A,#N/A,TRUE,"P2_REV.XLS"}</definedName>
    <definedName name="GE" hidden="1">{#N/A,#N/A,TRUE,"P2_HDR.XLS";#N/A,#N/A,TRUE,"content.xls";#N/A,#N/A,TRUE,"P2_MSGS";#N/A,#N/A,TRUE,"P2_DS.XLS";#N/A,#N/A,TRUE,"P2_TST.XLS";#N/A,#N/A,TRUE,"P2_CMD.XLS";#N/A,#N/A,TRUE,"P2_PID.XLS";#N/A,#N/A,TRUE,"P2_DMR.XLS";#N/A,#N/A,TRUE,"P2_DTC.XLS";#N/A,#N/A,TRUE,"P2_CNFG.XLS";#N/A,#N/A,TRUE,"P2_OVR.XLS";#N/A,#N/A,TRUE,"P2_REV.XLS"}</definedName>
    <definedName name="gem" localSheetId="19" hidden="1">{#N/A,#N/A,TRUE,"P2_HDR.XLS";#N/A,#N/A,TRUE,"content.xls";#N/A,#N/A,TRUE,"P2_MSGS";#N/A,#N/A,TRUE,"P2_DS.XLS";#N/A,#N/A,TRUE,"P2_TST.XLS";#N/A,#N/A,TRUE,"P2_CMD.XLS";#N/A,#N/A,TRUE,"P2_PID.XLS";#N/A,#N/A,TRUE,"P2_DMR.XLS";#N/A,#N/A,TRUE,"P2_DTC.XLS";#N/A,#N/A,TRUE,"P2_CNFG.XLS";#N/A,#N/A,TRUE,"P2_OVR.XLS";#N/A,#N/A,TRUE,"P2_REV.XLS"}</definedName>
    <definedName name="gem" localSheetId="0" hidden="1">{#N/A,#N/A,TRUE,"P2_HDR.XLS";#N/A,#N/A,TRUE,"content.xls";#N/A,#N/A,TRUE,"P2_MSGS";#N/A,#N/A,TRUE,"P2_DS.XLS";#N/A,#N/A,TRUE,"P2_TST.XLS";#N/A,#N/A,TRUE,"P2_CMD.XLS";#N/A,#N/A,TRUE,"P2_PID.XLS";#N/A,#N/A,TRUE,"P2_DMR.XLS";#N/A,#N/A,TRUE,"P2_DTC.XLS";#N/A,#N/A,TRUE,"P2_CNFG.XLS";#N/A,#N/A,TRUE,"P2_OVR.XLS";#N/A,#N/A,TRUE,"P2_REV.XLS"}</definedName>
    <definedName name="gem" localSheetId="8" hidden="1">{#N/A,#N/A,TRUE,"P2_HDR.XLS";#N/A,#N/A,TRUE,"content.xls";#N/A,#N/A,TRUE,"P2_MSGS";#N/A,#N/A,TRUE,"P2_DS.XLS";#N/A,#N/A,TRUE,"P2_TST.XLS";#N/A,#N/A,TRUE,"P2_CMD.XLS";#N/A,#N/A,TRUE,"P2_PID.XLS";#N/A,#N/A,TRUE,"P2_DMR.XLS";#N/A,#N/A,TRUE,"P2_DTC.XLS";#N/A,#N/A,TRUE,"P2_CNFG.XLS";#N/A,#N/A,TRUE,"P2_OVR.XLS";#N/A,#N/A,TRUE,"P2_REV.XLS"}</definedName>
    <definedName name="gem" localSheetId="10" hidden="1">{#N/A,#N/A,TRUE,"P2_HDR.XLS";#N/A,#N/A,TRUE,"content.xls";#N/A,#N/A,TRUE,"P2_MSGS";#N/A,#N/A,TRUE,"P2_DS.XLS";#N/A,#N/A,TRUE,"P2_TST.XLS";#N/A,#N/A,TRUE,"P2_CMD.XLS";#N/A,#N/A,TRUE,"P2_PID.XLS";#N/A,#N/A,TRUE,"P2_DMR.XLS";#N/A,#N/A,TRUE,"P2_DTC.XLS";#N/A,#N/A,TRUE,"P2_CNFG.XLS";#N/A,#N/A,TRUE,"P2_OVR.XLS";#N/A,#N/A,TRUE,"P2_REV.XLS"}</definedName>
    <definedName name="gem" localSheetId="11" hidden="1">{#N/A,#N/A,TRUE,"P2_HDR.XLS";#N/A,#N/A,TRUE,"content.xls";#N/A,#N/A,TRUE,"P2_MSGS";#N/A,#N/A,TRUE,"P2_DS.XLS";#N/A,#N/A,TRUE,"P2_TST.XLS";#N/A,#N/A,TRUE,"P2_CMD.XLS";#N/A,#N/A,TRUE,"P2_PID.XLS";#N/A,#N/A,TRUE,"P2_DMR.XLS";#N/A,#N/A,TRUE,"P2_DTC.XLS";#N/A,#N/A,TRUE,"P2_CNFG.XLS";#N/A,#N/A,TRUE,"P2_OVR.XLS";#N/A,#N/A,TRUE,"P2_REV.XLS"}</definedName>
    <definedName name="gem" localSheetId="14" hidden="1">{#N/A,#N/A,TRUE,"P2_HDR.XLS";#N/A,#N/A,TRUE,"content.xls";#N/A,#N/A,TRUE,"P2_MSGS";#N/A,#N/A,TRUE,"P2_DS.XLS";#N/A,#N/A,TRUE,"P2_TST.XLS";#N/A,#N/A,TRUE,"P2_CMD.XLS";#N/A,#N/A,TRUE,"P2_PID.XLS";#N/A,#N/A,TRUE,"P2_DMR.XLS";#N/A,#N/A,TRUE,"P2_DTC.XLS";#N/A,#N/A,TRUE,"P2_CNFG.XLS";#N/A,#N/A,TRUE,"P2_OVR.XLS";#N/A,#N/A,TRUE,"P2_REV.XLS"}</definedName>
    <definedName name="gem" localSheetId="9" hidden="1">{#N/A,#N/A,TRUE,"P2_HDR.XLS";#N/A,#N/A,TRUE,"content.xls";#N/A,#N/A,TRUE,"P2_MSGS";#N/A,#N/A,TRUE,"P2_DS.XLS";#N/A,#N/A,TRUE,"P2_TST.XLS";#N/A,#N/A,TRUE,"P2_CMD.XLS";#N/A,#N/A,TRUE,"P2_PID.XLS";#N/A,#N/A,TRUE,"P2_DMR.XLS";#N/A,#N/A,TRUE,"P2_DTC.XLS";#N/A,#N/A,TRUE,"P2_CNFG.XLS";#N/A,#N/A,TRUE,"P2_OVR.XLS";#N/A,#N/A,TRUE,"P2_REV.XLS"}</definedName>
    <definedName name="gem" localSheetId="3" hidden="1">{#N/A,#N/A,TRUE,"P2_HDR.XLS";#N/A,#N/A,TRUE,"content.xls";#N/A,#N/A,TRUE,"P2_MSGS";#N/A,#N/A,TRUE,"P2_DS.XLS";#N/A,#N/A,TRUE,"P2_TST.XLS";#N/A,#N/A,TRUE,"P2_CMD.XLS";#N/A,#N/A,TRUE,"P2_PID.XLS";#N/A,#N/A,TRUE,"P2_DMR.XLS";#N/A,#N/A,TRUE,"P2_DTC.XLS";#N/A,#N/A,TRUE,"P2_CNFG.XLS";#N/A,#N/A,TRUE,"P2_OVR.XLS";#N/A,#N/A,TRUE,"P2_REV.XLS"}</definedName>
    <definedName name="gem" localSheetId="7" hidden="1">{#N/A,#N/A,TRUE,"P2_HDR.XLS";#N/A,#N/A,TRUE,"content.xls";#N/A,#N/A,TRUE,"P2_MSGS";#N/A,#N/A,TRUE,"P2_DS.XLS";#N/A,#N/A,TRUE,"P2_TST.XLS";#N/A,#N/A,TRUE,"P2_CMD.XLS";#N/A,#N/A,TRUE,"P2_PID.XLS";#N/A,#N/A,TRUE,"P2_DMR.XLS";#N/A,#N/A,TRUE,"P2_DTC.XLS";#N/A,#N/A,TRUE,"P2_CNFG.XLS";#N/A,#N/A,TRUE,"P2_OVR.XLS";#N/A,#N/A,TRUE,"P2_REV.XLS"}</definedName>
    <definedName name="gem" localSheetId="5" hidden="1">{#N/A,#N/A,TRUE,"P2_HDR.XLS";#N/A,#N/A,TRUE,"content.xls";#N/A,#N/A,TRUE,"P2_MSGS";#N/A,#N/A,TRUE,"P2_DS.XLS";#N/A,#N/A,TRUE,"P2_TST.XLS";#N/A,#N/A,TRUE,"P2_CMD.XLS";#N/A,#N/A,TRUE,"P2_PID.XLS";#N/A,#N/A,TRUE,"P2_DMR.XLS";#N/A,#N/A,TRUE,"P2_DTC.XLS";#N/A,#N/A,TRUE,"P2_CNFG.XLS";#N/A,#N/A,TRUE,"P2_OVR.XLS";#N/A,#N/A,TRUE,"P2_REV.XLS"}</definedName>
    <definedName name="gem" hidden="1">{#N/A,#N/A,TRUE,"P2_HDR.XLS";#N/A,#N/A,TRUE,"content.xls";#N/A,#N/A,TRUE,"P2_MSGS";#N/A,#N/A,TRUE,"P2_DS.XLS";#N/A,#N/A,TRUE,"P2_TST.XLS";#N/A,#N/A,TRUE,"P2_CMD.XLS";#N/A,#N/A,TRUE,"P2_PID.XLS";#N/A,#N/A,TRUE,"P2_DMR.XLS";#N/A,#N/A,TRUE,"P2_DTC.XLS";#N/A,#N/A,TRUE,"P2_CNFG.XLS";#N/A,#N/A,TRUE,"P2_OVR.XLS";#N/A,#N/A,TRUE,"P2_REV.XLS"}</definedName>
    <definedName name="Japan" localSheetId="19">#REF!</definedName>
    <definedName name="Japan" localSheetId="0">#REF!</definedName>
    <definedName name="Japan">#REF!</definedName>
    <definedName name="KR" localSheetId="19" hidden="1">{#N/A,#N/A,TRUE,"P2_HDR.XLS";#N/A,#N/A,TRUE,"content.xls";#N/A,#N/A,TRUE,"P2_MSGS";#N/A,#N/A,TRUE,"P2_DS.XLS";#N/A,#N/A,TRUE,"P2_TST.XLS";#N/A,#N/A,TRUE,"P2_CMD.XLS";#N/A,#N/A,TRUE,"P2_PID.XLS";#N/A,#N/A,TRUE,"P2_DMR.XLS";#N/A,#N/A,TRUE,"P2_DTC.XLS";#N/A,#N/A,TRUE,"P2_CNFG.XLS";#N/A,#N/A,TRUE,"P2_OVR.XLS";#N/A,#N/A,TRUE,"P2_REV.XLS"}</definedName>
    <definedName name="KR" localSheetId="0" hidden="1">{#N/A,#N/A,TRUE,"P2_HDR.XLS";#N/A,#N/A,TRUE,"content.xls";#N/A,#N/A,TRUE,"P2_MSGS";#N/A,#N/A,TRUE,"P2_DS.XLS";#N/A,#N/A,TRUE,"P2_TST.XLS";#N/A,#N/A,TRUE,"P2_CMD.XLS";#N/A,#N/A,TRUE,"P2_PID.XLS";#N/A,#N/A,TRUE,"P2_DMR.XLS";#N/A,#N/A,TRUE,"P2_DTC.XLS";#N/A,#N/A,TRUE,"P2_CNFG.XLS";#N/A,#N/A,TRUE,"P2_OVR.XLS";#N/A,#N/A,TRUE,"P2_REV.XLS"}</definedName>
    <definedName name="KR" localSheetId="8" hidden="1">{#N/A,#N/A,TRUE,"P2_HDR.XLS";#N/A,#N/A,TRUE,"content.xls";#N/A,#N/A,TRUE,"P2_MSGS";#N/A,#N/A,TRUE,"P2_DS.XLS";#N/A,#N/A,TRUE,"P2_TST.XLS";#N/A,#N/A,TRUE,"P2_CMD.XLS";#N/A,#N/A,TRUE,"P2_PID.XLS";#N/A,#N/A,TRUE,"P2_DMR.XLS";#N/A,#N/A,TRUE,"P2_DTC.XLS";#N/A,#N/A,TRUE,"P2_CNFG.XLS";#N/A,#N/A,TRUE,"P2_OVR.XLS";#N/A,#N/A,TRUE,"P2_REV.XLS"}</definedName>
    <definedName name="KR" localSheetId="10" hidden="1">{#N/A,#N/A,TRUE,"P2_HDR.XLS";#N/A,#N/A,TRUE,"content.xls";#N/A,#N/A,TRUE,"P2_MSGS";#N/A,#N/A,TRUE,"P2_DS.XLS";#N/A,#N/A,TRUE,"P2_TST.XLS";#N/A,#N/A,TRUE,"P2_CMD.XLS";#N/A,#N/A,TRUE,"P2_PID.XLS";#N/A,#N/A,TRUE,"P2_DMR.XLS";#N/A,#N/A,TRUE,"P2_DTC.XLS";#N/A,#N/A,TRUE,"P2_CNFG.XLS";#N/A,#N/A,TRUE,"P2_OVR.XLS";#N/A,#N/A,TRUE,"P2_REV.XLS"}</definedName>
    <definedName name="KR" localSheetId="11" hidden="1">{#N/A,#N/A,TRUE,"P2_HDR.XLS";#N/A,#N/A,TRUE,"content.xls";#N/A,#N/A,TRUE,"P2_MSGS";#N/A,#N/A,TRUE,"P2_DS.XLS";#N/A,#N/A,TRUE,"P2_TST.XLS";#N/A,#N/A,TRUE,"P2_CMD.XLS";#N/A,#N/A,TRUE,"P2_PID.XLS";#N/A,#N/A,TRUE,"P2_DMR.XLS";#N/A,#N/A,TRUE,"P2_DTC.XLS";#N/A,#N/A,TRUE,"P2_CNFG.XLS";#N/A,#N/A,TRUE,"P2_OVR.XLS";#N/A,#N/A,TRUE,"P2_REV.XLS"}</definedName>
    <definedName name="KR" localSheetId="14" hidden="1">{#N/A,#N/A,TRUE,"P2_HDR.XLS";#N/A,#N/A,TRUE,"content.xls";#N/A,#N/A,TRUE,"P2_MSGS";#N/A,#N/A,TRUE,"P2_DS.XLS";#N/A,#N/A,TRUE,"P2_TST.XLS";#N/A,#N/A,TRUE,"P2_CMD.XLS";#N/A,#N/A,TRUE,"P2_PID.XLS";#N/A,#N/A,TRUE,"P2_DMR.XLS";#N/A,#N/A,TRUE,"P2_DTC.XLS";#N/A,#N/A,TRUE,"P2_CNFG.XLS";#N/A,#N/A,TRUE,"P2_OVR.XLS";#N/A,#N/A,TRUE,"P2_REV.XLS"}</definedName>
    <definedName name="KR" localSheetId="9" hidden="1">{#N/A,#N/A,TRUE,"P2_HDR.XLS";#N/A,#N/A,TRUE,"content.xls";#N/A,#N/A,TRUE,"P2_MSGS";#N/A,#N/A,TRUE,"P2_DS.XLS";#N/A,#N/A,TRUE,"P2_TST.XLS";#N/A,#N/A,TRUE,"P2_CMD.XLS";#N/A,#N/A,TRUE,"P2_PID.XLS";#N/A,#N/A,TRUE,"P2_DMR.XLS";#N/A,#N/A,TRUE,"P2_DTC.XLS";#N/A,#N/A,TRUE,"P2_CNFG.XLS";#N/A,#N/A,TRUE,"P2_OVR.XLS";#N/A,#N/A,TRUE,"P2_REV.XLS"}</definedName>
    <definedName name="KR" localSheetId="3" hidden="1">{#N/A,#N/A,TRUE,"P2_HDR.XLS";#N/A,#N/A,TRUE,"content.xls";#N/A,#N/A,TRUE,"P2_MSGS";#N/A,#N/A,TRUE,"P2_DS.XLS";#N/A,#N/A,TRUE,"P2_TST.XLS";#N/A,#N/A,TRUE,"P2_CMD.XLS";#N/A,#N/A,TRUE,"P2_PID.XLS";#N/A,#N/A,TRUE,"P2_DMR.XLS";#N/A,#N/A,TRUE,"P2_DTC.XLS";#N/A,#N/A,TRUE,"P2_CNFG.XLS";#N/A,#N/A,TRUE,"P2_OVR.XLS";#N/A,#N/A,TRUE,"P2_REV.XLS"}</definedName>
    <definedName name="KR" localSheetId="7" hidden="1">{#N/A,#N/A,TRUE,"P2_HDR.XLS";#N/A,#N/A,TRUE,"content.xls";#N/A,#N/A,TRUE,"P2_MSGS";#N/A,#N/A,TRUE,"P2_DS.XLS";#N/A,#N/A,TRUE,"P2_TST.XLS";#N/A,#N/A,TRUE,"P2_CMD.XLS";#N/A,#N/A,TRUE,"P2_PID.XLS";#N/A,#N/A,TRUE,"P2_DMR.XLS";#N/A,#N/A,TRUE,"P2_DTC.XLS";#N/A,#N/A,TRUE,"P2_CNFG.XLS";#N/A,#N/A,TRUE,"P2_OVR.XLS";#N/A,#N/A,TRUE,"P2_REV.XLS"}</definedName>
    <definedName name="KR" localSheetId="5" hidden="1">{#N/A,#N/A,TRUE,"P2_HDR.XLS";#N/A,#N/A,TRUE,"content.xls";#N/A,#N/A,TRUE,"P2_MSGS";#N/A,#N/A,TRUE,"P2_DS.XLS";#N/A,#N/A,TRUE,"P2_TST.XLS";#N/A,#N/A,TRUE,"P2_CMD.XLS";#N/A,#N/A,TRUE,"P2_PID.XLS";#N/A,#N/A,TRUE,"P2_DMR.XLS";#N/A,#N/A,TRUE,"P2_DTC.XLS";#N/A,#N/A,TRUE,"P2_CNFG.XLS";#N/A,#N/A,TRUE,"P2_OVR.XLS";#N/A,#N/A,TRUE,"P2_REV.XLS"}</definedName>
    <definedName name="KR" hidden="1">{#N/A,#N/A,TRUE,"P2_HDR.XLS";#N/A,#N/A,TRUE,"content.xls";#N/A,#N/A,TRUE,"P2_MSGS";#N/A,#N/A,TRUE,"P2_DS.XLS";#N/A,#N/A,TRUE,"P2_TST.XLS";#N/A,#N/A,TRUE,"P2_CMD.XLS";#N/A,#N/A,TRUE,"P2_PID.XLS";#N/A,#N/A,TRUE,"P2_DMR.XLS";#N/A,#N/A,TRUE,"P2_DTC.XLS";#N/A,#N/A,TRUE,"P2_CNFG.XLS";#N/A,#N/A,TRUE,"P2_OVR.XLS";#N/A,#N/A,TRUE,"P2_REV.XLS"}</definedName>
    <definedName name="l" localSheetId="19" hidden="1">{#N/A,#N/A,TRUE,"P2_HDR.XLS";#N/A,#N/A,TRUE,"content.xls";#N/A,#N/A,TRUE,"P2_MSGS";#N/A,#N/A,TRUE,"P2_DS.XLS";#N/A,#N/A,TRUE,"P2_TST.XLS";#N/A,#N/A,TRUE,"P2_CMD.XLS";#N/A,#N/A,TRUE,"P2_PID.XLS";#N/A,#N/A,TRUE,"P2_DMR.XLS";#N/A,#N/A,TRUE,"P2_DTC.XLS";#N/A,#N/A,TRUE,"P2_CNFG.XLS";#N/A,#N/A,TRUE,"P2_OVR.XLS";#N/A,#N/A,TRUE,"P2_REV.XLS"}</definedName>
    <definedName name="l" localSheetId="0" hidden="1">{#N/A,#N/A,TRUE,"P2_HDR.XLS";#N/A,#N/A,TRUE,"content.xls";#N/A,#N/A,TRUE,"P2_MSGS";#N/A,#N/A,TRUE,"P2_DS.XLS";#N/A,#N/A,TRUE,"P2_TST.XLS";#N/A,#N/A,TRUE,"P2_CMD.XLS";#N/A,#N/A,TRUE,"P2_PID.XLS";#N/A,#N/A,TRUE,"P2_DMR.XLS";#N/A,#N/A,TRUE,"P2_DTC.XLS";#N/A,#N/A,TRUE,"P2_CNFG.XLS";#N/A,#N/A,TRUE,"P2_OVR.XLS";#N/A,#N/A,TRUE,"P2_REV.XLS"}</definedName>
    <definedName name="l" localSheetId="8" hidden="1">{#N/A,#N/A,TRUE,"P2_HDR.XLS";#N/A,#N/A,TRUE,"content.xls";#N/A,#N/A,TRUE,"P2_MSGS";#N/A,#N/A,TRUE,"P2_DS.XLS";#N/A,#N/A,TRUE,"P2_TST.XLS";#N/A,#N/A,TRUE,"P2_CMD.XLS";#N/A,#N/A,TRUE,"P2_PID.XLS";#N/A,#N/A,TRUE,"P2_DMR.XLS";#N/A,#N/A,TRUE,"P2_DTC.XLS";#N/A,#N/A,TRUE,"P2_CNFG.XLS";#N/A,#N/A,TRUE,"P2_OVR.XLS";#N/A,#N/A,TRUE,"P2_REV.XLS"}</definedName>
    <definedName name="l" localSheetId="10" hidden="1">{#N/A,#N/A,TRUE,"P2_HDR.XLS";#N/A,#N/A,TRUE,"content.xls";#N/A,#N/A,TRUE,"P2_MSGS";#N/A,#N/A,TRUE,"P2_DS.XLS";#N/A,#N/A,TRUE,"P2_TST.XLS";#N/A,#N/A,TRUE,"P2_CMD.XLS";#N/A,#N/A,TRUE,"P2_PID.XLS";#N/A,#N/A,TRUE,"P2_DMR.XLS";#N/A,#N/A,TRUE,"P2_DTC.XLS";#N/A,#N/A,TRUE,"P2_CNFG.XLS";#N/A,#N/A,TRUE,"P2_OVR.XLS";#N/A,#N/A,TRUE,"P2_REV.XLS"}</definedName>
    <definedName name="l" localSheetId="11" hidden="1">{#N/A,#N/A,TRUE,"P2_HDR.XLS";#N/A,#N/A,TRUE,"content.xls";#N/A,#N/A,TRUE,"P2_MSGS";#N/A,#N/A,TRUE,"P2_DS.XLS";#N/A,#N/A,TRUE,"P2_TST.XLS";#N/A,#N/A,TRUE,"P2_CMD.XLS";#N/A,#N/A,TRUE,"P2_PID.XLS";#N/A,#N/A,TRUE,"P2_DMR.XLS";#N/A,#N/A,TRUE,"P2_DTC.XLS";#N/A,#N/A,TRUE,"P2_CNFG.XLS";#N/A,#N/A,TRUE,"P2_OVR.XLS";#N/A,#N/A,TRUE,"P2_REV.XLS"}</definedName>
    <definedName name="l" localSheetId="14" hidden="1">{#N/A,#N/A,TRUE,"P2_HDR.XLS";#N/A,#N/A,TRUE,"content.xls";#N/A,#N/A,TRUE,"P2_MSGS";#N/A,#N/A,TRUE,"P2_DS.XLS";#N/A,#N/A,TRUE,"P2_TST.XLS";#N/A,#N/A,TRUE,"P2_CMD.XLS";#N/A,#N/A,TRUE,"P2_PID.XLS";#N/A,#N/A,TRUE,"P2_DMR.XLS";#N/A,#N/A,TRUE,"P2_DTC.XLS";#N/A,#N/A,TRUE,"P2_CNFG.XLS";#N/A,#N/A,TRUE,"P2_OVR.XLS";#N/A,#N/A,TRUE,"P2_REV.XLS"}</definedName>
    <definedName name="l" localSheetId="9" hidden="1">{#N/A,#N/A,TRUE,"P2_HDR.XLS";#N/A,#N/A,TRUE,"content.xls";#N/A,#N/A,TRUE,"P2_MSGS";#N/A,#N/A,TRUE,"P2_DS.XLS";#N/A,#N/A,TRUE,"P2_TST.XLS";#N/A,#N/A,TRUE,"P2_CMD.XLS";#N/A,#N/A,TRUE,"P2_PID.XLS";#N/A,#N/A,TRUE,"P2_DMR.XLS";#N/A,#N/A,TRUE,"P2_DTC.XLS";#N/A,#N/A,TRUE,"P2_CNFG.XLS";#N/A,#N/A,TRUE,"P2_OVR.XLS";#N/A,#N/A,TRUE,"P2_REV.XLS"}</definedName>
    <definedName name="l" localSheetId="3" hidden="1">{#N/A,#N/A,TRUE,"P2_HDR.XLS";#N/A,#N/A,TRUE,"content.xls";#N/A,#N/A,TRUE,"P2_MSGS";#N/A,#N/A,TRUE,"P2_DS.XLS";#N/A,#N/A,TRUE,"P2_TST.XLS";#N/A,#N/A,TRUE,"P2_CMD.XLS";#N/A,#N/A,TRUE,"P2_PID.XLS";#N/A,#N/A,TRUE,"P2_DMR.XLS";#N/A,#N/A,TRUE,"P2_DTC.XLS";#N/A,#N/A,TRUE,"P2_CNFG.XLS";#N/A,#N/A,TRUE,"P2_OVR.XLS";#N/A,#N/A,TRUE,"P2_REV.XLS"}</definedName>
    <definedName name="l" localSheetId="7" hidden="1">{#N/A,#N/A,TRUE,"P2_HDR.XLS";#N/A,#N/A,TRUE,"content.xls";#N/A,#N/A,TRUE,"P2_MSGS";#N/A,#N/A,TRUE,"P2_DS.XLS";#N/A,#N/A,TRUE,"P2_TST.XLS";#N/A,#N/A,TRUE,"P2_CMD.XLS";#N/A,#N/A,TRUE,"P2_PID.XLS";#N/A,#N/A,TRUE,"P2_DMR.XLS";#N/A,#N/A,TRUE,"P2_DTC.XLS";#N/A,#N/A,TRUE,"P2_CNFG.XLS";#N/A,#N/A,TRUE,"P2_OVR.XLS";#N/A,#N/A,TRUE,"P2_REV.XLS"}</definedName>
    <definedName name="l" localSheetId="5" hidden="1">{#N/A,#N/A,TRUE,"P2_HDR.XLS";#N/A,#N/A,TRUE,"content.xls";#N/A,#N/A,TRUE,"P2_MSGS";#N/A,#N/A,TRUE,"P2_DS.XLS";#N/A,#N/A,TRUE,"P2_TST.XLS";#N/A,#N/A,TRUE,"P2_CMD.XLS";#N/A,#N/A,TRUE,"P2_PID.XLS";#N/A,#N/A,TRUE,"P2_DMR.XLS";#N/A,#N/A,TRUE,"P2_DTC.XLS";#N/A,#N/A,TRUE,"P2_CNFG.XLS";#N/A,#N/A,TRUE,"P2_OVR.XLS";#N/A,#N/A,TRUE,"P2_REV.XLS"}</definedName>
    <definedName name="l" hidden="1">{#N/A,#N/A,TRUE,"P2_HDR.XLS";#N/A,#N/A,TRUE,"content.xls";#N/A,#N/A,TRUE,"P2_MSGS";#N/A,#N/A,TRUE,"P2_DS.XLS";#N/A,#N/A,TRUE,"P2_TST.XLS";#N/A,#N/A,TRUE,"P2_CMD.XLS";#N/A,#N/A,TRUE,"P2_PID.XLS";#N/A,#N/A,TRUE,"P2_DMR.XLS";#N/A,#N/A,TRUE,"P2_DTC.XLS";#N/A,#N/A,TRUE,"P2_CNFG.XLS";#N/A,#N/A,TRUE,"P2_OVR.XLS";#N/A,#N/A,TRUE,"P2_REV.XLS"}</definedName>
    <definedName name="Module" localSheetId="19">#REF!</definedName>
    <definedName name="Module" localSheetId="0">#REF!</definedName>
    <definedName name="Module">#REF!</definedName>
    <definedName name="N" localSheetId="19">#REF!</definedName>
    <definedName name="N" localSheetId="8">#REF!</definedName>
    <definedName name="N" localSheetId="10">#REF!</definedName>
    <definedName name="N" localSheetId="11">#REF!</definedName>
    <definedName name="N" localSheetId="14">#REF!</definedName>
    <definedName name="N" localSheetId="9">#REF!</definedName>
    <definedName name="N" localSheetId="3">#REF!</definedName>
    <definedName name="N" localSheetId="5">#REF!</definedName>
    <definedName name="N">#REF!</definedName>
    <definedName name="Nameplate" localSheetId="19">#REF!</definedName>
    <definedName name="Nameplate" localSheetId="8">#REF!</definedName>
    <definedName name="Nameplate" localSheetId="10">#REF!</definedName>
    <definedName name="Nameplate" localSheetId="11">#REF!</definedName>
    <definedName name="Nameplate" localSheetId="14">#REF!</definedName>
    <definedName name="Nameplate" localSheetId="9">#REF!</definedName>
    <definedName name="Nameplate" localSheetId="3">#REF!</definedName>
    <definedName name="Nameplate" localSheetId="5">#REF!</definedName>
    <definedName name="Nameplate">#REF!</definedName>
    <definedName name="Overall" localSheetId="19">#REF!</definedName>
    <definedName name="Overall" localSheetId="8">#REF!</definedName>
    <definedName name="Overall" localSheetId="14">#REF!</definedName>
    <definedName name="Overall">#REF!</definedName>
    <definedName name="_xlnm.Print_Area" localSheetId="16">CmdList!$A$1:$E$56</definedName>
    <definedName name="_xlnm.Print_Area" localSheetId="0">Cover!$A$1:$L$39</definedName>
    <definedName name="_xlnm.Print_Area" localSheetId="4">DesignVal!$A$1:$D$6</definedName>
    <definedName name="_xlnm.Print_Area" localSheetId="12">DetailedManual_M38_M45!$A$1:$L$152</definedName>
    <definedName name="_xlnm.Print_Area" localSheetId="13">DetailedManual_M46_M54!$A$1:$L$1308</definedName>
    <definedName name="_xlnm.Print_Area" localSheetId="3">EnvEval!$A$1:$T$56</definedName>
    <definedName name="_xlnm.Print_Area" localSheetId="7">FuncEvalItems_Aggregate_All!$A$1:$W$675</definedName>
    <definedName name="_xlnm.Print_Area" localSheetId="2">Intro!$A$1:$M$23</definedName>
    <definedName name="_xlnm.Print_Area" localSheetId="15">OutputSettings!$A$1:$K$17</definedName>
    <definedName name="_xlnm.Print_Area" localSheetId="5">SpecsDescRules!$A$1:$P$19</definedName>
    <definedName name="_xlnm.Print_Area" localSheetId="1">TOC!$A$1:$D$23</definedName>
    <definedName name="_xlnm.Print_Area">#N/A</definedName>
    <definedName name="_xlnm.Print_Titles">#N/A</definedName>
    <definedName name="q" localSheetId="19" hidden="1">{#N/A,#N/A,TRUE,"P2_HDR.XLS";#N/A,#N/A,TRUE,"content.xls";#N/A,#N/A,TRUE,"P2_MSGS";#N/A,#N/A,TRUE,"P2_DS.XLS";#N/A,#N/A,TRUE,"P2_TST.XLS";#N/A,#N/A,TRUE,"P2_CMD.XLS";#N/A,#N/A,TRUE,"P2_PID.XLS";#N/A,#N/A,TRUE,"P2_DMR.XLS";#N/A,#N/A,TRUE,"P2_DTC.XLS";#N/A,#N/A,TRUE,"P2_CNFG.XLS";#N/A,#N/A,TRUE,"P2_OVR.XLS";#N/A,#N/A,TRUE,"P2_REV.XLS"}</definedName>
    <definedName name="q" localSheetId="0" hidden="1">{#N/A,#N/A,TRUE,"P2_HDR.XLS";#N/A,#N/A,TRUE,"content.xls";#N/A,#N/A,TRUE,"P2_MSGS";#N/A,#N/A,TRUE,"P2_DS.XLS";#N/A,#N/A,TRUE,"P2_TST.XLS";#N/A,#N/A,TRUE,"P2_CMD.XLS";#N/A,#N/A,TRUE,"P2_PID.XLS";#N/A,#N/A,TRUE,"P2_DMR.XLS";#N/A,#N/A,TRUE,"P2_DTC.XLS";#N/A,#N/A,TRUE,"P2_CNFG.XLS";#N/A,#N/A,TRUE,"P2_OVR.XLS";#N/A,#N/A,TRUE,"P2_REV.XLS"}</definedName>
    <definedName name="q" localSheetId="8" hidden="1">{#N/A,#N/A,TRUE,"P2_HDR.XLS";#N/A,#N/A,TRUE,"content.xls";#N/A,#N/A,TRUE,"P2_MSGS";#N/A,#N/A,TRUE,"P2_DS.XLS";#N/A,#N/A,TRUE,"P2_TST.XLS";#N/A,#N/A,TRUE,"P2_CMD.XLS";#N/A,#N/A,TRUE,"P2_PID.XLS";#N/A,#N/A,TRUE,"P2_DMR.XLS";#N/A,#N/A,TRUE,"P2_DTC.XLS";#N/A,#N/A,TRUE,"P2_CNFG.XLS";#N/A,#N/A,TRUE,"P2_OVR.XLS";#N/A,#N/A,TRUE,"P2_REV.XLS"}</definedName>
    <definedName name="q" localSheetId="10" hidden="1">{#N/A,#N/A,TRUE,"P2_HDR.XLS";#N/A,#N/A,TRUE,"content.xls";#N/A,#N/A,TRUE,"P2_MSGS";#N/A,#N/A,TRUE,"P2_DS.XLS";#N/A,#N/A,TRUE,"P2_TST.XLS";#N/A,#N/A,TRUE,"P2_CMD.XLS";#N/A,#N/A,TRUE,"P2_PID.XLS";#N/A,#N/A,TRUE,"P2_DMR.XLS";#N/A,#N/A,TRUE,"P2_DTC.XLS";#N/A,#N/A,TRUE,"P2_CNFG.XLS";#N/A,#N/A,TRUE,"P2_OVR.XLS";#N/A,#N/A,TRUE,"P2_REV.XLS"}</definedName>
    <definedName name="q" localSheetId="11" hidden="1">{#N/A,#N/A,TRUE,"P2_HDR.XLS";#N/A,#N/A,TRUE,"content.xls";#N/A,#N/A,TRUE,"P2_MSGS";#N/A,#N/A,TRUE,"P2_DS.XLS";#N/A,#N/A,TRUE,"P2_TST.XLS";#N/A,#N/A,TRUE,"P2_CMD.XLS";#N/A,#N/A,TRUE,"P2_PID.XLS";#N/A,#N/A,TRUE,"P2_DMR.XLS";#N/A,#N/A,TRUE,"P2_DTC.XLS";#N/A,#N/A,TRUE,"P2_CNFG.XLS";#N/A,#N/A,TRUE,"P2_OVR.XLS";#N/A,#N/A,TRUE,"P2_REV.XLS"}</definedName>
    <definedName name="q" localSheetId="14" hidden="1">{#N/A,#N/A,TRUE,"P2_HDR.XLS";#N/A,#N/A,TRUE,"content.xls";#N/A,#N/A,TRUE,"P2_MSGS";#N/A,#N/A,TRUE,"P2_DS.XLS";#N/A,#N/A,TRUE,"P2_TST.XLS";#N/A,#N/A,TRUE,"P2_CMD.XLS";#N/A,#N/A,TRUE,"P2_PID.XLS";#N/A,#N/A,TRUE,"P2_DMR.XLS";#N/A,#N/A,TRUE,"P2_DTC.XLS";#N/A,#N/A,TRUE,"P2_CNFG.XLS";#N/A,#N/A,TRUE,"P2_OVR.XLS";#N/A,#N/A,TRUE,"P2_REV.XLS"}</definedName>
    <definedName name="q" localSheetId="9" hidden="1">{#N/A,#N/A,TRUE,"P2_HDR.XLS";#N/A,#N/A,TRUE,"content.xls";#N/A,#N/A,TRUE,"P2_MSGS";#N/A,#N/A,TRUE,"P2_DS.XLS";#N/A,#N/A,TRUE,"P2_TST.XLS";#N/A,#N/A,TRUE,"P2_CMD.XLS";#N/A,#N/A,TRUE,"P2_PID.XLS";#N/A,#N/A,TRUE,"P2_DMR.XLS";#N/A,#N/A,TRUE,"P2_DTC.XLS";#N/A,#N/A,TRUE,"P2_CNFG.XLS";#N/A,#N/A,TRUE,"P2_OVR.XLS";#N/A,#N/A,TRUE,"P2_REV.XLS"}</definedName>
    <definedName name="q" localSheetId="3" hidden="1">{#N/A,#N/A,TRUE,"P2_HDR.XLS";#N/A,#N/A,TRUE,"content.xls";#N/A,#N/A,TRUE,"P2_MSGS";#N/A,#N/A,TRUE,"P2_DS.XLS";#N/A,#N/A,TRUE,"P2_TST.XLS";#N/A,#N/A,TRUE,"P2_CMD.XLS";#N/A,#N/A,TRUE,"P2_PID.XLS";#N/A,#N/A,TRUE,"P2_DMR.XLS";#N/A,#N/A,TRUE,"P2_DTC.XLS";#N/A,#N/A,TRUE,"P2_CNFG.XLS";#N/A,#N/A,TRUE,"P2_OVR.XLS";#N/A,#N/A,TRUE,"P2_REV.XLS"}</definedName>
    <definedName name="q" localSheetId="7" hidden="1">{#N/A,#N/A,TRUE,"P2_HDR.XLS";#N/A,#N/A,TRUE,"content.xls";#N/A,#N/A,TRUE,"P2_MSGS";#N/A,#N/A,TRUE,"P2_DS.XLS";#N/A,#N/A,TRUE,"P2_TST.XLS";#N/A,#N/A,TRUE,"P2_CMD.XLS";#N/A,#N/A,TRUE,"P2_PID.XLS";#N/A,#N/A,TRUE,"P2_DMR.XLS";#N/A,#N/A,TRUE,"P2_DTC.XLS";#N/A,#N/A,TRUE,"P2_CNFG.XLS";#N/A,#N/A,TRUE,"P2_OVR.XLS";#N/A,#N/A,TRUE,"P2_REV.XLS"}</definedName>
    <definedName name="q" localSheetId="5" hidden="1">{#N/A,#N/A,TRUE,"P2_HDR.XLS";#N/A,#N/A,TRUE,"content.xls";#N/A,#N/A,TRUE,"P2_MSGS";#N/A,#N/A,TRUE,"P2_DS.XLS";#N/A,#N/A,TRUE,"P2_TST.XLS";#N/A,#N/A,TRUE,"P2_CMD.XLS";#N/A,#N/A,TRUE,"P2_PID.XLS";#N/A,#N/A,TRUE,"P2_DMR.XLS";#N/A,#N/A,TRUE,"P2_DTC.XLS";#N/A,#N/A,TRUE,"P2_CNFG.XLS";#N/A,#N/A,TRUE,"P2_OVR.XLS";#N/A,#N/A,TRUE,"P2_REV.XLS"}</definedName>
    <definedName name="q" hidden="1">{#N/A,#N/A,TRUE,"P2_HDR.XLS";#N/A,#N/A,TRUE,"content.xls";#N/A,#N/A,TRUE,"P2_MSGS";#N/A,#N/A,TRUE,"P2_DS.XLS";#N/A,#N/A,TRUE,"P2_TST.XLS";#N/A,#N/A,TRUE,"P2_CMD.XLS";#N/A,#N/A,TRUE,"P2_PID.XLS";#N/A,#N/A,TRUE,"P2_DMR.XLS";#N/A,#N/A,TRUE,"P2_DTC.XLS";#N/A,#N/A,TRUE,"P2_CNFG.XLS";#N/A,#N/A,TRUE,"P2_OVR.XLS";#N/A,#N/A,TRUE,"P2_REV.XLS"}</definedName>
    <definedName name="QA" localSheetId="19" hidden="1">{#N/A,#N/A,TRUE,"P2_HDR.XLS";#N/A,#N/A,TRUE,"content.xls";#N/A,#N/A,TRUE,"P2_MSGS";#N/A,#N/A,TRUE,"P2_DS.XLS";#N/A,#N/A,TRUE,"P2_TST.XLS";#N/A,#N/A,TRUE,"P2_CMD.XLS";#N/A,#N/A,TRUE,"P2_PID.XLS";#N/A,#N/A,TRUE,"P2_DMR.XLS";#N/A,#N/A,TRUE,"P2_DTC.XLS";#N/A,#N/A,TRUE,"P2_CNFG.XLS";#N/A,#N/A,TRUE,"P2_OVR.XLS";#N/A,#N/A,TRUE,"P2_REV.XLS"}</definedName>
    <definedName name="QA" localSheetId="0" hidden="1">{#N/A,#N/A,TRUE,"P2_HDR.XLS";#N/A,#N/A,TRUE,"content.xls";#N/A,#N/A,TRUE,"P2_MSGS";#N/A,#N/A,TRUE,"P2_DS.XLS";#N/A,#N/A,TRUE,"P2_TST.XLS";#N/A,#N/A,TRUE,"P2_CMD.XLS";#N/A,#N/A,TRUE,"P2_PID.XLS";#N/A,#N/A,TRUE,"P2_DMR.XLS";#N/A,#N/A,TRUE,"P2_DTC.XLS";#N/A,#N/A,TRUE,"P2_CNFG.XLS";#N/A,#N/A,TRUE,"P2_OVR.XLS";#N/A,#N/A,TRUE,"P2_REV.XLS"}</definedName>
    <definedName name="QA" localSheetId="8" hidden="1">{#N/A,#N/A,TRUE,"P2_HDR.XLS";#N/A,#N/A,TRUE,"content.xls";#N/A,#N/A,TRUE,"P2_MSGS";#N/A,#N/A,TRUE,"P2_DS.XLS";#N/A,#N/A,TRUE,"P2_TST.XLS";#N/A,#N/A,TRUE,"P2_CMD.XLS";#N/A,#N/A,TRUE,"P2_PID.XLS";#N/A,#N/A,TRUE,"P2_DMR.XLS";#N/A,#N/A,TRUE,"P2_DTC.XLS";#N/A,#N/A,TRUE,"P2_CNFG.XLS";#N/A,#N/A,TRUE,"P2_OVR.XLS";#N/A,#N/A,TRUE,"P2_REV.XLS"}</definedName>
    <definedName name="QA" localSheetId="10" hidden="1">{#N/A,#N/A,TRUE,"P2_HDR.XLS";#N/A,#N/A,TRUE,"content.xls";#N/A,#N/A,TRUE,"P2_MSGS";#N/A,#N/A,TRUE,"P2_DS.XLS";#N/A,#N/A,TRUE,"P2_TST.XLS";#N/A,#N/A,TRUE,"P2_CMD.XLS";#N/A,#N/A,TRUE,"P2_PID.XLS";#N/A,#N/A,TRUE,"P2_DMR.XLS";#N/A,#N/A,TRUE,"P2_DTC.XLS";#N/A,#N/A,TRUE,"P2_CNFG.XLS";#N/A,#N/A,TRUE,"P2_OVR.XLS";#N/A,#N/A,TRUE,"P2_REV.XLS"}</definedName>
    <definedName name="QA" localSheetId="11" hidden="1">{#N/A,#N/A,TRUE,"P2_HDR.XLS";#N/A,#N/A,TRUE,"content.xls";#N/A,#N/A,TRUE,"P2_MSGS";#N/A,#N/A,TRUE,"P2_DS.XLS";#N/A,#N/A,TRUE,"P2_TST.XLS";#N/A,#N/A,TRUE,"P2_CMD.XLS";#N/A,#N/A,TRUE,"P2_PID.XLS";#N/A,#N/A,TRUE,"P2_DMR.XLS";#N/A,#N/A,TRUE,"P2_DTC.XLS";#N/A,#N/A,TRUE,"P2_CNFG.XLS";#N/A,#N/A,TRUE,"P2_OVR.XLS";#N/A,#N/A,TRUE,"P2_REV.XLS"}</definedName>
    <definedName name="QA" localSheetId="14" hidden="1">{#N/A,#N/A,TRUE,"P2_HDR.XLS";#N/A,#N/A,TRUE,"content.xls";#N/A,#N/A,TRUE,"P2_MSGS";#N/A,#N/A,TRUE,"P2_DS.XLS";#N/A,#N/A,TRUE,"P2_TST.XLS";#N/A,#N/A,TRUE,"P2_CMD.XLS";#N/A,#N/A,TRUE,"P2_PID.XLS";#N/A,#N/A,TRUE,"P2_DMR.XLS";#N/A,#N/A,TRUE,"P2_DTC.XLS";#N/A,#N/A,TRUE,"P2_CNFG.XLS";#N/A,#N/A,TRUE,"P2_OVR.XLS";#N/A,#N/A,TRUE,"P2_REV.XLS"}</definedName>
    <definedName name="QA" localSheetId="9" hidden="1">{#N/A,#N/A,TRUE,"P2_HDR.XLS";#N/A,#N/A,TRUE,"content.xls";#N/A,#N/A,TRUE,"P2_MSGS";#N/A,#N/A,TRUE,"P2_DS.XLS";#N/A,#N/A,TRUE,"P2_TST.XLS";#N/A,#N/A,TRUE,"P2_CMD.XLS";#N/A,#N/A,TRUE,"P2_PID.XLS";#N/A,#N/A,TRUE,"P2_DMR.XLS";#N/A,#N/A,TRUE,"P2_DTC.XLS";#N/A,#N/A,TRUE,"P2_CNFG.XLS";#N/A,#N/A,TRUE,"P2_OVR.XLS";#N/A,#N/A,TRUE,"P2_REV.XLS"}</definedName>
    <definedName name="QA" localSheetId="3" hidden="1">{#N/A,#N/A,TRUE,"P2_HDR.XLS";#N/A,#N/A,TRUE,"content.xls";#N/A,#N/A,TRUE,"P2_MSGS";#N/A,#N/A,TRUE,"P2_DS.XLS";#N/A,#N/A,TRUE,"P2_TST.XLS";#N/A,#N/A,TRUE,"P2_CMD.XLS";#N/A,#N/A,TRUE,"P2_PID.XLS";#N/A,#N/A,TRUE,"P2_DMR.XLS";#N/A,#N/A,TRUE,"P2_DTC.XLS";#N/A,#N/A,TRUE,"P2_CNFG.XLS";#N/A,#N/A,TRUE,"P2_OVR.XLS";#N/A,#N/A,TRUE,"P2_REV.XLS"}</definedName>
    <definedName name="QA" localSheetId="7" hidden="1">{#N/A,#N/A,TRUE,"P2_HDR.XLS";#N/A,#N/A,TRUE,"content.xls";#N/A,#N/A,TRUE,"P2_MSGS";#N/A,#N/A,TRUE,"P2_DS.XLS";#N/A,#N/A,TRUE,"P2_TST.XLS";#N/A,#N/A,TRUE,"P2_CMD.XLS";#N/A,#N/A,TRUE,"P2_PID.XLS";#N/A,#N/A,TRUE,"P2_DMR.XLS";#N/A,#N/A,TRUE,"P2_DTC.XLS";#N/A,#N/A,TRUE,"P2_CNFG.XLS";#N/A,#N/A,TRUE,"P2_OVR.XLS";#N/A,#N/A,TRUE,"P2_REV.XLS"}</definedName>
    <definedName name="QA" localSheetId="5" hidden="1">{#N/A,#N/A,TRUE,"P2_HDR.XLS";#N/A,#N/A,TRUE,"content.xls";#N/A,#N/A,TRUE,"P2_MSGS";#N/A,#N/A,TRUE,"P2_DS.XLS";#N/A,#N/A,TRUE,"P2_TST.XLS";#N/A,#N/A,TRUE,"P2_CMD.XLS";#N/A,#N/A,TRUE,"P2_PID.XLS";#N/A,#N/A,TRUE,"P2_DMR.XLS";#N/A,#N/A,TRUE,"P2_DTC.XLS";#N/A,#N/A,TRUE,"P2_CNFG.XLS";#N/A,#N/A,TRUE,"P2_OVR.XLS";#N/A,#N/A,TRUE,"P2_REV.XLS"}</definedName>
    <definedName name="QA" hidden="1">{#N/A,#N/A,TRUE,"P2_HDR.XLS";#N/A,#N/A,TRUE,"content.xls";#N/A,#N/A,TRUE,"P2_MSGS";#N/A,#N/A,TRUE,"P2_DS.XLS";#N/A,#N/A,TRUE,"P2_TST.XLS";#N/A,#N/A,TRUE,"P2_CMD.XLS";#N/A,#N/A,TRUE,"P2_PID.XLS";#N/A,#N/A,TRUE,"P2_DMR.XLS";#N/A,#N/A,TRUE,"P2_DTC.XLS";#N/A,#N/A,TRUE,"P2_CNFG.XLS";#N/A,#N/A,TRUE,"P2_OVR.XLS";#N/A,#N/A,TRUE,"P2_REV.XLS"}</definedName>
    <definedName name="RCM_2" localSheetId="19" hidden="1">{#N/A,#N/A,TRUE,"P2_HDR.XLS";#N/A,#N/A,TRUE,"content.xls";#N/A,#N/A,TRUE,"P2_MSGS";#N/A,#N/A,TRUE,"P2_DS.XLS";#N/A,#N/A,TRUE,"P2_TST.XLS";#N/A,#N/A,TRUE,"P2_CMD.XLS";#N/A,#N/A,TRUE,"P2_PID.XLS";#N/A,#N/A,TRUE,"P2_DMR.XLS";#N/A,#N/A,TRUE,"P2_DTC.XLS";#N/A,#N/A,TRUE,"P2_CNFG.XLS";#N/A,#N/A,TRUE,"P2_OVR.XLS";#N/A,#N/A,TRUE,"P2_REV.XLS"}</definedName>
    <definedName name="RCM_2" localSheetId="0" hidden="1">{#N/A,#N/A,TRUE,"P2_HDR.XLS";#N/A,#N/A,TRUE,"content.xls";#N/A,#N/A,TRUE,"P2_MSGS";#N/A,#N/A,TRUE,"P2_DS.XLS";#N/A,#N/A,TRUE,"P2_TST.XLS";#N/A,#N/A,TRUE,"P2_CMD.XLS";#N/A,#N/A,TRUE,"P2_PID.XLS";#N/A,#N/A,TRUE,"P2_DMR.XLS";#N/A,#N/A,TRUE,"P2_DTC.XLS";#N/A,#N/A,TRUE,"P2_CNFG.XLS";#N/A,#N/A,TRUE,"P2_OVR.XLS";#N/A,#N/A,TRUE,"P2_REV.XLS"}</definedName>
    <definedName name="RCM_2" localSheetId="8" hidden="1">{#N/A,#N/A,TRUE,"P2_HDR.XLS";#N/A,#N/A,TRUE,"content.xls";#N/A,#N/A,TRUE,"P2_MSGS";#N/A,#N/A,TRUE,"P2_DS.XLS";#N/A,#N/A,TRUE,"P2_TST.XLS";#N/A,#N/A,TRUE,"P2_CMD.XLS";#N/A,#N/A,TRUE,"P2_PID.XLS";#N/A,#N/A,TRUE,"P2_DMR.XLS";#N/A,#N/A,TRUE,"P2_DTC.XLS";#N/A,#N/A,TRUE,"P2_CNFG.XLS";#N/A,#N/A,TRUE,"P2_OVR.XLS";#N/A,#N/A,TRUE,"P2_REV.XLS"}</definedName>
    <definedName name="RCM_2" localSheetId="10" hidden="1">{#N/A,#N/A,TRUE,"P2_HDR.XLS";#N/A,#N/A,TRUE,"content.xls";#N/A,#N/A,TRUE,"P2_MSGS";#N/A,#N/A,TRUE,"P2_DS.XLS";#N/A,#N/A,TRUE,"P2_TST.XLS";#N/A,#N/A,TRUE,"P2_CMD.XLS";#N/A,#N/A,TRUE,"P2_PID.XLS";#N/A,#N/A,TRUE,"P2_DMR.XLS";#N/A,#N/A,TRUE,"P2_DTC.XLS";#N/A,#N/A,TRUE,"P2_CNFG.XLS";#N/A,#N/A,TRUE,"P2_OVR.XLS";#N/A,#N/A,TRUE,"P2_REV.XLS"}</definedName>
    <definedName name="RCM_2" localSheetId="11" hidden="1">{#N/A,#N/A,TRUE,"P2_HDR.XLS";#N/A,#N/A,TRUE,"content.xls";#N/A,#N/A,TRUE,"P2_MSGS";#N/A,#N/A,TRUE,"P2_DS.XLS";#N/A,#N/A,TRUE,"P2_TST.XLS";#N/A,#N/A,TRUE,"P2_CMD.XLS";#N/A,#N/A,TRUE,"P2_PID.XLS";#N/A,#N/A,TRUE,"P2_DMR.XLS";#N/A,#N/A,TRUE,"P2_DTC.XLS";#N/A,#N/A,TRUE,"P2_CNFG.XLS";#N/A,#N/A,TRUE,"P2_OVR.XLS";#N/A,#N/A,TRUE,"P2_REV.XLS"}</definedName>
    <definedName name="RCM_2" localSheetId="14" hidden="1">{#N/A,#N/A,TRUE,"P2_HDR.XLS";#N/A,#N/A,TRUE,"content.xls";#N/A,#N/A,TRUE,"P2_MSGS";#N/A,#N/A,TRUE,"P2_DS.XLS";#N/A,#N/A,TRUE,"P2_TST.XLS";#N/A,#N/A,TRUE,"P2_CMD.XLS";#N/A,#N/A,TRUE,"P2_PID.XLS";#N/A,#N/A,TRUE,"P2_DMR.XLS";#N/A,#N/A,TRUE,"P2_DTC.XLS";#N/A,#N/A,TRUE,"P2_CNFG.XLS";#N/A,#N/A,TRUE,"P2_OVR.XLS";#N/A,#N/A,TRUE,"P2_REV.XLS"}</definedName>
    <definedName name="RCM_2" localSheetId="9" hidden="1">{#N/A,#N/A,TRUE,"P2_HDR.XLS";#N/A,#N/A,TRUE,"content.xls";#N/A,#N/A,TRUE,"P2_MSGS";#N/A,#N/A,TRUE,"P2_DS.XLS";#N/A,#N/A,TRUE,"P2_TST.XLS";#N/A,#N/A,TRUE,"P2_CMD.XLS";#N/A,#N/A,TRUE,"P2_PID.XLS";#N/A,#N/A,TRUE,"P2_DMR.XLS";#N/A,#N/A,TRUE,"P2_DTC.XLS";#N/A,#N/A,TRUE,"P2_CNFG.XLS";#N/A,#N/A,TRUE,"P2_OVR.XLS";#N/A,#N/A,TRUE,"P2_REV.XLS"}</definedName>
    <definedName name="RCM_2" localSheetId="3" hidden="1">{#N/A,#N/A,TRUE,"P2_HDR.XLS";#N/A,#N/A,TRUE,"content.xls";#N/A,#N/A,TRUE,"P2_MSGS";#N/A,#N/A,TRUE,"P2_DS.XLS";#N/A,#N/A,TRUE,"P2_TST.XLS";#N/A,#N/A,TRUE,"P2_CMD.XLS";#N/A,#N/A,TRUE,"P2_PID.XLS";#N/A,#N/A,TRUE,"P2_DMR.XLS";#N/A,#N/A,TRUE,"P2_DTC.XLS";#N/A,#N/A,TRUE,"P2_CNFG.XLS";#N/A,#N/A,TRUE,"P2_OVR.XLS";#N/A,#N/A,TRUE,"P2_REV.XLS"}</definedName>
    <definedName name="RCM_2" localSheetId="7" hidden="1">{#N/A,#N/A,TRUE,"P2_HDR.XLS";#N/A,#N/A,TRUE,"content.xls";#N/A,#N/A,TRUE,"P2_MSGS";#N/A,#N/A,TRUE,"P2_DS.XLS";#N/A,#N/A,TRUE,"P2_TST.XLS";#N/A,#N/A,TRUE,"P2_CMD.XLS";#N/A,#N/A,TRUE,"P2_PID.XLS";#N/A,#N/A,TRUE,"P2_DMR.XLS";#N/A,#N/A,TRUE,"P2_DTC.XLS";#N/A,#N/A,TRUE,"P2_CNFG.XLS";#N/A,#N/A,TRUE,"P2_OVR.XLS";#N/A,#N/A,TRUE,"P2_REV.XLS"}</definedName>
    <definedName name="RCM_2" localSheetId="5" hidden="1">{#N/A,#N/A,TRUE,"P2_HDR.XLS";#N/A,#N/A,TRUE,"content.xls";#N/A,#N/A,TRUE,"P2_MSGS";#N/A,#N/A,TRUE,"P2_DS.XLS";#N/A,#N/A,TRUE,"P2_TST.XLS";#N/A,#N/A,TRUE,"P2_CMD.XLS";#N/A,#N/A,TRUE,"P2_PID.XLS";#N/A,#N/A,TRUE,"P2_DMR.XLS";#N/A,#N/A,TRUE,"P2_DTC.XLS";#N/A,#N/A,TRUE,"P2_CNFG.XLS";#N/A,#N/A,TRUE,"P2_OVR.XLS";#N/A,#N/A,TRUE,"P2_REV.XLS"}</definedName>
    <definedName name="RCM_2" hidden="1">{#N/A,#N/A,TRUE,"P2_HDR.XLS";#N/A,#N/A,TRUE,"content.xls";#N/A,#N/A,TRUE,"P2_MSGS";#N/A,#N/A,TRUE,"P2_DS.XLS";#N/A,#N/A,TRUE,"P2_TST.XLS";#N/A,#N/A,TRUE,"P2_CMD.XLS";#N/A,#N/A,TRUE,"P2_PID.XLS";#N/A,#N/A,TRUE,"P2_DMR.XLS";#N/A,#N/A,TRUE,"P2_DTC.XLS";#N/A,#N/A,TRUE,"P2_CNFG.XLS";#N/A,#N/A,TRUE,"P2_OVR.XLS";#N/A,#N/A,TRUE,"P2_REV.XLS"}</definedName>
    <definedName name="Report3" localSheetId="16">[2]!Report3</definedName>
    <definedName name="Report3" localSheetId="13">[2]!Report3</definedName>
    <definedName name="Report3" localSheetId="14">[2]!Report3</definedName>
    <definedName name="Report3" localSheetId="7">[2]!Report3</definedName>
    <definedName name="Report3">[2]!Report3</definedName>
    <definedName name="S" localSheetId="19" hidden="1">{#N/A,#N/A,TRUE,"P2_HDR.XLS";#N/A,#N/A,TRUE,"content.xls";#N/A,#N/A,TRUE,"P2_MSGS";#N/A,#N/A,TRUE,"P2_DS.XLS";#N/A,#N/A,TRUE,"P2_TST.XLS";#N/A,#N/A,TRUE,"P2_CMD.XLS";#N/A,#N/A,TRUE,"P2_PID.XLS";#N/A,#N/A,TRUE,"P2_DMR.XLS";#N/A,#N/A,TRUE,"P2_DTC.XLS";#N/A,#N/A,TRUE,"P2_CNFG.XLS";#N/A,#N/A,TRUE,"P2_OVR.XLS";#N/A,#N/A,TRUE,"P2_REV.XLS"}</definedName>
    <definedName name="S" localSheetId="0" hidden="1">{#N/A,#N/A,TRUE,"P2_HDR.XLS";#N/A,#N/A,TRUE,"content.xls";#N/A,#N/A,TRUE,"P2_MSGS";#N/A,#N/A,TRUE,"P2_DS.XLS";#N/A,#N/A,TRUE,"P2_TST.XLS";#N/A,#N/A,TRUE,"P2_CMD.XLS";#N/A,#N/A,TRUE,"P2_PID.XLS";#N/A,#N/A,TRUE,"P2_DMR.XLS";#N/A,#N/A,TRUE,"P2_DTC.XLS";#N/A,#N/A,TRUE,"P2_CNFG.XLS";#N/A,#N/A,TRUE,"P2_OVR.XLS";#N/A,#N/A,TRUE,"P2_REV.XLS"}</definedName>
    <definedName name="S" localSheetId="8" hidden="1">{#N/A,#N/A,TRUE,"P2_HDR.XLS";#N/A,#N/A,TRUE,"content.xls";#N/A,#N/A,TRUE,"P2_MSGS";#N/A,#N/A,TRUE,"P2_DS.XLS";#N/A,#N/A,TRUE,"P2_TST.XLS";#N/A,#N/A,TRUE,"P2_CMD.XLS";#N/A,#N/A,TRUE,"P2_PID.XLS";#N/A,#N/A,TRUE,"P2_DMR.XLS";#N/A,#N/A,TRUE,"P2_DTC.XLS";#N/A,#N/A,TRUE,"P2_CNFG.XLS";#N/A,#N/A,TRUE,"P2_OVR.XLS";#N/A,#N/A,TRUE,"P2_REV.XLS"}</definedName>
    <definedName name="S" localSheetId="10" hidden="1">{#N/A,#N/A,TRUE,"P2_HDR.XLS";#N/A,#N/A,TRUE,"content.xls";#N/A,#N/A,TRUE,"P2_MSGS";#N/A,#N/A,TRUE,"P2_DS.XLS";#N/A,#N/A,TRUE,"P2_TST.XLS";#N/A,#N/A,TRUE,"P2_CMD.XLS";#N/A,#N/A,TRUE,"P2_PID.XLS";#N/A,#N/A,TRUE,"P2_DMR.XLS";#N/A,#N/A,TRUE,"P2_DTC.XLS";#N/A,#N/A,TRUE,"P2_CNFG.XLS";#N/A,#N/A,TRUE,"P2_OVR.XLS";#N/A,#N/A,TRUE,"P2_REV.XLS"}</definedName>
    <definedName name="S" localSheetId="11" hidden="1">{#N/A,#N/A,TRUE,"P2_HDR.XLS";#N/A,#N/A,TRUE,"content.xls";#N/A,#N/A,TRUE,"P2_MSGS";#N/A,#N/A,TRUE,"P2_DS.XLS";#N/A,#N/A,TRUE,"P2_TST.XLS";#N/A,#N/A,TRUE,"P2_CMD.XLS";#N/A,#N/A,TRUE,"P2_PID.XLS";#N/A,#N/A,TRUE,"P2_DMR.XLS";#N/A,#N/A,TRUE,"P2_DTC.XLS";#N/A,#N/A,TRUE,"P2_CNFG.XLS";#N/A,#N/A,TRUE,"P2_OVR.XLS";#N/A,#N/A,TRUE,"P2_REV.XLS"}</definedName>
    <definedName name="S" localSheetId="14" hidden="1">{#N/A,#N/A,TRUE,"P2_HDR.XLS";#N/A,#N/A,TRUE,"content.xls";#N/A,#N/A,TRUE,"P2_MSGS";#N/A,#N/A,TRUE,"P2_DS.XLS";#N/A,#N/A,TRUE,"P2_TST.XLS";#N/A,#N/A,TRUE,"P2_CMD.XLS";#N/A,#N/A,TRUE,"P2_PID.XLS";#N/A,#N/A,TRUE,"P2_DMR.XLS";#N/A,#N/A,TRUE,"P2_DTC.XLS";#N/A,#N/A,TRUE,"P2_CNFG.XLS";#N/A,#N/A,TRUE,"P2_OVR.XLS";#N/A,#N/A,TRUE,"P2_REV.XLS"}</definedName>
    <definedName name="S" localSheetId="9" hidden="1">{#N/A,#N/A,TRUE,"P2_HDR.XLS";#N/A,#N/A,TRUE,"content.xls";#N/A,#N/A,TRUE,"P2_MSGS";#N/A,#N/A,TRUE,"P2_DS.XLS";#N/A,#N/A,TRUE,"P2_TST.XLS";#N/A,#N/A,TRUE,"P2_CMD.XLS";#N/A,#N/A,TRUE,"P2_PID.XLS";#N/A,#N/A,TRUE,"P2_DMR.XLS";#N/A,#N/A,TRUE,"P2_DTC.XLS";#N/A,#N/A,TRUE,"P2_CNFG.XLS";#N/A,#N/A,TRUE,"P2_OVR.XLS";#N/A,#N/A,TRUE,"P2_REV.XLS"}</definedName>
    <definedName name="S" localSheetId="3" hidden="1">{#N/A,#N/A,TRUE,"P2_HDR.XLS";#N/A,#N/A,TRUE,"content.xls";#N/A,#N/A,TRUE,"P2_MSGS";#N/A,#N/A,TRUE,"P2_DS.XLS";#N/A,#N/A,TRUE,"P2_TST.XLS";#N/A,#N/A,TRUE,"P2_CMD.XLS";#N/A,#N/A,TRUE,"P2_PID.XLS";#N/A,#N/A,TRUE,"P2_DMR.XLS";#N/A,#N/A,TRUE,"P2_DTC.XLS";#N/A,#N/A,TRUE,"P2_CNFG.XLS";#N/A,#N/A,TRUE,"P2_OVR.XLS";#N/A,#N/A,TRUE,"P2_REV.XLS"}</definedName>
    <definedName name="S" localSheetId="7" hidden="1">{#N/A,#N/A,TRUE,"P2_HDR.XLS";#N/A,#N/A,TRUE,"content.xls";#N/A,#N/A,TRUE,"P2_MSGS";#N/A,#N/A,TRUE,"P2_DS.XLS";#N/A,#N/A,TRUE,"P2_TST.XLS";#N/A,#N/A,TRUE,"P2_CMD.XLS";#N/A,#N/A,TRUE,"P2_PID.XLS";#N/A,#N/A,TRUE,"P2_DMR.XLS";#N/A,#N/A,TRUE,"P2_DTC.XLS";#N/A,#N/A,TRUE,"P2_CNFG.XLS";#N/A,#N/A,TRUE,"P2_OVR.XLS";#N/A,#N/A,TRUE,"P2_REV.XLS"}</definedName>
    <definedName name="S" localSheetId="5" hidden="1">{#N/A,#N/A,TRUE,"P2_HDR.XLS";#N/A,#N/A,TRUE,"content.xls";#N/A,#N/A,TRUE,"P2_MSGS";#N/A,#N/A,TRUE,"P2_DS.XLS";#N/A,#N/A,TRUE,"P2_TST.XLS";#N/A,#N/A,TRUE,"P2_CMD.XLS";#N/A,#N/A,TRUE,"P2_PID.XLS";#N/A,#N/A,TRUE,"P2_DMR.XLS";#N/A,#N/A,TRUE,"P2_DTC.XLS";#N/A,#N/A,TRUE,"P2_CNFG.XLS";#N/A,#N/A,TRUE,"P2_OVR.XLS";#N/A,#N/A,TRUE,"P2_REV.XLS"}</definedName>
    <definedName name="S" hidden="1">{#N/A,#N/A,TRUE,"P2_HDR.XLS";#N/A,#N/A,TRUE,"content.xls";#N/A,#N/A,TRUE,"P2_MSGS";#N/A,#N/A,TRUE,"P2_DS.XLS";#N/A,#N/A,TRUE,"P2_TST.XLS";#N/A,#N/A,TRUE,"P2_CMD.XLS";#N/A,#N/A,TRUE,"P2_PID.XLS";#N/A,#N/A,TRUE,"P2_DMR.XLS";#N/A,#N/A,TRUE,"P2_DTC.XLS";#N/A,#N/A,TRUE,"P2_CNFG.XLS";#N/A,#N/A,TRUE,"P2_OVR.XLS";#N/A,#N/A,TRUE,"P2_REV.XLS"}</definedName>
    <definedName name="sa" localSheetId="19" hidden="1">{#N/A,#N/A,TRUE,"P2_HDR.XLS";#N/A,#N/A,TRUE,"content.xls";#N/A,#N/A,TRUE,"P2_MSGS";#N/A,#N/A,TRUE,"P2_DS.XLS";#N/A,#N/A,TRUE,"P2_TST.XLS";#N/A,#N/A,TRUE,"P2_CMD.XLS";#N/A,#N/A,TRUE,"P2_PID.XLS";#N/A,#N/A,TRUE,"P2_DMR.XLS";#N/A,#N/A,TRUE,"P2_DTC.XLS";#N/A,#N/A,TRUE,"P2_CNFG.XLS";#N/A,#N/A,TRUE,"P2_OVR.XLS";#N/A,#N/A,TRUE,"P2_REV.XLS"}</definedName>
    <definedName name="sa" localSheetId="0" hidden="1">{#N/A,#N/A,TRUE,"P2_HDR.XLS";#N/A,#N/A,TRUE,"content.xls";#N/A,#N/A,TRUE,"P2_MSGS";#N/A,#N/A,TRUE,"P2_DS.XLS";#N/A,#N/A,TRUE,"P2_TST.XLS";#N/A,#N/A,TRUE,"P2_CMD.XLS";#N/A,#N/A,TRUE,"P2_PID.XLS";#N/A,#N/A,TRUE,"P2_DMR.XLS";#N/A,#N/A,TRUE,"P2_DTC.XLS";#N/A,#N/A,TRUE,"P2_CNFG.XLS";#N/A,#N/A,TRUE,"P2_OVR.XLS";#N/A,#N/A,TRUE,"P2_REV.XLS"}</definedName>
    <definedName name="sa" localSheetId="8" hidden="1">{#N/A,#N/A,TRUE,"P2_HDR.XLS";#N/A,#N/A,TRUE,"content.xls";#N/A,#N/A,TRUE,"P2_MSGS";#N/A,#N/A,TRUE,"P2_DS.XLS";#N/A,#N/A,TRUE,"P2_TST.XLS";#N/A,#N/A,TRUE,"P2_CMD.XLS";#N/A,#N/A,TRUE,"P2_PID.XLS";#N/A,#N/A,TRUE,"P2_DMR.XLS";#N/A,#N/A,TRUE,"P2_DTC.XLS";#N/A,#N/A,TRUE,"P2_CNFG.XLS";#N/A,#N/A,TRUE,"P2_OVR.XLS";#N/A,#N/A,TRUE,"P2_REV.XLS"}</definedName>
    <definedName name="sa" localSheetId="10" hidden="1">{#N/A,#N/A,TRUE,"P2_HDR.XLS";#N/A,#N/A,TRUE,"content.xls";#N/A,#N/A,TRUE,"P2_MSGS";#N/A,#N/A,TRUE,"P2_DS.XLS";#N/A,#N/A,TRUE,"P2_TST.XLS";#N/A,#N/A,TRUE,"P2_CMD.XLS";#N/A,#N/A,TRUE,"P2_PID.XLS";#N/A,#N/A,TRUE,"P2_DMR.XLS";#N/A,#N/A,TRUE,"P2_DTC.XLS";#N/A,#N/A,TRUE,"P2_CNFG.XLS";#N/A,#N/A,TRUE,"P2_OVR.XLS";#N/A,#N/A,TRUE,"P2_REV.XLS"}</definedName>
    <definedName name="sa" localSheetId="11" hidden="1">{#N/A,#N/A,TRUE,"P2_HDR.XLS";#N/A,#N/A,TRUE,"content.xls";#N/A,#N/A,TRUE,"P2_MSGS";#N/A,#N/A,TRUE,"P2_DS.XLS";#N/A,#N/A,TRUE,"P2_TST.XLS";#N/A,#N/A,TRUE,"P2_CMD.XLS";#N/A,#N/A,TRUE,"P2_PID.XLS";#N/A,#N/A,TRUE,"P2_DMR.XLS";#N/A,#N/A,TRUE,"P2_DTC.XLS";#N/A,#N/A,TRUE,"P2_CNFG.XLS";#N/A,#N/A,TRUE,"P2_OVR.XLS";#N/A,#N/A,TRUE,"P2_REV.XLS"}</definedName>
    <definedName name="sa" localSheetId="14" hidden="1">{#N/A,#N/A,TRUE,"P2_HDR.XLS";#N/A,#N/A,TRUE,"content.xls";#N/A,#N/A,TRUE,"P2_MSGS";#N/A,#N/A,TRUE,"P2_DS.XLS";#N/A,#N/A,TRUE,"P2_TST.XLS";#N/A,#N/A,TRUE,"P2_CMD.XLS";#N/A,#N/A,TRUE,"P2_PID.XLS";#N/A,#N/A,TRUE,"P2_DMR.XLS";#N/A,#N/A,TRUE,"P2_DTC.XLS";#N/A,#N/A,TRUE,"P2_CNFG.XLS";#N/A,#N/A,TRUE,"P2_OVR.XLS";#N/A,#N/A,TRUE,"P2_REV.XLS"}</definedName>
    <definedName name="sa" localSheetId="9" hidden="1">{#N/A,#N/A,TRUE,"P2_HDR.XLS";#N/A,#N/A,TRUE,"content.xls";#N/A,#N/A,TRUE,"P2_MSGS";#N/A,#N/A,TRUE,"P2_DS.XLS";#N/A,#N/A,TRUE,"P2_TST.XLS";#N/A,#N/A,TRUE,"P2_CMD.XLS";#N/A,#N/A,TRUE,"P2_PID.XLS";#N/A,#N/A,TRUE,"P2_DMR.XLS";#N/A,#N/A,TRUE,"P2_DTC.XLS";#N/A,#N/A,TRUE,"P2_CNFG.XLS";#N/A,#N/A,TRUE,"P2_OVR.XLS";#N/A,#N/A,TRUE,"P2_REV.XLS"}</definedName>
    <definedName name="sa" localSheetId="3" hidden="1">{#N/A,#N/A,TRUE,"P2_HDR.XLS";#N/A,#N/A,TRUE,"content.xls";#N/A,#N/A,TRUE,"P2_MSGS";#N/A,#N/A,TRUE,"P2_DS.XLS";#N/A,#N/A,TRUE,"P2_TST.XLS";#N/A,#N/A,TRUE,"P2_CMD.XLS";#N/A,#N/A,TRUE,"P2_PID.XLS";#N/A,#N/A,TRUE,"P2_DMR.XLS";#N/A,#N/A,TRUE,"P2_DTC.XLS";#N/A,#N/A,TRUE,"P2_CNFG.XLS";#N/A,#N/A,TRUE,"P2_OVR.XLS";#N/A,#N/A,TRUE,"P2_REV.XLS"}</definedName>
    <definedName name="sa" localSheetId="7" hidden="1">{#N/A,#N/A,TRUE,"P2_HDR.XLS";#N/A,#N/A,TRUE,"content.xls";#N/A,#N/A,TRUE,"P2_MSGS";#N/A,#N/A,TRUE,"P2_DS.XLS";#N/A,#N/A,TRUE,"P2_TST.XLS";#N/A,#N/A,TRUE,"P2_CMD.XLS";#N/A,#N/A,TRUE,"P2_PID.XLS";#N/A,#N/A,TRUE,"P2_DMR.XLS";#N/A,#N/A,TRUE,"P2_DTC.XLS";#N/A,#N/A,TRUE,"P2_CNFG.XLS";#N/A,#N/A,TRUE,"P2_OVR.XLS";#N/A,#N/A,TRUE,"P2_REV.XLS"}</definedName>
    <definedName name="sa" localSheetId="5" hidden="1">{#N/A,#N/A,TRUE,"P2_HDR.XLS";#N/A,#N/A,TRUE,"content.xls";#N/A,#N/A,TRUE,"P2_MSGS";#N/A,#N/A,TRUE,"P2_DS.XLS";#N/A,#N/A,TRUE,"P2_TST.XLS";#N/A,#N/A,TRUE,"P2_CMD.XLS";#N/A,#N/A,TRUE,"P2_PID.XLS";#N/A,#N/A,TRUE,"P2_DMR.XLS";#N/A,#N/A,TRUE,"P2_DTC.XLS";#N/A,#N/A,TRUE,"P2_CNFG.XLS";#N/A,#N/A,TRUE,"P2_OVR.XLS";#N/A,#N/A,TRUE,"P2_REV.XLS"}</definedName>
    <definedName name="sa" hidden="1">{#N/A,#N/A,TRUE,"P2_HDR.XLS";#N/A,#N/A,TRUE,"content.xls";#N/A,#N/A,TRUE,"P2_MSGS";#N/A,#N/A,TRUE,"P2_DS.XLS";#N/A,#N/A,TRUE,"P2_TST.XLS";#N/A,#N/A,TRUE,"P2_CMD.XLS";#N/A,#N/A,TRUE,"P2_PID.XLS";#N/A,#N/A,TRUE,"P2_DMR.XLS";#N/A,#N/A,TRUE,"P2_DTC.XLS";#N/A,#N/A,TRUE,"P2_CNFG.XLS";#N/A,#N/A,TRUE,"P2_OVR.XLS";#N/A,#N/A,TRUE,"P2_REV.XLS"}</definedName>
    <definedName name="sasasa" localSheetId="19" hidden="1">{#N/A,#N/A,TRUE,"P2_HDR.XLS";#N/A,#N/A,TRUE,"content.xls";#N/A,#N/A,TRUE,"P2_MSGS";#N/A,#N/A,TRUE,"P2_DS.XLS";#N/A,#N/A,TRUE,"P2_TST.XLS";#N/A,#N/A,TRUE,"P2_CMD.XLS";#N/A,#N/A,TRUE,"P2_PID.XLS";#N/A,#N/A,TRUE,"P2_DMR.XLS";#N/A,#N/A,TRUE,"P2_DTC.XLS";#N/A,#N/A,TRUE,"P2_CNFG.XLS";#N/A,#N/A,TRUE,"P2_OVR.XLS";#N/A,#N/A,TRUE,"P2_REV.XLS"}</definedName>
    <definedName name="sasasa" localSheetId="0" hidden="1">{#N/A,#N/A,TRUE,"P2_HDR.XLS";#N/A,#N/A,TRUE,"content.xls";#N/A,#N/A,TRUE,"P2_MSGS";#N/A,#N/A,TRUE,"P2_DS.XLS";#N/A,#N/A,TRUE,"P2_TST.XLS";#N/A,#N/A,TRUE,"P2_CMD.XLS";#N/A,#N/A,TRUE,"P2_PID.XLS";#N/A,#N/A,TRUE,"P2_DMR.XLS";#N/A,#N/A,TRUE,"P2_DTC.XLS";#N/A,#N/A,TRUE,"P2_CNFG.XLS";#N/A,#N/A,TRUE,"P2_OVR.XLS";#N/A,#N/A,TRUE,"P2_REV.XLS"}</definedName>
    <definedName name="sasasa" localSheetId="8" hidden="1">{#N/A,#N/A,TRUE,"P2_HDR.XLS";#N/A,#N/A,TRUE,"content.xls";#N/A,#N/A,TRUE,"P2_MSGS";#N/A,#N/A,TRUE,"P2_DS.XLS";#N/A,#N/A,TRUE,"P2_TST.XLS";#N/A,#N/A,TRUE,"P2_CMD.XLS";#N/A,#N/A,TRUE,"P2_PID.XLS";#N/A,#N/A,TRUE,"P2_DMR.XLS";#N/A,#N/A,TRUE,"P2_DTC.XLS";#N/A,#N/A,TRUE,"P2_CNFG.XLS";#N/A,#N/A,TRUE,"P2_OVR.XLS";#N/A,#N/A,TRUE,"P2_REV.XLS"}</definedName>
    <definedName name="sasasa" localSheetId="10" hidden="1">{#N/A,#N/A,TRUE,"P2_HDR.XLS";#N/A,#N/A,TRUE,"content.xls";#N/A,#N/A,TRUE,"P2_MSGS";#N/A,#N/A,TRUE,"P2_DS.XLS";#N/A,#N/A,TRUE,"P2_TST.XLS";#N/A,#N/A,TRUE,"P2_CMD.XLS";#N/A,#N/A,TRUE,"P2_PID.XLS";#N/A,#N/A,TRUE,"P2_DMR.XLS";#N/A,#N/A,TRUE,"P2_DTC.XLS";#N/A,#N/A,TRUE,"P2_CNFG.XLS";#N/A,#N/A,TRUE,"P2_OVR.XLS";#N/A,#N/A,TRUE,"P2_REV.XLS"}</definedName>
    <definedName name="sasasa" localSheetId="11" hidden="1">{#N/A,#N/A,TRUE,"P2_HDR.XLS";#N/A,#N/A,TRUE,"content.xls";#N/A,#N/A,TRUE,"P2_MSGS";#N/A,#N/A,TRUE,"P2_DS.XLS";#N/A,#N/A,TRUE,"P2_TST.XLS";#N/A,#N/A,TRUE,"P2_CMD.XLS";#N/A,#N/A,TRUE,"P2_PID.XLS";#N/A,#N/A,TRUE,"P2_DMR.XLS";#N/A,#N/A,TRUE,"P2_DTC.XLS";#N/A,#N/A,TRUE,"P2_CNFG.XLS";#N/A,#N/A,TRUE,"P2_OVR.XLS";#N/A,#N/A,TRUE,"P2_REV.XLS"}</definedName>
    <definedName name="sasasa" localSheetId="14" hidden="1">{#N/A,#N/A,TRUE,"P2_HDR.XLS";#N/A,#N/A,TRUE,"content.xls";#N/A,#N/A,TRUE,"P2_MSGS";#N/A,#N/A,TRUE,"P2_DS.XLS";#N/A,#N/A,TRUE,"P2_TST.XLS";#N/A,#N/A,TRUE,"P2_CMD.XLS";#N/A,#N/A,TRUE,"P2_PID.XLS";#N/A,#N/A,TRUE,"P2_DMR.XLS";#N/A,#N/A,TRUE,"P2_DTC.XLS";#N/A,#N/A,TRUE,"P2_CNFG.XLS";#N/A,#N/A,TRUE,"P2_OVR.XLS";#N/A,#N/A,TRUE,"P2_REV.XLS"}</definedName>
    <definedName name="sasasa" localSheetId="9" hidden="1">{#N/A,#N/A,TRUE,"P2_HDR.XLS";#N/A,#N/A,TRUE,"content.xls";#N/A,#N/A,TRUE,"P2_MSGS";#N/A,#N/A,TRUE,"P2_DS.XLS";#N/A,#N/A,TRUE,"P2_TST.XLS";#N/A,#N/A,TRUE,"P2_CMD.XLS";#N/A,#N/A,TRUE,"P2_PID.XLS";#N/A,#N/A,TRUE,"P2_DMR.XLS";#N/A,#N/A,TRUE,"P2_DTC.XLS";#N/A,#N/A,TRUE,"P2_CNFG.XLS";#N/A,#N/A,TRUE,"P2_OVR.XLS";#N/A,#N/A,TRUE,"P2_REV.XLS"}</definedName>
    <definedName name="sasasa" localSheetId="3" hidden="1">{#N/A,#N/A,TRUE,"P2_HDR.XLS";#N/A,#N/A,TRUE,"content.xls";#N/A,#N/A,TRUE,"P2_MSGS";#N/A,#N/A,TRUE,"P2_DS.XLS";#N/A,#N/A,TRUE,"P2_TST.XLS";#N/A,#N/A,TRUE,"P2_CMD.XLS";#N/A,#N/A,TRUE,"P2_PID.XLS";#N/A,#N/A,TRUE,"P2_DMR.XLS";#N/A,#N/A,TRUE,"P2_DTC.XLS";#N/A,#N/A,TRUE,"P2_CNFG.XLS";#N/A,#N/A,TRUE,"P2_OVR.XLS";#N/A,#N/A,TRUE,"P2_REV.XLS"}</definedName>
    <definedName name="sasasa" localSheetId="7" hidden="1">{#N/A,#N/A,TRUE,"P2_HDR.XLS";#N/A,#N/A,TRUE,"content.xls";#N/A,#N/A,TRUE,"P2_MSGS";#N/A,#N/A,TRUE,"P2_DS.XLS";#N/A,#N/A,TRUE,"P2_TST.XLS";#N/A,#N/A,TRUE,"P2_CMD.XLS";#N/A,#N/A,TRUE,"P2_PID.XLS";#N/A,#N/A,TRUE,"P2_DMR.XLS";#N/A,#N/A,TRUE,"P2_DTC.XLS";#N/A,#N/A,TRUE,"P2_CNFG.XLS";#N/A,#N/A,TRUE,"P2_OVR.XLS";#N/A,#N/A,TRUE,"P2_REV.XLS"}</definedName>
    <definedName name="sasasa" localSheetId="5" hidden="1">{#N/A,#N/A,TRUE,"P2_HDR.XLS";#N/A,#N/A,TRUE,"content.xls";#N/A,#N/A,TRUE,"P2_MSGS";#N/A,#N/A,TRUE,"P2_DS.XLS";#N/A,#N/A,TRUE,"P2_TST.XLS";#N/A,#N/A,TRUE,"P2_CMD.XLS";#N/A,#N/A,TRUE,"P2_PID.XLS";#N/A,#N/A,TRUE,"P2_DMR.XLS";#N/A,#N/A,TRUE,"P2_DTC.XLS";#N/A,#N/A,TRUE,"P2_CNFG.XLS";#N/A,#N/A,TRUE,"P2_OVR.XLS";#N/A,#N/A,TRUE,"P2_REV.XLS"}</definedName>
    <definedName name="sasasa" hidden="1">{#N/A,#N/A,TRUE,"P2_HDR.XLS";#N/A,#N/A,TRUE,"content.xls";#N/A,#N/A,TRUE,"P2_MSGS";#N/A,#N/A,TRUE,"P2_DS.XLS";#N/A,#N/A,TRUE,"P2_TST.XLS";#N/A,#N/A,TRUE,"P2_CMD.XLS";#N/A,#N/A,TRUE,"P2_PID.XLS";#N/A,#N/A,TRUE,"P2_DMR.XLS";#N/A,#N/A,TRUE,"P2_DTC.XLS";#N/A,#N/A,TRUE,"P2_CNFG.XLS";#N/A,#N/A,TRUE,"P2_OVR.XLS";#N/A,#N/A,TRUE,"P2_REV.XLS"}</definedName>
    <definedName name="Specification" localSheetId="19">#REF!</definedName>
    <definedName name="Specification" localSheetId="0">#REF!</definedName>
    <definedName name="Specification">#REF!</definedName>
    <definedName name="SSS" localSheetId="19" hidden="1">{#N/A,#N/A,TRUE,"P2_HDR.XLS";#N/A,#N/A,TRUE,"content.xls";#N/A,#N/A,TRUE,"P2_MSGS";#N/A,#N/A,TRUE,"P2_DS.XLS";#N/A,#N/A,TRUE,"P2_TST.XLS";#N/A,#N/A,TRUE,"P2_CMD.XLS";#N/A,#N/A,TRUE,"P2_PID.XLS";#N/A,#N/A,TRUE,"P2_DMR.XLS";#N/A,#N/A,TRUE,"P2_DTC.XLS";#N/A,#N/A,TRUE,"P2_CNFG.XLS";#N/A,#N/A,TRUE,"P2_OVR.XLS";#N/A,#N/A,TRUE,"P2_REV.XLS"}</definedName>
    <definedName name="SSS" localSheetId="0" hidden="1">{#N/A,#N/A,TRUE,"P2_HDR.XLS";#N/A,#N/A,TRUE,"content.xls";#N/A,#N/A,TRUE,"P2_MSGS";#N/A,#N/A,TRUE,"P2_DS.XLS";#N/A,#N/A,TRUE,"P2_TST.XLS";#N/A,#N/A,TRUE,"P2_CMD.XLS";#N/A,#N/A,TRUE,"P2_PID.XLS";#N/A,#N/A,TRUE,"P2_DMR.XLS";#N/A,#N/A,TRUE,"P2_DTC.XLS";#N/A,#N/A,TRUE,"P2_CNFG.XLS";#N/A,#N/A,TRUE,"P2_OVR.XLS";#N/A,#N/A,TRUE,"P2_REV.XLS"}</definedName>
    <definedName name="SSS" localSheetId="8" hidden="1">{#N/A,#N/A,TRUE,"P2_HDR.XLS";#N/A,#N/A,TRUE,"content.xls";#N/A,#N/A,TRUE,"P2_MSGS";#N/A,#N/A,TRUE,"P2_DS.XLS";#N/A,#N/A,TRUE,"P2_TST.XLS";#N/A,#N/A,TRUE,"P2_CMD.XLS";#N/A,#N/A,TRUE,"P2_PID.XLS";#N/A,#N/A,TRUE,"P2_DMR.XLS";#N/A,#N/A,TRUE,"P2_DTC.XLS";#N/A,#N/A,TRUE,"P2_CNFG.XLS";#N/A,#N/A,TRUE,"P2_OVR.XLS";#N/A,#N/A,TRUE,"P2_REV.XLS"}</definedName>
    <definedName name="SSS" localSheetId="10" hidden="1">{#N/A,#N/A,TRUE,"P2_HDR.XLS";#N/A,#N/A,TRUE,"content.xls";#N/A,#N/A,TRUE,"P2_MSGS";#N/A,#N/A,TRUE,"P2_DS.XLS";#N/A,#N/A,TRUE,"P2_TST.XLS";#N/A,#N/A,TRUE,"P2_CMD.XLS";#N/A,#N/A,TRUE,"P2_PID.XLS";#N/A,#N/A,TRUE,"P2_DMR.XLS";#N/A,#N/A,TRUE,"P2_DTC.XLS";#N/A,#N/A,TRUE,"P2_CNFG.XLS";#N/A,#N/A,TRUE,"P2_OVR.XLS";#N/A,#N/A,TRUE,"P2_REV.XLS"}</definedName>
    <definedName name="SSS" localSheetId="11" hidden="1">{#N/A,#N/A,TRUE,"P2_HDR.XLS";#N/A,#N/A,TRUE,"content.xls";#N/A,#N/A,TRUE,"P2_MSGS";#N/A,#N/A,TRUE,"P2_DS.XLS";#N/A,#N/A,TRUE,"P2_TST.XLS";#N/A,#N/A,TRUE,"P2_CMD.XLS";#N/A,#N/A,TRUE,"P2_PID.XLS";#N/A,#N/A,TRUE,"P2_DMR.XLS";#N/A,#N/A,TRUE,"P2_DTC.XLS";#N/A,#N/A,TRUE,"P2_CNFG.XLS";#N/A,#N/A,TRUE,"P2_OVR.XLS";#N/A,#N/A,TRUE,"P2_REV.XLS"}</definedName>
    <definedName name="SSS" localSheetId="14" hidden="1">{#N/A,#N/A,TRUE,"P2_HDR.XLS";#N/A,#N/A,TRUE,"content.xls";#N/A,#N/A,TRUE,"P2_MSGS";#N/A,#N/A,TRUE,"P2_DS.XLS";#N/A,#N/A,TRUE,"P2_TST.XLS";#N/A,#N/A,TRUE,"P2_CMD.XLS";#N/A,#N/A,TRUE,"P2_PID.XLS";#N/A,#N/A,TRUE,"P2_DMR.XLS";#N/A,#N/A,TRUE,"P2_DTC.XLS";#N/A,#N/A,TRUE,"P2_CNFG.XLS";#N/A,#N/A,TRUE,"P2_OVR.XLS";#N/A,#N/A,TRUE,"P2_REV.XLS"}</definedName>
    <definedName name="SSS" localSheetId="9" hidden="1">{#N/A,#N/A,TRUE,"P2_HDR.XLS";#N/A,#N/A,TRUE,"content.xls";#N/A,#N/A,TRUE,"P2_MSGS";#N/A,#N/A,TRUE,"P2_DS.XLS";#N/A,#N/A,TRUE,"P2_TST.XLS";#N/A,#N/A,TRUE,"P2_CMD.XLS";#N/A,#N/A,TRUE,"P2_PID.XLS";#N/A,#N/A,TRUE,"P2_DMR.XLS";#N/A,#N/A,TRUE,"P2_DTC.XLS";#N/A,#N/A,TRUE,"P2_CNFG.XLS";#N/A,#N/A,TRUE,"P2_OVR.XLS";#N/A,#N/A,TRUE,"P2_REV.XLS"}</definedName>
    <definedName name="SSS" localSheetId="3" hidden="1">{#N/A,#N/A,TRUE,"P2_HDR.XLS";#N/A,#N/A,TRUE,"content.xls";#N/A,#N/A,TRUE,"P2_MSGS";#N/A,#N/A,TRUE,"P2_DS.XLS";#N/A,#N/A,TRUE,"P2_TST.XLS";#N/A,#N/A,TRUE,"P2_CMD.XLS";#N/A,#N/A,TRUE,"P2_PID.XLS";#N/A,#N/A,TRUE,"P2_DMR.XLS";#N/A,#N/A,TRUE,"P2_DTC.XLS";#N/A,#N/A,TRUE,"P2_CNFG.XLS";#N/A,#N/A,TRUE,"P2_OVR.XLS";#N/A,#N/A,TRUE,"P2_REV.XLS"}</definedName>
    <definedName name="SSS" localSheetId="7" hidden="1">{#N/A,#N/A,TRUE,"P2_HDR.XLS";#N/A,#N/A,TRUE,"content.xls";#N/A,#N/A,TRUE,"P2_MSGS";#N/A,#N/A,TRUE,"P2_DS.XLS";#N/A,#N/A,TRUE,"P2_TST.XLS";#N/A,#N/A,TRUE,"P2_CMD.XLS";#N/A,#N/A,TRUE,"P2_PID.XLS";#N/A,#N/A,TRUE,"P2_DMR.XLS";#N/A,#N/A,TRUE,"P2_DTC.XLS";#N/A,#N/A,TRUE,"P2_CNFG.XLS";#N/A,#N/A,TRUE,"P2_OVR.XLS";#N/A,#N/A,TRUE,"P2_REV.XLS"}</definedName>
    <definedName name="SSS" localSheetId="5" hidden="1">{#N/A,#N/A,TRUE,"P2_HDR.XLS";#N/A,#N/A,TRUE,"content.xls";#N/A,#N/A,TRUE,"P2_MSGS";#N/A,#N/A,TRUE,"P2_DS.XLS";#N/A,#N/A,TRUE,"P2_TST.XLS";#N/A,#N/A,TRUE,"P2_CMD.XLS";#N/A,#N/A,TRUE,"P2_PID.XLS";#N/A,#N/A,TRUE,"P2_DMR.XLS";#N/A,#N/A,TRUE,"P2_DTC.XLS";#N/A,#N/A,TRUE,"P2_CNFG.XLS";#N/A,#N/A,TRUE,"P2_OVR.XLS";#N/A,#N/A,TRUE,"P2_REV.XLS"}</definedName>
    <definedName name="SSS" hidden="1">{#N/A,#N/A,TRUE,"P2_HDR.XLS";#N/A,#N/A,TRUE,"content.xls";#N/A,#N/A,TRUE,"P2_MSGS";#N/A,#N/A,TRUE,"P2_DS.XLS";#N/A,#N/A,TRUE,"P2_TST.XLS";#N/A,#N/A,TRUE,"P2_CMD.XLS";#N/A,#N/A,TRUE,"P2_PID.XLS";#N/A,#N/A,TRUE,"P2_DMR.XLS";#N/A,#N/A,TRUE,"P2_DTC.XLS";#N/A,#N/A,TRUE,"P2_CNFG.XLS";#N/A,#N/A,TRUE,"P2_OVR.XLS";#N/A,#N/A,TRUE,"P2_REV.XLS"}</definedName>
    <definedName name="StartTest" localSheetId="19">#REF!</definedName>
    <definedName name="StartTest" localSheetId="0">#REF!</definedName>
    <definedName name="StartTest">#REF!</definedName>
    <definedName name="SWPartNumber" localSheetId="19">#REF!</definedName>
    <definedName name="SWPartNumber" localSheetId="8">#REF!</definedName>
    <definedName name="SWPartNumber" localSheetId="10">#REF!</definedName>
    <definedName name="SWPartNumber" localSheetId="11">#REF!</definedName>
    <definedName name="SWPartNumber" localSheetId="14">#REF!</definedName>
    <definedName name="SWPartNumber" localSheetId="9">#REF!</definedName>
    <definedName name="SWPartNumber" localSheetId="3">#REF!</definedName>
    <definedName name="SWPartNumber" localSheetId="5">#REF!</definedName>
    <definedName name="SWPartNumber">#REF!</definedName>
    <definedName name="T0" localSheetId="19">#REF!</definedName>
    <definedName name="T0" localSheetId="8">#REF!</definedName>
    <definedName name="T0" localSheetId="10">#REF!</definedName>
    <definedName name="T0" localSheetId="11">#REF!</definedName>
    <definedName name="T0" localSheetId="14">#REF!</definedName>
    <definedName name="T0" localSheetId="9">#REF!</definedName>
    <definedName name="T0" localSheetId="3">#REF!</definedName>
    <definedName name="T0" localSheetId="5">#REF!</definedName>
    <definedName name="T0">#REF!</definedName>
    <definedName name="TotalUniqueTestsRun" localSheetId="19">#REF!</definedName>
    <definedName name="TotalUniqueTestsRun" localSheetId="8">#REF!</definedName>
    <definedName name="TotalUniqueTestsRun" localSheetId="14">#REF!</definedName>
    <definedName name="TotalUniqueTestsRun">#REF!</definedName>
    <definedName name="VehicleName" localSheetId="19">#REF!</definedName>
    <definedName name="VehicleName" localSheetId="8">#REF!</definedName>
    <definedName name="VehicleName" localSheetId="14">#REF!</definedName>
    <definedName name="VehicleName">#REF!</definedName>
    <definedName name="w" localSheetId="19" hidden="1">{#N/A,#N/A,TRUE,"P2_HDR.XLS";#N/A,#N/A,TRUE,"content.xls";#N/A,#N/A,TRUE,"P2_MSGS";#N/A,#N/A,TRUE,"P2_DS.XLS";#N/A,#N/A,TRUE,"P2_TST.XLS";#N/A,#N/A,TRUE,"P2_CMD.XLS";#N/A,#N/A,TRUE,"P2_PID.XLS";#N/A,#N/A,TRUE,"P2_DMR.XLS";#N/A,#N/A,TRUE,"P2_DTC.XLS";#N/A,#N/A,TRUE,"P2_CNFG.XLS";#N/A,#N/A,TRUE,"P2_OVR.XLS";#N/A,#N/A,TRUE,"P2_REV.XLS"}</definedName>
    <definedName name="w" localSheetId="0" hidden="1">{#N/A,#N/A,TRUE,"P2_HDR.XLS";#N/A,#N/A,TRUE,"content.xls";#N/A,#N/A,TRUE,"P2_MSGS";#N/A,#N/A,TRUE,"P2_DS.XLS";#N/A,#N/A,TRUE,"P2_TST.XLS";#N/A,#N/A,TRUE,"P2_CMD.XLS";#N/A,#N/A,TRUE,"P2_PID.XLS";#N/A,#N/A,TRUE,"P2_DMR.XLS";#N/A,#N/A,TRUE,"P2_DTC.XLS";#N/A,#N/A,TRUE,"P2_CNFG.XLS";#N/A,#N/A,TRUE,"P2_OVR.XLS";#N/A,#N/A,TRUE,"P2_REV.XLS"}</definedName>
    <definedName name="w" localSheetId="8" hidden="1">{#N/A,#N/A,TRUE,"P2_HDR.XLS";#N/A,#N/A,TRUE,"content.xls";#N/A,#N/A,TRUE,"P2_MSGS";#N/A,#N/A,TRUE,"P2_DS.XLS";#N/A,#N/A,TRUE,"P2_TST.XLS";#N/A,#N/A,TRUE,"P2_CMD.XLS";#N/A,#N/A,TRUE,"P2_PID.XLS";#N/A,#N/A,TRUE,"P2_DMR.XLS";#N/A,#N/A,TRUE,"P2_DTC.XLS";#N/A,#N/A,TRUE,"P2_CNFG.XLS";#N/A,#N/A,TRUE,"P2_OVR.XLS";#N/A,#N/A,TRUE,"P2_REV.XLS"}</definedName>
    <definedName name="w" localSheetId="10" hidden="1">{#N/A,#N/A,TRUE,"P2_HDR.XLS";#N/A,#N/A,TRUE,"content.xls";#N/A,#N/A,TRUE,"P2_MSGS";#N/A,#N/A,TRUE,"P2_DS.XLS";#N/A,#N/A,TRUE,"P2_TST.XLS";#N/A,#N/A,TRUE,"P2_CMD.XLS";#N/A,#N/A,TRUE,"P2_PID.XLS";#N/A,#N/A,TRUE,"P2_DMR.XLS";#N/A,#N/A,TRUE,"P2_DTC.XLS";#N/A,#N/A,TRUE,"P2_CNFG.XLS";#N/A,#N/A,TRUE,"P2_OVR.XLS";#N/A,#N/A,TRUE,"P2_REV.XLS"}</definedName>
    <definedName name="w" localSheetId="11" hidden="1">{#N/A,#N/A,TRUE,"P2_HDR.XLS";#N/A,#N/A,TRUE,"content.xls";#N/A,#N/A,TRUE,"P2_MSGS";#N/A,#N/A,TRUE,"P2_DS.XLS";#N/A,#N/A,TRUE,"P2_TST.XLS";#N/A,#N/A,TRUE,"P2_CMD.XLS";#N/A,#N/A,TRUE,"P2_PID.XLS";#N/A,#N/A,TRUE,"P2_DMR.XLS";#N/A,#N/A,TRUE,"P2_DTC.XLS";#N/A,#N/A,TRUE,"P2_CNFG.XLS";#N/A,#N/A,TRUE,"P2_OVR.XLS";#N/A,#N/A,TRUE,"P2_REV.XLS"}</definedName>
    <definedName name="w" localSheetId="14" hidden="1">{#N/A,#N/A,TRUE,"P2_HDR.XLS";#N/A,#N/A,TRUE,"content.xls";#N/A,#N/A,TRUE,"P2_MSGS";#N/A,#N/A,TRUE,"P2_DS.XLS";#N/A,#N/A,TRUE,"P2_TST.XLS";#N/A,#N/A,TRUE,"P2_CMD.XLS";#N/A,#N/A,TRUE,"P2_PID.XLS";#N/A,#N/A,TRUE,"P2_DMR.XLS";#N/A,#N/A,TRUE,"P2_DTC.XLS";#N/A,#N/A,TRUE,"P2_CNFG.XLS";#N/A,#N/A,TRUE,"P2_OVR.XLS";#N/A,#N/A,TRUE,"P2_REV.XLS"}</definedName>
    <definedName name="w" localSheetId="9" hidden="1">{#N/A,#N/A,TRUE,"P2_HDR.XLS";#N/A,#N/A,TRUE,"content.xls";#N/A,#N/A,TRUE,"P2_MSGS";#N/A,#N/A,TRUE,"P2_DS.XLS";#N/A,#N/A,TRUE,"P2_TST.XLS";#N/A,#N/A,TRUE,"P2_CMD.XLS";#N/A,#N/A,TRUE,"P2_PID.XLS";#N/A,#N/A,TRUE,"P2_DMR.XLS";#N/A,#N/A,TRUE,"P2_DTC.XLS";#N/A,#N/A,TRUE,"P2_CNFG.XLS";#N/A,#N/A,TRUE,"P2_OVR.XLS";#N/A,#N/A,TRUE,"P2_REV.XLS"}</definedName>
    <definedName name="w" localSheetId="3" hidden="1">{#N/A,#N/A,TRUE,"P2_HDR.XLS";#N/A,#N/A,TRUE,"content.xls";#N/A,#N/A,TRUE,"P2_MSGS";#N/A,#N/A,TRUE,"P2_DS.XLS";#N/A,#N/A,TRUE,"P2_TST.XLS";#N/A,#N/A,TRUE,"P2_CMD.XLS";#N/A,#N/A,TRUE,"P2_PID.XLS";#N/A,#N/A,TRUE,"P2_DMR.XLS";#N/A,#N/A,TRUE,"P2_DTC.XLS";#N/A,#N/A,TRUE,"P2_CNFG.XLS";#N/A,#N/A,TRUE,"P2_OVR.XLS";#N/A,#N/A,TRUE,"P2_REV.XLS"}</definedName>
    <definedName name="w" localSheetId="7" hidden="1">{#N/A,#N/A,TRUE,"P2_HDR.XLS";#N/A,#N/A,TRUE,"content.xls";#N/A,#N/A,TRUE,"P2_MSGS";#N/A,#N/A,TRUE,"P2_DS.XLS";#N/A,#N/A,TRUE,"P2_TST.XLS";#N/A,#N/A,TRUE,"P2_CMD.XLS";#N/A,#N/A,TRUE,"P2_PID.XLS";#N/A,#N/A,TRUE,"P2_DMR.XLS";#N/A,#N/A,TRUE,"P2_DTC.XLS";#N/A,#N/A,TRUE,"P2_CNFG.XLS";#N/A,#N/A,TRUE,"P2_OVR.XLS";#N/A,#N/A,TRUE,"P2_REV.XLS"}</definedName>
    <definedName name="w" localSheetId="5" hidden="1">{#N/A,#N/A,TRUE,"P2_HDR.XLS";#N/A,#N/A,TRUE,"content.xls";#N/A,#N/A,TRUE,"P2_MSGS";#N/A,#N/A,TRUE,"P2_DS.XLS";#N/A,#N/A,TRUE,"P2_TST.XLS";#N/A,#N/A,TRUE,"P2_CMD.XLS";#N/A,#N/A,TRUE,"P2_PID.XLS";#N/A,#N/A,TRUE,"P2_DMR.XLS";#N/A,#N/A,TRUE,"P2_DTC.XLS";#N/A,#N/A,TRUE,"P2_CNFG.XLS";#N/A,#N/A,TRUE,"P2_OVR.XLS";#N/A,#N/A,TRUE,"P2_REV.XLS"}</definedName>
    <definedName name="w" hidden="1">{#N/A,#N/A,TRUE,"P2_HDR.XLS";#N/A,#N/A,TRUE,"content.xls";#N/A,#N/A,TRUE,"P2_MSGS";#N/A,#N/A,TRUE,"P2_DS.XLS";#N/A,#N/A,TRUE,"P2_TST.XLS";#N/A,#N/A,TRUE,"P2_CMD.XLS";#N/A,#N/A,TRUE,"P2_PID.XLS";#N/A,#N/A,TRUE,"P2_DMR.XLS";#N/A,#N/A,TRUE,"P2_DTC.XLS";#N/A,#N/A,TRUE,"P2_CNFG.XLS";#N/A,#N/A,TRUE,"P2_OVR.XLS";#N/A,#N/A,TRUE,"P2_REV.XLS"}</definedName>
    <definedName name="wrn.RESCU._.Part._.II." localSheetId="19" hidden="1">{#N/A,#N/A,TRUE,"P2_HDR.XLS";#N/A,#N/A,TRUE,"content.xls";#N/A,#N/A,TRUE,"P2_MSGS";#N/A,#N/A,TRUE,"P2_DS.XLS";#N/A,#N/A,TRUE,"P2_TST.XLS";#N/A,#N/A,TRUE,"P2_CMD.XLS";#N/A,#N/A,TRUE,"P2_PID.XLS";#N/A,#N/A,TRUE,"P2_DMR.XLS";#N/A,#N/A,TRUE,"P2_DTC.XLS";#N/A,#N/A,TRUE,"P2_CNFG.XLS";#N/A,#N/A,TRUE,"P2_OVR.XLS";#N/A,#N/A,TRUE,"P2_REV.XLS"}</definedName>
    <definedName name="wrn.RESCU._.Part._.II." localSheetId="0" hidden="1">{#N/A,#N/A,TRUE,"P2_HDR.XLS";#N/A,#N/A,TRUE,"content.xls";#N/A,#N/A,TRUE,"P2_MSGS";#N/A,#N/A,TRUE,"P2_DS.XLS";#N/A,#N/A,TRUE,"P2_TST.XLS";#N/A,#N/A,TRUE,"P2_CMD.XLS";#N/A,#N/A,TRUE,"P2_PID.XLS";#N/A,#N/A,TRUE,"P2_DMR.XLS";#N/A,#N/A,TRUE,"P2_DTC.XLS";#N/A,#N/A,TRUE,"P2_CNFG.XLS";#N/A,#N/A,TRUE,"P2_OVR.XLS";#N/A,#N/A,TRUE,"P2_REV.XLS"}</definedName>
    <definedName name="wrn.RESCU._.Part._.II." localSheetId="8" hidden="1">{#N/A,#N/A,TRUE,"P2_HDR.XLS";#N/A,#N/A,TRUE,"content.xls";#N/A,#N/A,TRUE,"P2_MSGS";#N/A,#N/A,TRUE,"P2_DS.XLS";#N/A,#N/A,TRUE,"P2_TST.XLS";#N/A,#N/A,TRUE,"P2_CMD.XLS";#N/A,#N/A,TRUE,"P2_PID.XLS";#N/A,#N/A,TRUE,"P2_DMR.XLS";#N/A,#N/A,TRUE,"P2_DTC.XLS";#N/A,#N/A,TRUE,"P2_CNFG.XLS";#N/A,#N/A,TRUE,"P2_OVR.XLS";#N/A,#N/A,TRUE,"P2_REV.XLS"}</definedName>
    <definedName name="wrn.RESCU._.Part._.II." localSheetId="10" hidden="1">{#N/A,#N/A,TRUE,"P2_HDR.XLS";#N/A,#N/A,TRUE,"content.xls";#N/A,#N/A,TRUE,"P2_MSGS";#N/A,#N/A,TRUE,"P2_DS.XLS";#N/A,#N/A,TRUE,"P2_TST.XLS";#N/A,#N/A,TRUE,"P2_CMD.XLS";#N/A,#N/A,TRUE,"P2_PID.XLS";#N/A,#N/A,TRUE,"P2_DMR.XLS";#N/A,#N/A,TRUE,"P2_DTC.XLS";#N/A,#N/A,TRUE,"P2_CNFG.XLS";#N/A,#N/A,TRUE,"P2_OVR.XLS";#N/A,#N/A,TRUE,"P2_REV.XLS"}</definedName>
    <definedName name="wrn.RESCU._.Part._.II." localSheetId="11" hidden="1">{#N/A,#N/A,TRUE,"P2_HDR.XLS";#N/A,#N/A,TRUE,"content.xls";#N/A,#N/A,TRUE,"P2_MSGS";#N/A,#N/A,TRUE,"P2_DS.XLS";#N/A,#N/A,TRUE,"P2_TST.XLS";#N/A,#N/A,TRUE,"P2_CMD.XLS";#N/A,#N/A,TRUE,"P2_PID.XLS";#N/A,#N/A,TRUE,"P2_DMR.XLS";#N/A,#N/A,TRUE,"P2_DTC.XLS";#N/A,#N/A,TRUE,"P2_CNFG.XLS";#N/A,#N/A,TRUE,"P2_OVR.XLS";#N/A,#N/A,TRUE,"P2_REV.XLS"}</definedName>
    <definedName name="wrn.RESCU._.Part._.II." localSheetId="14" hidden="1">{#N/A,#N/A,TRUE,"P2_HDR.XLS";#N/A,#N/A,TRUE,"content.xls";#N/A,#N/A,TRUE,"P2_MSGS";#N/A,#N/A,TRUE,"P2_DS.XLS";#N/A,#N/A,TRUE,"P2_TST.XLS";#N/A,#N/A,TRUE,"P2_CMD.XLS";#N/A,#N/A,TRUE,"P2_PID.XLS";#N/A,#N/A,TRUE,"P2_DMR.XLS";#N/A,#N/A,TRUE,"P2_DTC.XLS";#N/A,#N/A,TRUE,"P2_CNFG.XLS";#N/A,#N/A,TRUE,"P2_OVR.XLS";#N/A,#N/A,TRUE,"P2_REV.XLS"}</definedName>
    <definedName name="wrn.RESCU._.Part._.II." localSheetId="9" hidden="1">{#N/A,#N/A,TRUE,"P2_HDR.XLS";#N/A,#N/A,TRUE,"content.xls";#N/A,#N/A,TRUE,"P2_MSGS";#N/A,#N/A,TRUE,"P2_DS.XLS";#N/A,#N/A,TRUE,"P2_TST.XLS";#N/A,#N/A,TRUE,"P2_CMD.XLS";#N/A,#N/A,TRUE,"P2_PID.XLS";#N/A,#N/A,TRUE,"P2_DMR.XLS";#N/A,#N/A,TRUE,"P2_DTC.XLS";#N/A,#N/A,TRUE,"P2_CNFG.XLS";#N/A,#N/A,TRUE,"P2_OVR.XLS";#N/A,#N/A,TRUE,"P2_REV.XLS"}</definedName>
    <definedName name="wrn.RESCU._.Part._.II." localSheetId="3" hidden="1">{#N/A,#N/A,TRUE,"P2_HDR.XLS";#N/A,#N/A,TRUE,"content.xls";#N/A,#N/A,TRUE,"P2_MSGS";#N/A,#N/A,TRUE,"P2_DS.XLS";#N/A,#N/A,TRUE,"P2_TST.XLS";#N/A,#N/A,TRUE,"P2_CMD.XLS";#N/A,#N/A,TRUE,"P2_PID.XLS";#N/A,#N/A,TRUE,"P2_DMR.XLS";#N/A,#N/A,TRUE,"P2_DTC.XLS";#N/A,#N/A,TRUE,"P2_CNFG.XLS";#N/A,#N/A,TRUE,"P2_OVR.XLS";#N/A,#N/A,TRUE,"P2_REV.XLS"}</definedName>
    <definedName name="wrn.RESCU._.Part._.II." localSheetId="7" hidden="1">{#N/A,#N/A,TRUE,"P2_HDR.XLS";#N/A,#N/A,TRUE,"content.xls";#N/A,#N/A,TRUE,"P2_MSGS";#N/A,#N/A,TRUE,"P2_DS.XLS";#N/A,#N/A,TRUE,"P2_TST.XLS";#N/A,#N/A,TRUE,"P2_CMD.XLS";#N/A,#N/A,TRUE,"P2_PID.XLS";#N/A,#N/A,TRUE,"P2_DMR.XLS";#N/A,#N/A,TRUE,"P2_DTC.XLS";#N/A,#N/A,TRUE,"P2_CNFG.XLS";#N/A,#N/A,TRUE,"P2_OVR.XLS";#N/A,#N/A,TRUE,"P2_REV.XLS"}</definedName>
    <definedName name="wrn.RESCU._.Part._.II." localSheetId="5" hidden="1">{#N/A,#N/A,TRUE,"P2_HDR.XLS";#N/A,#N/A,TRUE,"content.xls";#N/A,#N/A,TRUE,"P2_MSGS";#N/A,#N/A,TRUE,"P2_DS.XLS";#N/A,#N/A,TRUE,"P2_TST.XLS";#N/A,#N/A,TRUE,"P2_CMD.XLS";#N/A,#N/A,TRUE,"P2_PID.XLS";#N/A,#N/A,TRUE,"P2_DMR.XLS";#N/A,#N/A,TRUE,"P2_DTC.XLS";#N/A,#N/A,TRUE,"P2_CNFG.XLS";#N/A,#N/A,TRUE,"P2_OVR.XLS";#N/A,#N/A,TRUE,"P2_REV.XLS"}</definedName>
    <definedName name="wrn.RESCU._.Part._.II." hidden="1">{#N/A,#N/A,TRUE,"P2_HDR.XLS";#N/A,#N/A,TRUE,"content.xls";#N/A,#N/A,TRUE,"P2_MSGS";#N/A,#N/A,TRUE,"P2_DS.XLS";#N/A,#N/A,TRUE,"P2_TST.XLS";#N/A,#N/A,TRUE,"P2_CMD.XLS";#N/A,#N/A,TRUE,"P2_PID.XLS";#N/A,#N/A,TRUE,"P2_DMR.XLS";#N/A,#N/A,TRUE,"P2_DTC.XLS";#N/A,#N/A,TRUE,"P2_CNFG.XLS";#N/A,#N/A,TRUE,"P2_OVR.XLS";#N/A,#N/A,TRUE,"P2_REV.XLS"}</definedName>
    <definedName name="Y" localSheetId="19">#REF!</definedName>
    <definedName name="Y" localSheetId="0">#REF!</definedName>
    <definedName name="Y">#REF!</definedName>
    <definedName name="Z_0BC2760D_417A_4722_8FA3_6DD8AFBDE1F3_.wvu.PrintArea" localSheetId="4" hidden="1">DesignVal!$A$1:$O$6</definedName>
    <definedName name="Z_0BC2760D_417A_4722_8FA3_6DD8AFBDE1F3_.wvu.PrintArea" localSheetId="3" hidden="1">EnvEval!$A$1:$T$58</definedName>
    <definedName name="Z_0BC2760D_417A_4722_8FA3_6DD8AFBDE1F3_.wvu.PrintArea" localSheetId="2" hidden="1">Intro!$A$1:$M$5</definedName>
    <definedName name="Z_0BC2760D_417A_4722_8FA3_6DD8AFBDE1F3_.wvu.PrintArea" localSheetId="5" hidden="1">SpecsDescRules!$A$1:$P$19</definedName>
    <definedName name="Z_0BC2760D_417A_4722_8FA3_6DD8AFBDE1F3_.wvu.PrintArea" localSheetId="1" hidden="1">TOC!$A$1:$D$17</definedName>
    <definedName name="Z_1BFD6F0C_CA6A_466C_9A3D_C4A42BC94B83_.wvu.PrintArea" localSheetId="4" hidden="1">DesignVal!$A$1:$O$6</definedName>
    <definedName name="Z_1BFD6F0C_CA6A_466C_9A3D_C4A42BC94B83_.wvu.PrintArea" localSheetId="3" hidden="1">EnvEval!$A$1:$T$58</definedName>
    <definedName name="Z_1BFD6F0C_CA6A_466C_9A3D_C4A42BC94B83_.wvu.PrintArea" localSheetId="2" hidden="1">Intro!$A$1:$M$5</definedName>
    <definedName name="Z_1BFD6F0C_CA6A_466C_9A3D_C4A42BC94B83_.wvu.PrintArea" localSheetId="5" hidden="1">SpecsDescRules!$A$1:$P$19</definedName>
    <definedName name="Z_1BFD6F0C_CA6A_466C_9A3D_C4A42BC94B83_.wvu.PrintArea" localSheetId="1" hidden="1">TOC!$A$1:$D$17</definedName>
    <definedName name="Z_34436444_A93E_4F32_BF85_B991D5E8733A_.wvu.PrintArea" localSheetId="3" hidden="1">EnvEval!$A$2:$J$57</definedName>
    <definedName name="Z_34436444_A93E_4F32_BF85_B991D5E8733A_.wvu.PrintArea" localSheetId="2" hidden="1">Intro!$A$2:$J$5</definedName>
    <definedName name="Z_B4E9ECD0_5369_4B75_92AB_1C8F9D921B2C_.wvu.PrintArea" localSheetId="4" hidden="1">DesignVal!$A$1:$O$6</definedName>
    <definedName name="Z_B4E9ECD0_5369_4B75_92AB_1C8F9D921B2C_.wvu.PrintArea" localSheetId="3" hidden="1">EnvEval!$A$1:$T$58</definedName>
    <definedName name="Z_B4E9ECD0_5369_4B75_92AB_1C8F9D921B2C_.wvu.PrintArea" localSheetId="2" hidden="1">Intro!$A$1:$M$5</definedName>
    <definedName name="Z_B4E9ECD0_5369_4B75_92AB_1C8F9D921B2C_.wvu.PrintArea" localSheetId="5" hidden="1">SpecsDescRules!$A$1:$P$19</definedName>
    <definedName name="Z_B4E9ECD0_5369_4B75_92AB_1C8F9D921B2C_.wvu.PrintArea" localSheetId="1" hidden="1">TOC!$A$1:$D$17</definedName>
    <definedName name="Z_BEEA7A1C_CC60_4786_8CA6_28D6CD6483C2_.wvu.PrintArea" localSheetId="3" hidden="1">EnvEval!$A$2:$J$57</definedName>
    <definedName name="Z_BEEA7A1C_CC60_4786_8CA6_28D6CD6483C2_.wvu.PrintArea" localSheetId="2" hidden="1">Intro!$A$2:$J$5</definedName>
    <definedName name="クエリ1">'[3](参考)元データ'!$A$1:$N$78</definedName>
    <definedName name="リスト" localSheetId="19">#REF!</definedName>
    <definedName name="リスト" localSheetId="8">#REF!</definedName>
    <definedName name="リスト" localSheetId="10">#REF!</definedName>
    <definedName name="リスト" localSheetId="11">#REF!</definedName>
    <definedName name="リスト" localSheetId="14">#REF!</definedName>
    <definedName name="リスト" localSheetId="9">#REF!</definedName>
    <definedName name="リスト" localSheetId="3">#REF!</definedName>
    <definedName name="リスト" localSheetId="5">#REF!</definedName>
    <definedName name="リスト">#REF!</definedName>
    <definedName name="波形" localSheetId="19" hidden="1">#REF!</definedName>
    <definedName name="波形" localSheetId="8" hidden="1">#REF!</definedName>
    <definedName name="波形" localSheetId="10" hidden="1">#REF!</definedName>
    <definedName name="波形" localSheetId="11" hidden="1">#REF!</definedName>
    <definedName name="波形" localSheetId="14" hidden="1">#REF!</definedName>
    <definedName name="波形" localSheetId="9" hidden="1">#REF!</definedName>
    <definedName name="波形" localSheetId="3" hidden="1">#REF!</definedName>
    <definedName name="波形" localSheetId="5" hidden="1">#REF!</definedName>
    <definedName name="波形" hidden="1">#REF!</definedName>
  </definedNames>
  <calcPr calcId="191029"/>
  <customWorkbookViews>
    <customWorkbookView name="m.ida - 個人用ビュー" guid="{0BC2760D-417A-4722-8FA3-6DD8AFBDE1F3}" mergeInterval="0" personalView="1" maximized="1" windowWidth="1570" windowHeight="500" tabRatio="846" activeSheetId="9"/>
    <customWorkbookView name="umeda chikahiro - 個人用ビュー" guid="{34436444-A93E-4F32-BF85-B991D5E8733A}" mergeInterval="0" personalView="1" maximized="1" windowWidth="1920" windowHeight="850" activeSheetId="1"/>
    <customWorkbookView name="mutou motoaki(武藤 元昭 ＴＤＳＬ （ＩＩＣ）［Ｅ１Ｓ］（ＡＤ２）) - 個人用ビュー" guid="{BEEA7A1C-CC60-4786-8CA6-28D6CD6483C2}" mergeInterval="0" personalView="1" maximized="1" windowWidth="1916" windowHeight="850" activeSheetId="8"/>
    <customWorkbookView name="TSOL612558 - 個人用ビュー" guid="{B4E9ECD0-5369-4B75-92AB-1C8F9D921B2C}" mergeInterval="0" personalView="1" maximized="1" windowWidth="1850" windowHeight="853" tabRatio="846" activeSheetId="9"/>
    <customWorkbookView name="Tsol691407 - 個人用ビュー" guid="{1BFD6F0C-CA6A-466C-9A3D-C4A42BC94B83}" mergeInterval="0" personalView="1" maximized="1" windowWidth="1704" windowHeight="814" tabRatio="846"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68" i="25" l="1"/>
  <c r="G67" i="25"/>
  <c r="G66" i="25"/>
  <c r="G65" i="25"/>
  <c r="G64" i="25"/>
  <c r="G63" i="25"/>
  <c r="G62" i="25"/>
  <c r="G61" i="25"/>
  <c r="G60" i="25"/>
  <c r="G59" i="25"/>
  <c r="G58" i="25"/>
  <c r="G57" i="25"/>
  <c r="G56" i="25"/>
  <c r="G55" i="25"/>
  <c r="G54" i="25"/>
  <c r="G53" i="25"/>
  <c r="G52" i="25"/>
  <c r="G51" i="25"/>
  <c r="G50" i="25"/>
  <c r="G49" i="25"/>
  <c r="G48" i="25"/>
  <c r="G47" i="25"/>
  <c r="G46" i="25"/>
  <c r="G45" i="25"/>
  <c r="G44" i="25"/>
  <c r="G43" i="25"/>
  <c r="G42" i="25"/>
  <c r="G41" i="25"/>
  <c r="G40" i="25"/>
  <c r="G39" i="25"/>
  <c r="G38" i="25"/>
  <c r="G36" i="25"/>
  <c r="G37" i="25"/>
  <c r="G35" i="25"/>
  <c r="G34" i="25"/>
  <c r="G33" i="25"/>
  <c r="G32" i="25"/>
  <c r="G31" i="25"/>
  <c r="G30" i="25"/>
  <c r="G29" i="25"/>
  <c r="G28" i="25"/>
  <c r="G27" i="25"/>
  <c r="G26" i="25"/>
  <c r="G25" i="25"/>
  <c r="G24" i="25"/>
  <c r="G23" i="25"/>
  <c r="G22" i="25"/>
  <c r="G21" i="25"/>
  <c r="G20" i="25"/>
  <c r="G19" i="25"/>
  <c r="G18" i="25"/>
  <c r="G17" i="25"/>
  <c r="G16" i="25"/>
  <c r="G15" i="25"/>
  <c r="G14" i="25"/>
  <c r="J11" i="25" l="1"/>
  <c r="I11" i="25"/>
  <c r="H11" i="25"/>
  <c r="G11" i="25" l="1"/>
</calcChain>
</file>

<file path=xl/sharedStrings.xml><?xml version="1.0" encoding="utf-8"?>
<sst xmlns="http://schemas.openxmlformats.org/spreadsheetml/2006/main" count="14389" uniqueCount="2140">
  <si>
    <t>分類</t>
    <rPh sb="0" eb="2">
      <t>ブンルイ</t>
    </rPh>
    <phoneticPr fontId="1"/>
  </si>
  <si>
    <t>項目</t>
    <rPh sb="0" eb="2">
      <t>コウモク</t>
    </rPh>
    <phoneticPr fontId="1"/>
  </si>
  <si>
    <t>評価内容</t>
    <rPh sb="0" eb="2">
      <t>ヒョウカ</t>
    </rPh>
    <rPh sb="2" eb="4">
      <t>ナイヨウ</t>
    </rPh>
    <phoneticPr fontId="1"/>
  </si>
  <si>
    <t>前提</t>
    <rPh sb="0" eb="2">
      <t>ゼンテイ</t>
    </rPh>
    <phoneticPr fontId="1"/>
  </si>
  <si>
    <t>合否判定</t>
    <rPh sb="0" eb="2">
      <t>ゴウヒ</t>
    </rPh>
    <rPh sb="2" eb="4">
      <t>ハンテイ</t>
    </rPh>
    <phoneticPr fontId="1"/>
  </si>
  <si>
    <t>備考</t>
    <rPh sb="0" eb="2">
      <t>ビコウ</t>
    </rPh>
    <phoneticPr fontId="1"/>
  </si>
  <si>
    <t>同期メッセージ(送信処理)</t>
    <rPh sb="0" eb="2">
      <t>ドウキ</t>
    </rPh>
    <rPh sb="8" eb="10">
      <t>ソウシン</t>
    </rPh>
    <rPh sb="10" eb="12">
      <t>ショリ</t>
    </rPh>
    <phoneticPr fontId="1"/>
  </si>
  <si>
    <t>認証子付きメッセージ(送信処理)</t>
    <rPh sb="0" eb="2">
      <t>ニンショウ</t>
    </rPh>
    <rPh sb="2" eb="3">
      <t>シ</t>
    </rPh>
    <rPh sb="3" eb="4">
      <t>ツ</t>
    </rPh>
    <rPh sb="11" eb="13">
      <t>ソウシン</t>
    </rPh>
    <rPh sb="13" eb="15">
      <t>ショリ</t>
    </rPh>
    <phoneticPr fontId="1"/>
  </si>
  <si>
    <t>1. はじめに</t>
    <phoneticPr fontId="3"/>
  </si>
  <si>
    <t>説明</t>
    <rPh sb="0" eb="2">
      <t>セツメイ</t>
    </rPh>
    <phoneticPr fontId="1"/>
  </si>
  <si>
    <t>リセットカウンタ(最大値)</t>
    <rPh sb="9" eb="12">
      <t>サイダイチ</t>
    </rPh>
    <phoneticPr fontId="1"/>
  </si>
  <si>
    <t>受理条件(認証子)</t>
    <rPh sb="0" eb="2">
      <t>ジュリ</t>
    </rPh>
    <rPh sb="2" eb="4">
      <t>ジョウケン</t>
    </rPh>
    <rPh sb="5" eb="7">
      <t>ニンショウ</t>
    </rPh>
    <rPh sb="7" eb="8">
      <t>シ</t>
    </rPh>
    <phoneticPr fontId="1"/>
  </si>
  <si>
    <t>受理条件(起動直後)</t>
    <rPh sb="0" eb="2">
      <t>ジュリ</t>
    </rPh>
    <rPh sb="2" eb="4">
      <t>ジョウケン</t>
    </rPh>
    <rPh sb="5" eb="7">
      <t>キドウ</t>
    </rPh>
    <rPh sb="7" eb="9">
      <t>チョクゴ</t>
    </rPh>
    <phoneticPr fontId="1"/>
  </si>
  <si>
    <t>破棄条件(認証子)</t>
    <rPh sb="0" eb="2">
      <t>ハキ</t>
    </rPh>
    <rPh sb="2" eb="4">
      <t>ジョウケン</t>
    </rPh>
    <rPh sb="5" eb="7">
      <t>ニンショウ</t>
    </rPh>
    <rPh sb="7" eb="8">
      <t>シ</t>
    </rPh>
    <phoneticPr fontId="1"/>
  </si>
  <si>
    <t>メッセージカウンタ(初期値)</t>
    <rPh sb="10" eb="13">
      <t>ショキチ</t>
    </rPh>
    <phoneticPr fontId="1"/>
  </si>
  <si>
    <t>メッセージカウンタ(最大値)</t>
    <rPh sb="10" eb="13">
      <t>サイダイチ</t>
    </rPh>
    <phoneticPr fontId="1"/>
  </si>
  <si>
    <t>同期メッセージ(受信処理)</t>
    <rPh sb="0" eb="2">
      <t>ドウキ</t>
    </rPh>
    <rPh sb="8" eb="10">
      <t>ジュシン</t>
    </rPh>
    <rPh sb="10" eb="12">
      <t>ショリ</t>
    </rPh>
    <phoneticPr fontId="1"/>
  </si>
  <si>
    <t>受理条件(FV/認証子)</t>
    <rPh sb="0" eb="2">
      <t>ジュリ</t>
    </rPh>
    <rPh sb="2" eb="4">
      <t>ジョウケン</t>
    </rPh>
    <rPh sb="8" eb="10">
      <t>ニンショウ</t>
    </rPh>
    <rPh sb="10" eb="11">
      <t>シ</t>
    </rPh>
    <phoneticPr fontId="1"/>
  </si>
  <si>
    <t>破棄条件(FV増加なし)</t>
    <rPh sb="0" eb="2">
      <t>ハキ</t>
    </rPh>
    <rPh sb="2" eb="4">
      <t>ジョウケン</t>
    </rPh>
    <rPh sb="7" eb="9">
      <t>ゾウカ</t>
    </rPh>
    <phoneticPr fontId="1"/>
  </si>
  <si>
    <t>破棄条件(FV減少)</t>
    <rPh sb="0" eb="2">
      <t>ハキ</t>
    </rPh>
    <rPh sb="2" eb="4">
      <t>ジョウケン</t>
    </rPh>
    <rPh sb="7" eb="9">
      <t>ゲンショウ</t>
    </rPh>
    <phoneticPr fontId="1"/>
  </si>
  <si>
    <t>トリップ・リセットカウンタ(初期値)</t>
    <rPh sb="14" eb="17">
      <t>ショキチ</t>
    </rPh>
    <phoneticPr fontId="1"/>
  </si>
  <si>
    <t>トリップカウンタ(最大値/初期化)</t>
    <rPh sb="9" eb="12">
      <t>サイダイチ</t>
    </rPh>
    <rPh sb="13" eb="16">
      <t>ショキカ</t>
    </rPh>
    <phoneticPr fontId="1"/>
  </si>
  <si>
    <t>なし</t>
    <phoneticPr fontId="1"/>
  </si>
  <si>
    <t>No.</t>
  </si>
  <si>
    <t>シート名</t>
  </si>
  <si>
    <t>はじめに</t>
  </si>
  <si>
    <t>評価環境</t>
  </si>
  <si>
    <t>単体機能評価項目(全件)</t>
    <phoneticPr fontId="1"/>
  </si>
  <si>
    <t>2. 評価環境</t>
    <rPh sb="3" eb="5">
      <t>ヒョウカ</t>
    </rPh>
    <rPh sb="5" eb="7">
      <t>カンキョウ</t>
    </rPh>
    <phoneticPr fontId="3"/>
  </si>
  <si>
    <t>5. 単体機能評価項目</t>
    <rPh sb="3" eb="5">
      <t>タンタイ</t>
    </rPh>
    <rPh sb="5" eb="7">
      <t>キノウ</t>
    </rPh>
    <rPh sb="7" eb="9">
      <t>ヒョウカ</t>
    </rPh>
    <rPh sb="9" eb="11">
      <t>コウモク</t>
    </rPh>
    <phoneticPr fontId="3"/>
  </si>
  <si>
    <t>TypeA</t>
    <phoneticPr fontId="1"/>
  </si>
  <si>
    <t>本評価を実施する評価環境の構成を下記に示す。</t>
    <rPh sb="0" eb="1">
      <t>ホン</t>
    </rPh>
    <rPh sb="1" eb="3">
      <t>ヒョウカ</t>
    </rPh>
    <rPh sb="4" eb="6">
      <t>ジッシ</t>
    </rPh>
    <rPh sb="8" eb="10">
      <t>ヒョウカ</t>
    </rPh>
    <rPh sb="10" eb="12">
      <t>カンキョウ</t>
    </rPh>
    <rPh sb="13" eb="15">
      <t>コウセイ</t>
    </rPh>
    <rPh sb="16" eb="18">
      <t>カキ</t>
    </rPh>
    <rPh sb="19" eb="20">
      <t>シメ</t>
    </rPh>
    <phoneticPr fontId="3"/>
  </si>
  <si>
    <t>①同期メッセージ内のトリップカウンタが"最大値-1"の状態で、さらに増加条件を発生させた場合、同期メッセージのトリップカウンタが"初期値"でないこと("最大値"であること)</t>
    <phoneticPr fontId="1"/>
  </si>
  <si>
    <t>機能試験No</t>
    <rPh sb="0" eb="2">
      <t>キノウ</t>
    </rPh>
    <rPh sb="2" eb="4">
      <t>シケン</t>
    </rPh>
    <phoneticPr fontId="1"/>
  </si>
  <si>
    <t>操作手順</t>
    <rPh sb="0" eb="2">
      <t>ソウサ</t>
    </rPh>
    <rPh sb="2" eb="4">
      <t>テジュン</t>
    </rPh>
    <phoneticPr fontId="1"/>
  </si>
  <si>
    <t>操作内容</t>
    <rPh sb="0" eb="2">
      <t>ソウサ</t>
    </rPh>
    <rPh sb="2" eb="4">
      <t>ナイヨウ</t>
    </rPh>
    <phoneticPr fontId="1"/>
  </si>
  <si>
    <t>同期メッセージを送信する</t>
    <rPh sb="0" eb="2">
      <t>ドウキ</t>
    </rPh>
    <rPh sb="8" eb="10">
      <t>ソウシン</t>
    </rPh>
    <phoneticPr fontId="1"/>
  </si>
  <si>
    <t>TypeC</t>
    <phoneticPr fontId="1"/>
  </si>
  <si>
    <t>TypeB</t>
    <phoneticPr fontId="1"/>
  </si>
  <si>
    <t>2-1. 環境構成</t>
    <rPh sb="5" eb="7">
      <t>カンキョウ</t>
    </rPh>
    <rPh sb="7" eb="9">
      <t>コウセイ</t>
    </rPh>
    <phoneticPr fontId="3"/>
  </si>
  <si>
    <t>図2-1. 環境構成(TypeA)</t>
    <rPh sb="0" eb="1">
      <t>ズ</t>
    </rPh>
    <rPh sb="6" eb="8">
      <t>カンキョウ</t>
    </rPh>
    <rPh sb="8" eb="10">
      <t>コウセイ</t>
    </rPh>
    <phoneticPr fontId="3"/>
  </si>
  <si>
    <t>図2-2. 環境構成(TypeB)</t>
    <rPh sb="0" eb="1">
      <t>ズ</t>
    </rPh>
    <rPh sb="6" eb="8">
      <t>カンキョウ</t>
    </rPh>
    <rPh sb="8" eb="10">
      <t>コウセイ</t>
    </rPh>
    <phoneticPr fontId="3"/>
  </si>
  <si>
    <t>図2-3. 環境構成(TypeC)</t>
    <rPh sb="0" eb="1">
      <t>ズ</t>
    </rPh>
    <rPh sb="6" eb="8">
      <t>カンキョウ</t>
    </rPh>
    <rPh sb="8" eb="10">
      <t>コウセイ</t>
    </rPh>
    <phoneticPr fontId="3"/>
  </si>
  <si>
    <t>目次</t>
    <rPh sb="0" eb="2">
      <t>モクジ</t>
    </rPh>
    <phoneticPr fontId="1"/>
  </si>
  <si>
    <t>レベル入力</t>
    <rPh sb="3" eb="5">
      <t>ニュウリョク</t>
    </rPh>
    <phoneticPr fontId="1"/>
  </si>
  <si>
    <t>Level</t>
    <phoneticPr fontId="1"/>
  </si>
  <si>
    <t>No</t>
    <phoneticPr fontId="1"/>
  </si>
  <si>
    <t>認証子付きメッセージのフォーマットが正しいことを確認する。</t>
    <phoneticPr fontId="1"/>
  </si>
  <si>
    <t>4. 仕様書記載ルール</t>
    <rPh sb="3" eb="5">
      <t>シヨウ</t>
    </rPh>
    <rPh sb="5" eb="6">
      <t>ショ</t>
    </rPh>
    <rPh sb="6" eb="8">
      <t>キサイ</t>
    </rPh>
    <phoneticPr fontId="1"/>
  </si>
  <si>
    <t>4-1. 機能試験No</t>
    <rPh sb="5" eb="7">
      <t>キノウ</t>
    </rPh>
    <rPh sb="7" eb="9">
      <t>シケン</t>
    </rPh>
    <phoneticPr fontId="3"/>
  </si>
  <si>
    <t>①</t>
    <phoneticPr fontId="1"/>
  </si>
  <si>
    <t>②</t>
    <phoneticPr fontId="1"/>
  </si>
  <si>
    <t>③</t>
    <phoneticPr fontId="1"/>
  </si>
  <si>
    <t>④</t>
    <phoneticPr fontId="1"/>
  </si>
  <si>
    <t>選択オプション</t>
    <rPh sb="0" eb="2">
      <t>センタク</t>
    </rPh>
    <phoneticPr fontId="1"/>
  </si>
  <si>
    <t>概要</t>
    <rPh sb="0" eb="2">
      <t>ガイヨウ</t>
    </rPh>
    <phoneticPr fontId="1"/>
  </si>
  <si>
    <t>名称</t>
    <rPh sb="0" eb="2">
      <t>メイショウ</t>
    </rPh>
    <phoneticPr fontId="1"/>
  </si>
  <si>
    <t>手順No</t>
    <rPh sb="0" eb="2">
      <t>テジュン</t>
    </rPh>
    <phoneticPr fontId="1"/>
  </si>
  <si>
    <t>確認No</t>
    <rPh sb="0" eb="2">
      <t>カクニン</t>
    </rPh>
    <phoneticPr fontId="1"/>
  </si>
  <si>
    <t>確認方法の番号を表す。詳細は手順No同様。</t>
    <rPh sb="0" eb="2">
      <t>カクニン</t>
    </rPh>
    <rPh sb="2" eb="4">
      <t>ホウホウ</t>
    </rPh>
    <rPh sb="5" eb="7">
      <t>バンゴウ</t>
    </rPh>
    <rPh sb="8" eb="9">
      <t>アラワ</t>
    </rPh>
    <rPh sb="11" eb="13">
      <t>ショウサイ</t>
    </rPh>
    <rPh sb="14" eb="16">
      <t>テジュン</t>
    </rPh>
    <rPh sb="18" eb="20">
      <t>ドウヨウ</t>
    </rPh>
    <phoneticPr fontId="1"/>
  </si>
  <si>
    <t>環境構成タイプ</t>
    <rPh sb="0" eb="2">
      <t>カンキョウ</t>
    </rPh>
    <rPh sb="2" eb="4">
      <t>コウセイ</t>
    </rPh>
    <phoneticPr fontId="1"/>
  </si>
  <si>
    <t>表2-1. 環境構成タイプ</t>
    <rPh sb="0" eb="1">
      <t>ヒョウ</t>
    </rPh>
    <rPh sb="6" eb="8">
      <t>カンキョウ</t>
    </rPh>
    <rPh sb="8" eb="10">
      <t>コウセイ</t>
    </rPh>
    <phoneticPr fontId="3"/>
  </si>
  <si>
    <t>番号</t>
    <rPh sb="0" eb="2">
      <t>バンゴウ</t>
    </rPh>
    <phoneticPr fontId="1"/>
  </si>
  <si>
    <t xml:space="preserve">選択オプションを記載する。特定の試験を実施する際、確認できるレベルが異なる場合、選択オプションとしてアルファベット（A,B,C,…）を記載する。
アルファベット順は大きくなるにしたがって、より厳密な検査が可能となるように付加する。
選択オプションの項目は試験環境により選択できる項目を１つのみ実施すれば良い。ただし、複数の項目が選択できる場合は、アルファベット順の大きいものを選択する。
</t>
    <rPh sb="0" eb="2">
      <t>センタク</t>
    </rPh>
    <rPh sb="8" eb="10">
      <t>キサイ</t>
    </rPh>
    <rPh sb="13" eb="15">
      <t>トクテイ</t>
    </rPh>
    <rPh sb="16" eb="18">
      <t>シケン</t>
    </rPh>
    <rPh sb="19" eb="21">
      <t>ジッシ</t>
    </rPh>
    <rPh sb="23" eb="24">
      <t>サイ</t>
    </rPh>
    <rPh sb="25" eb="27">
      <t>カクニン</t>
    </rPh>
    <rPh sb="34" eb="35">
      <t>コト</t>
    </rPh>
    <rPh sb="37" eb="39">
      <t>バアイ</t>
    </rPh>
    <rPh sb="40" eb="42">
      <t>センタク</t>
    </rPh>
    <rPh sb="67" eb="69">
      <t>キサイ</t>
    </rPh>
    <rPh sb="116" eb="118">
      <t>センタク</t>
    </rPh>
    <rPh sb="124" eb="126">
      <t>コウモク</t>
    </rPh>
    <rPh sb="127" eb="129">
      <t>シケン</t>
    </rPh>
    <rPh sb="129" eb="131">
      <t>カンキョウ</t>
    </rPh>
    <rPh sb="134" eb="136">
      <t>センタク</t>
    </rPh>
    <rPh sb="139" eb="141">
      <t>コウモク</t>
    </rPh>
    <rPh sb="146" eb="148">
      <t>ジッシ</t>
    </rPh>
    <rPh sb="151" eb="152">
      <t>ヨ</t>
    </rPh>
    <rPh sb="158" eb="160">
      <t>フクスウ</t>
    </rPh>
    <rPh sb="161" eb="163">
      <t>コウモク</t>
    </rPh>
    <rPh sb="164" eb="166">
      <t>センタク</t>
    </rPh>
    <rPh sb="169" eb="171">
      <t>バアイ</t>
    </rPh>
    <rPh sb="180" eb="181">
      <t>ジュン</t>
    </rPh>
    <rPh sb="182" eb="183">
      <t>オオ</t>
    </rPh>
    <rPh sb="188" eb="190">
      <t>センタク</t>
    </rPh>
    <phoneticPr fontId="1"/>
  </si>
  <si>
    <t>機能試験番号のナンバリングは、下記のルールで記載する。</t>
    <rPh sb="0" eb="2">
      <t>キノウ</t>
    </rPh>
    <rPh sb="2" eb="4">
      <t>シケン</t>
    </rPh>
    <rPh sb="4" eb="6">
      <t>バンゴウ</t>
    </rPh>
    <rPh sb="15" eb="17">
      <t>カキ</t>
    </rPh>
    <rPh sb="22" eb="24">
      <t>キサイ</t>
    </rPh>
    <phoneticPr fontId="3"/>
  </si>
  <si>
    <t>図4-1. 機能試験No表記例</t>
    <rPh sb="0" eb="1">
      <t>ズ</t>
    </rPh>
    <rPh sb="6" eb="8">
      <t>キノウ</t>
    </rPh>
    <rPh sb="8" eb="10">
      <t>シケン</t>
    </rPh>
    <rPh sb="12" eb="14">
      <t>ヒョウキ</t>
    </rPh>
    <rPh sb="14" eb="15">
      <t>レイ</t>
    </rPh>
    <phoneticPr fontId="3"/>
  </si>
  <si>
    <t>6. 単体機能評価項目</t>
    <rPh sb="3" eb="5">
      <t>タンタイ</t>
    </rPh>
    <rPh sb="5" eb="7">
      <t>キノウ</t>
    </rPh>
    <rPh sb="7" eb="9">
      <t>ヒョウカ</t>
    </rPh>
    <rPh sb="9" eb="11">
      <t>コウモク</t>
    </rPh>
    <phoneticPr fontId="3"/>
  </si>
  <si>
    <t>60秒後測定を停止する</t>
    <rPh sb="2" eb="3">
      <t>ビョウ</t>
    </rPh>
    <rPh sb="3" eb="4">
      <t>ゴ</t>
    </rPh>
    <rPh sb="4" eb="6">
      <t>ソクテイ</t>
    </rPh>
    <rPh sb="7" eb="9">
      <t>テイシ</t>
    </rPh>
    <phoneticPr fontId="1"/>
  </si>
  <si>
    <t>LOGMARK</t>
    <phoneticPr fontId="1"/>
  </si>
  <si>
    <t>Scenario</t>
    <phoneticPr fontId="1"/>
  </si>
  <si>
    <t>SYNCMSG</t>
    <phoneticPr fontId="1"/>
  </si>
  <si>
    <t>AUTHMSG</t>
    <phoneticPr fontId="1"/>
  </si>
  <si>
    <t>EOS</t>
    <phoneticPr fontId="1"/>
  </si>
  <si>
    <t>単体機能評価項目(集計)</t>
    <rPh sb="9" eb="11">
      <t>シュウケイ</t>
    </rPh>
    <phoneticPr fontId="1"/>
  </si>
  <si>
    <t>仕様書記載ルール</t>
    <rPh sb="0" eb="2">
      <t>シヨウ</t>
    </rPh>
    <rPh sb="2" eb="3">
      <t>ショ</t>
    </rPh>
    <rPh sb="3" eb="5">
      <t>キサイ</t>
    </rPh>
    <phoneticPr fontId="1"/>
  </si>
  <si>
    <t>Command</t>
    <phoneticPr fontId="1"/>
  </si>
  <si>
    <t>Param1</t>
    <phoneticPr fontId="1"/>
  </si>
  <si>
    <t>Param2</t>
    <phoneticPr fontId="1"/>
  </si>
  <si>
    <t>Param3</t>
    <phoneticPr fontId="1"/>
  </si>
  <si>
    <t>Param4</t>
    <phoneticPr fontId="1"/>
  </si>
  <si>
    <t>JUMPNEQ</t>
    <phoneticPr fontId="1"/>
  </si>
  <si>
    <t>CALL</t>
    <phoneticPr fontId="1"/>
  </si>
  <si>
    <t>目次</t>
  </si>
  <si>
    <t>目次</t>
    <phoneticPr fontId="1"/>
  </si>
  <si>
    <t>Param5</t>
    <phoneticPr fontId="1"/>
  </si>
  <si>
    <t>評価ECU名</t>
    <rPh sb="0" eb="2">
      <t>ヒョウカ</t>
    </rPh>
    <rPh sb="5" eb="6">
      <t>メイ</t>
    </rPh>
    <phoneticPr fontId="1"/>
  </si>
  <si>
    <t>評価項目</t>
    <rPh sb="0" eb="2">
      <t>ヒョウカ</t>
    </rPh>
    <rPh sb="2" eb="4">
      <t>コウモク</t>
    </rPh>
    <phoneticPr fontId="1"/>
  </si>
  <si>
    <t>WAITKEY</t>
    <phoneticPr fontId="1"/>
  </si>
  <si>
    <t>合格件数</t>
    <rPh sb="0" eb="2">
      <t>ゴウカク</t>
    </rPh>
    <rPh sb="2" eb="4">
      <t>ケンスウ</t>
    </rPh>
    <phoneticPr fontId="1"/>
  </si>
  <si>
    <t>不合格件数</t>
    <rPh sb="0" eb="3">
      <t>フゴウカク</t>
    </rPh>
    <rPh sb="3" eb="5">
      <t>ケンスウ</t>
    </rPh>
    <phoneticPr fontId="1"/>
  </si>
  <si>
    <t>総試験件数</t>
    <rPh sb="0" eb="1">
      <t>ソウ</t>
    </rPh>
    <rPh sb="1" eb="3">
      <t>シケン</t>
    </rPh>
    <rPh sb="3" eb="5">
      <t>ケンスウ</t>
    </rPh>
    <phoneticPr fontId="1"/>
  </si>
  <si>
    <t>総合格件数</t>
    <rPh sb="0" eb="1">
      <t>ソウ</t>
    </rPh>
    <rPh sb="1" eb="3">
      <t>ゴウカク</t>
    </rPh>
    <rPh sb="3" eb="5">
      <t>ケンスウ</t>
    </rPh>
    <phoneticPr fontId="1"/>
  </si>
  <si>
    <t>総不合格件数</t>
    <rPh sb="0" eb="1">
      <t>ソウ</t>
    </rPh>
    <rPh sb="1" eb="4">
      <t>フゴウカク</t>
    </rPh>
    <rPh sb="4" eb="6">
      <t>ケンスウ</t>
    </rPh>
    <phoneticPr fontId="1"/>
  </si>
  <si>
    <t>実施対象件数</t>
    <rPh sb="0" eb="2">
      <t>ジッシ</t>
    </rPh>
    <rPh sb="2" eb="4">
      <t>タイショウ</t>
    </rPh>
    <rPh sb="4" eb="6">
      <t>ケンスウ</t>
    </rPh>
    <phoneticPr fontId="1"/>
  </si>
  <si>
    <t>総実施対象件数</t>
    <rPh sb="0" eb="1">
      <t>ソウ</t>
    </rPh>
    <rPh sb="1" eb="3">
      <t>ジッシ</t>
    </rPh>
    <rPh sb="3" eb="5">
      <t>タイショウ</t>
    </rPh>
    <rPh sb="5" eb="7">
      <t>ケンスウ</t>
    </rPh>
    <phoneticPr fontId="1"/>
  </si>
  <si>
    <t>試験件数</t>
    <rPh sb="0" eb="2">
      <t>シケン</t>
    </rPh>
    <rPh sb="2" eb="4">
      <t>ケンスウ</t>
    </rPh>
    <phoneticPr fontId="1"/>
  </si>
  <si>
    <t>②①において、供試品が保持するメッセージカウンタが最大値に達した際に、メッセージカウンタが最大値に達したことをアプリケーションに通知する。</t>
    <phoneticPr fontId="1"/>
  </si>
  <si>
    <t>①認証子付きメッセージを&lt;&lt;60秒&gt;&gt;間計測し、通信規定の送信周期と一致すること（誤差&lt;&lt;±20%&gt;&gt;以内）。</t>
    <phoneticPr fontId="1"/>
  </si>
  <si>
    <t>承認</t>
  </si>
  <si>
    <t>審査</t>
  </si>
  <si>
    <t>担当</t>
  </si>
  <si>
    <t>部品番号：　＊＊＊＊＊＊</t>
    <phoneticPr fontId="31"/>
  </si>
  <si>
    <t>管理コード：</t>
    <phoneticPr fontId="31"/>
  </si>
  <si>
    <t>部品名称：　＊＊＊＊＊＊</t>
    <phoneticPr fontId="31"/>
  </si>
  <si>
    <t>A</t>
    <phoneticPr fontId="31"/>
  </si>
  <si>
    <t>新設</t>
    <phoneticPr fontId="31"/>
  </si>
  <si>
    <t>改歴</t>
  </si>
  <si>
    <t>作成/改定日</t>
    <phoneticPr fontId="31"/>
  </si>
  <si>
    <t>変更内容</t>
  </si>
  <si>
    <t>作成</t>
  </si>
  <si>
    <t>メッセージ認証機能_単体機能評価仕様書</t>
    <rPh sb="5" eb="7">
      <t>ニンショウ</t>
    </rPh>
    <rPh sb="7" eb="9">
      <t>キノウ</t>
    </rPh>
    <rPh sb="10" eb="12">
      <t>タンタイ</t>
    </rPh>
    <rPh sb="12" eb="14">
      <t>キノウ</t>
    </rPh>
    <rPh sb="14" eb="16">
      <t>ヒョウカ</t>
    </rPh>
    <rPh sb="16" eb="18">
      <t>シヨウ</t>
    </rPh>
    <rPh sb="18" eb="19">
      <t>ショ</t>
    </rPh>
    <phoneticPr fontId="1"/>
  </si>
  <si>
    <t>統合制御システム開発本部</t>
    <rPh sb="0" eb="2">
      <t>トウゴウ</t>
    </rPh>
    <rPh sb="2" eb="4">
      <t>セイギョ</t>
    </rPh>
    <rPh sb="8" eb="10">
      <t>カイハツ</t>
    </rPh>
    <rPh sb="10" eb="11">
      <t>ホン</t>
    </rPh>
    <rPh sb="11" eb="12">
      <t>ブ</t>
    </rPh>
    <phoneticPr fontId="31"/>
  </si>
  <si>
    <t>本書は、メッセージ認証機能における単体機能テスト仕様を記述するものである。</t>
    <rPh sb="17" eb="19">
      <t>タンタイ</t>
    </rPh>
    <rPh sb="19" eb="21">
      <t>キノウ</t>
    </rPh>
    <phoneticPr fontId="3"/>
  </si>
  <si>
    <t>3. 設計値一覧</t>
    <phoneticPr fontId="1"/>
  </si>
  <si>
    <t>メッセージ認証機能要求仕様書（5L1-19-0071-* ）の【要求事項：DPCFG01】を参照すること。</t>
    <rPh sb="5" eb="7">
      <t>ニンショウ</t>
    </rPh>
    <rPh sb="7" eb="9">
      <t>キノウ</t>
    </rPh>
    <rPh sb="9" eb="11">
      <t>ヨウキュウ</t>
    </rPh>
    <rPh sb="11" eb="13">
      <t>シヨウ</t>
    </rPh>
    <rPh sb="13" eb="14">
      <t>ショ</t>
    </rPh>
    <rPh sb="32" eb="34">
      <t>ヨウキュウ</t>
    </rPh>
    <rPh sb="34" eb="36">
      <t>ジコウ</t>
    </rPh>
    <rPh sb="46" eb="48">
      <t>サンショウ</t>
    </rPh>
    <phoneticPr fontId="1"/>
  </si>
  <si>
    <t>設計値</t>
    <phoneticPr fontId="1"/>
  </si>
  <si>
    <t>コマンド一覧</t>
    <rPh sb="4" eb="6">
      <t>イチラン</t>
    </rPh>
    <phoneticPr fontId="1"/>
  </si>
  <si>
    <t>コマンド名</t>
    <rPh sb="4" eb="5">
      <t>メイ</t>
    </rPh>
    <phoneticPr fontId="1"/>
  </si>
  <si>
    <t>ファイル名</t>
    <rPh sb="4" eb="5">
      <t>メイ</t>
    </rPh>
    <phoneticPr fontId="1"/>
  </si>
  <si>
    <t>出力対象</t>
    <rPh sb="0" eb="2">
      <t>シュツリョク</t>
    </rPh>
    <rPh sb="2" eb="4">
      <t>タイショウ</t>
    </rPh>
    <phoneticPr fontId="1"/>
  </si>
  <si>
    <t>シート名</t>
    <rPh sb="3" eb="4">
      <t>メイ</t>
    </rPh>
    <phoneticPr fontId="1"/>
  </si>
  <si>
    <t>使用</t>
    <rPh sb="0" eb="2">
      <t>シヨウ</t>
    </rPh>
    <phoneticPr fontId="1"/>
  </si>
  <si>
    <t>LOGSTART</t>
    <phoneticPr fontId="1"/>
  </si>
  <si>
    <t>LOGSTOP</t>
    <phoneticPr fontId="1"/>
  </si>
  <si>
    <t>LOGPRINT</t>
    <phoneticPr fontId="1"/>
  </si>
  <si>
    <t>WAIT</t>
    <phoneticPr fontId="1"/>
  </si>
  <si>
    <t>SEND_SYNC</t>
    <phoneticPr fontId="1"/>
  </si>
  <si>
    <t>SEND_AUTH</t>
    <phoneticPr fontId="1"/>
  </si>
  <si>
    <t>SEND</t>
    <phoneticPr fontId="1"/>
  </si>
  <si>
    <t>EXEC</t>
    <phoneticPr fontId="1"/>
  </si>
  <si>
    <t>SET</t>
    <phoneticPr fontId="1"/>
  </si>
  <si>
    <t>ADD</t>
    <phoneticPr fontId="1"/>
  </si>
  <si>
    <t>SUB</t>
    <phoneticPr fontId="1"/>
  </si>
  <si>
    <t>JUMP</t>
    <phoneticPr fontId="1"/>
  </si>
  <si>
    <t>JUMPEQ</t>
    <phoneticPr fontId="1"/>
  </si>
  <si>
    <t>JUMPLESS</t>
    <phoneticPr fontId="1"/>
  </si>
  <si>
    <t>dummy</t>
    <phoneticPr fontId="1"/>
  </si>
  <si>
    <t>USER</t>
    <phoneticPr fontId="1"/>
  </si>
  <si>
    <t>〇</t>
  </si>
  <si>
    <t>9. コマンド一覧</t>
    <rPh sb="7" eb="9">
      <t>イチラン</t>
    </rPh>
    <phoneticPr fontId="3"/>
  </si>
  <si>
    <t>8. 出力設定</t>
    <rPh sb="3" eb="5">
      <t>シュツリョク</t>
    </rPh>
    <rPh sb="5" eb="7">
      <t>セッテイ</t>
    </rPh>
    <phoneticPr fontId="3"/>
  </si>
  <si>
    <t>0xffff0</t>
    <phoneticPr fontId="1"/>
  </si>
  <si>
    <t>CANoeで測定を開始する</t>
    <rPh sb="6" eb="8">
      <t>ソクテイ</t>
    </rPh>
    <rPh sb="9" eb="11">
      <t>カイシ</t>
    </rPh>
    <phoneticPr fontId="1"/>
  </si>
  <si>
    <t>0xffff</t>
    <phoneticPr fontId="1"/>
  </si>
  <si>
    <t>M4-1</t>
    <phoneticPr fontId="1"/>
  </si>
  <si>
    <t>M3-1</t>
    <phoneticPr fontId="1"/>
  </si>
  <si>
    <t>測定を停止する</t>
    <rPh sb="0" eb="2">
      <t>ソクテイ</t>
    </rPh>
    <rPh sb="3" eb="5">
      <t>テイシ</t>
    </rPh>
    <phoneticPr fontId="1"/>
  </si>
  <si>
    <t>M2-7</t>
    <phoneticPr fontId="1"/>
  </si>
  <si>
    <t>M2-6</t>
    <phoneticPr fontId="1"/>
  </si>
  <si>
    <t>M2-5</t>
    <phoneticPr fontId="1"/>
  </si>
  <si>
    <t>M2-4</t>
    <phoneticPr fontId="1"/>
  </si>
  <si>
    <t>M2-3</t>
    <phoneticPr fontId="1"/>
  </si>
  <si>
    <t>M2-2</t>
    <phoneticPr fontId="1"/>
  </si>
  <si>
    <t>M2-1</t>
    <phoneticPr fontId="1"/>
  </si>
  <si>
    <t>M1-1</t>
    <phoneticPr fontId="1"/>
  </si>
  <si>
    <t>MASTER_START</t>
    <phoneticPr fontId="1"/>
  </si>
  <si>
    <t>MASTER_STOP</t>
    <phoneticPr fontId="1"/>
  </si>
  <si>
    <t>SLAVE_START</t>
    <phoneticPr fontId="1"/>
  </si>
  <si>
    <t>SLAVE_STOP</t>
    <phoneticPr fontId="1"/>
  </si>
  <si>
    <t>7. 詳細手順書</t>
    <rPh sb="3" eb="5">
      <t>ショウサイ</t>
    </rPh>
    <rPh sb="5" eb="7">
      <t>テジュン</t>
    </rPh>
    <rPh sb="7" eb="8">
      <t>ショ</t>
    </rPh>
    <phoneticPr fontId="1"/>
  </si>
  <si>
    <t>詳細手順書(M1～M8)</t>
  </si>
  <si>
    <t>機能試験
No</t>
    <rPh sb="0" eb="2">
      <t>キノウ</t>
    </rPh>
    <rPh sb="2" eb="4">
      <t>シケン</t>
    </rPh>
    <phoneticPr fontId="1"/>
  </si>
  <si>
    <t>_VAR_DWORD1</t>
    <phoneticPr fontId="1"/>
  </si>
  <si>
    <t>送信データ設定</t>
    <rPh sb="0" eb="2">
      <t>ソウシン</t>
    </rPh>
    <rPh sb="5" eb="7">
      <t>セッテイ</t>
    </rPh>
    <phoneticPr fontId="1"/>
  </si>
  <si>
    <t>SET_SENDDATA</t>
    <phoneticPr fontId="1"/>
  </si>
  <si>
    <t>0xffffffff</t>
    <phoneticPr fontId="1"/>
  </si>
  <si>
    <t>認証子付きメッセージを送信する</t>
    <rPh sb="0" eb="2">
      <t>ニンショウ</t>
    </rPh>
    <rPh sb="2" eb="3">
      <t>シ</t>
    </rPh>
    <rPh sb="3" eb="4">
      <t>ツ</t>
    </rPh>
    <rPh sb="11" eb="13">
      <t>ソウシン</t>
    </rPh>
    <phoneticPr fontId="1"/>
  </si>
  <si>
    <t>M10-1</t>
    <phoneticPr fontId="1"/>
  </si>
  <si>
    <t>30秒後測定を停止する</t>
    <rPh sb="2" eb="3">
      <t>ビョウ</t>
    </rPh>
    <rPh sb="3" eb="4">
      <t>ゴ</t>
    </rPh>
    <rPh sb="4" eb="6">
      <t>ソクテイ</t>
    </rPh>
    <rPh sb="7" eb="9">
      <t>テイシ</t>
    </rPh>
    <phoneticPr fontId="1"/>
  </si>
  <si>
    <t>M10-2</t>
    <phoneticPr fontId="1"/>
  </si>
  <si>
    <t>M10-3</t>
    <phoneticPr fontId="1"/>
  </si>
  <si>
    <t>M10-4</t>
    <phoneticPr fontId="1"/>
  </si>
  <si>
    <t>異常な認証子を生成する</t>
    <rPh sb="0" eb="2">
      <t>イジョウ</t>
    </rPh>
    <rPh sb="3" eb="5">
      <t>ニンショウ</t>
    </rPh>
    <rPh sb="5" eb="6">
      <t>シ</t>
    </rPh>
    <rPh sb="7" eb="9">
      <t>セイセイ</t>
    </rPh>
    <phoneticPr fontId="1"/>
  </si>
  <si>
    <t>SET_MACTX</t>
    <phoneticPr fontId="1"/>
  </si>
  <si>
    <t>0x0000000</t>
    <phoneticPr fontId="1"/>
  </si>
  <si>
    <t>M10-6</t>
    <phoneticPr fontId="1"/>
  </si>
  <si>
    <t>M10-11</t>
    <phoneticPr fontId="1"/>
  </si>
  <si>
    <t>M10-12</t>
    <phoneticPr fontId="1"/>
  </si>
  <si>
    <t>M11-1</t>
    <phoneticPr fontId="1"/>
  </si>
  <si>
    <t>0xfffffffd</t>
    <phoneticPr fontId="1"/>
  </si>
  <si>
    <t>0xfffffffe</t>
    <phoneticPr fontId="1"/>
  </si>
  <si>
    <t>WAIT</t>
    <phoneticPr fontId="1"/>
  </si>
  <si>
    <t>SEND_AUTH</t>
    <phoneticPr fontId="1"/>
  </si>
  <si>
    <t>送信データ設定</t>
    <rPh sb="0" eb="2">
      <t>ソウシン</t>
    </rPh>
    <rPh sb="5" eb="7">
      <t>セッテイ</t>
    </rPh>
    <phoneticPr fontId="1"/>
  </si>
  <si>
    <t>認証子付きメッセージを送信する</t>
    <rPh sb="0" eb="2">
      <t>ニンショウ</t>
    </rPh>
    <rPh sb="2" eb="3">
      <t>シ</t>
    </rPh>
    <rPh sb="3" eb="4">
      <t>ツ</t>
    </rPh>
    <rPh sb="11" eb="13">
      <t>ソウシン</t>
    </rPh>
    <phoneticPr fontId="1"/>
  </si>
  <si>
    <t>M14-1</t>
    <phoneticPr fontId="1"/>
  </si>
  <si>
    <t>メッセージカウンタが最大値の認証子付きメッセージを送信する</t>
    <rPh sb="10" eb="13">
      <t>サイダイチ</t>
    </rPh>
    <rPh sb="14" eb="16">
      <t>ニンショウ</t>
    </rPh>
    <rPh sb="16" eb="17">
      <t>シ</t>
    </rPh>
    <rPh sb="17" eb="18">
      <t>ツ</t>
    </rPh>
    <rPh sb="25" eb="27">
      <t>ソウシン</t>
    </rPh>
    <phoneticPr fontId="1"/>
  </si>
  <si>
    <t>メッセージカウンタが最大値-1の認証子付きメッセージを送信する</t>
    <rPh sb="10" eb="13">
      <t>サイダイチ</t>
    </rPh>
    <rPh sb="16" eb="18">
      <t>ニンショウ</t>
    </rPh>
    <rPh sb="18" eb="19">
      <t>シ</t>
    </rPh>
    <rPh sb="19" eb="20">
      <t>ツ</t>
    </rPh>
    <rPh sb="27" eb="29">
      <t>ソウシン</t>
    </rPh>
    <phoneticPr fontId="1"/>
  </si>
  <si>
    <t>0xfe</t>
    <phoneticPr fontId="1"/>
  </si>
  <si>
    <t>メッセージカウンタが初期値の認証子付きメッセージを送信する</t>
    <rPh sb="10" eb="13">
      <t>ショキチ</t>
    </rPh>
    <rPh sb="14" eb="16">
      <t>ニンショウ</t>
    </rPh>
    <rPh sb="16" eb="17">
      <t>シ</t>
    </rPh>
    <rPh sb="17" eb="18">
      <t>ツ</t>
    </rPh>
    <rPh sb="25" eb="27">
      <t>ソウシン</t>
    </rPh>
    <phoneticPr fontId="1"/>
  </si>
  <si>
    <t>測定を停止する</t>
    <rPh sb="0" eb="2">
      <t>ソクテイ</t>
    </rPh>
    <rPh sb="3" eb="5">
      <t>テイシ</t>
    </rPh>
    <phoneticPr fontId="1"/>
  </si>
  <si>
    <t>リセットカウンタが最大値の同期メッセージを送信する</t>
    <rPh sb="9" eb="12">
      <t>サイダイチ</t>
    </rPh>
    <rPh sb="13" eb="15">
      <t>ドウキ</t>
    </rPh>
    <rPh sb="21" eb="23">
      <t>ソウシン</t>
    </rPh>
    <phoneticPr fontId="1"/>
  </si>
  <si>
    <t>0xfffff</t>
    <phoneticPr fontId="1"/>
  </si>
  <si>
    <t>0xff</t>
    <phoneticPr fontId="1"/>
  </si>
  <si>
    <t>受信タイムアウトを発生させる</t>
    <rPh sb="0" eb="2">
      <t>ジュシン</t>
    </rPh>
    <rPh sb="9" eb="11">
      <t>ハッセイ</t>
    </rPh>
    <phoneticPr fontId="1"/>
  </si>
  <si>
    <t>現在故障DTC U2401-00を確認する</t>
    <rPh sb="17" eb="19">
      <t>カクニン</t>
    </rPh>
    <phoneticPr fontId="1"/>
  </si>
  <si>
    <t>Sid19</t>
    <phoneticPr fontId="1"/>
  </si>
  <si>
    <t>0x02</t>
    <phoneticPr fontId="1"/>
  </si>
  <si>
    <t>ChkReadDTC</t>
    <phoneticPr fontId="1"/>
  </si>
  <si>
    <t>0xE40100</t>
    <phoneticPr fontId="1"/>
  </si>
  <si>
    <t>ReadVerifyNG</t>
    <phoneticPr fontId="1"/>
  </si>
  <si>
    <t>過去故障DTC U2401-00を確認する</t>
    <rPh sb="0" eb="2">
      <t>カコ</t>
    </rPh>
    <rPh sb="17" eb="19">
      <t>カクニン</t>
    </rPh>
    <phoneticPr fontId="1"/>
  </si>
  <si>
    <t>0x08</t>
    <phoneticPr fontId="1"/>
  </si>
  <si>
    <t>M18-1</t>
    <phoneticPr fontId="1"/>
  </si>
  <si>
    <t>M19-1</t>
    <phoneticPr fontId="1"/>
  </si>
  <si>
    <t>M20-1</t>
    <phoneticPr fontId="1"/>
  </si>
  <si>
    <t>M21-1</t>
    <phoneticPr fontId="1"/>
  </si>
  <si>
    <t>M22-1</t>
    <phoneticPr fontId="1"/>
  </si>
  <si>
    <t>M22-2</t>
    <phoneticPr fontId="1"/>
  </si>
  <si>
    <t>M23-1</t>
    <phoneticPr fontId="1"/>
  </si>
  <si>
    <t>30秒待つ</t>
    <rPh sb="2" eb="3">
      <t>ビョウ</t>
    </rPh>
    <rPh sb="3" eb="4">
      <t>マ</t>
    </rPh>
    <phoneticPr fontId="1"/>
  </si>
  <si>
    <t>M24-1</t>
    <phoneticPr fontId="1"/>
  </si>
  <si>
    <t>M25-1</t>
    <phoneticPr fontId="1"/>
  </si>
  <si>
    <t>M26-1</t>
    <phoneticPr fontId="1"/>
  </si>
  <si>
    <t>M27-1</t>
    <phoneticPr fontId="1"/>
  </si>
  <si>
    <t>M28-1</t>
    <phoneticPr fontId="1"/>
  </si>
  <si>
    <t>同期メッセージを送信する(トリップカウンタ:+1)</t>
    <rPh sb="0" eb="2">
      <t>ドウキ</t>
    </rPh>
    <rPh sb="8" eb="10">
      <t>ソウシン</t>
    </rPh>
    <phoneticPr fontId="1"/>
  </si>
  <si>
    <t>M28-2</t>
    <phoneticPr fontId="1"/>
  </si>
  <si>
    <t>同期メッセージを送信する(トリップカウンタ:+2)</t>
    <rPh sb="0" eb="2">
      <t>ドウキ</t>
    </rPh>
    <rPh sb="8" eb="10">
      <t>ソウシン</t>
    </rPh>
    <phoneticPr fontId="1"/>
  </si>
  <si>
    <t>M28-3</t>
    <phoneticPr fontId="1"/>
  </si>
  <si>
    <t>同期メッセージを送信する(トリップカウンタ:最大値)</t>
    <rPh sb="0" eb="2">
      <t>ドウキ</t>
    </rPh>
    <rPh sb="8" eb="10">
      <t>ソウシン</t>
    </rPh>
    <rPh sb="22" eb="25">
      <t>サイダイチ</t>
    </rPh>
    <phoneticPr fontId="1"/>
  </si>
  <si>
    <t>M28-4</t>
    <phoneticPr fontId="1"/>
  </si>
  <si>
    <t>M28-5</t>
    <phoneticPr fontId="1"/>
  </si>
  <si>
    <t>M28-6</t>
    <phoneticPr fontId="1"/>
  </si>
  <si>
    <t>M28-7</t>
    <phoneticPr fontId="1"/>
  </si>
  <si>
    <t>同期メッセージを送信する(リセットカウンタ:+1)</t>
    <rPh sb="0" eb="2">
      <t>ドウキ</t>
    </rPh>
    <rPh sb="8" eb="10">
      <t>ソウシン</t>
    </rPh>
    <phoneticPr fontId="1"/>
  </si>
  <si>
    <t>M28-8</t>
    <phoneticPr fontId="1"/>
  </si>
  <si>
    <t>同期メッセージを送信する(リセットカウンタ:+2)</t>
    <rPh sb="0" eb="2">
      <t>ドウキ</t>
    </rPh>
    <rPh sb="8" eb="10">
      <t>ソウシン</t>
    </rPh>
    <phoneticPr fontId="1"/>
  </si>
  <si>
    <t>M28-9</t>
    <phoneticPr fontId="1"/>
  </si>
  <si>
    <t>同期メッセージを送信する(リセットカウンタ:最大値)</t>
    <rPh sb="0" eb="2">
      <t>ドウキ</t>
    </rPh>
    <rPh sb="8" eb="10">
      <t>ソウシン</t>
    </rPh>
    <rPh sb="22" eb="25">
      <t>サイダイチ</t>
    </rPh>
    <phoneticPr fontId="1"/>
  </si>
  <si>
    <t>M28-10</t>
    <phoneticPr fontId="1"/>
  </si>
  <si>
    <t>M28-11</t>
    <phoneticPr fontId="1"/>
  </si>
  <si>
    <t>M28-12</t>
    <phoneticPr fontId="1"/>
  </si>
  <si>
    <t>M29-1</t>
    <phoneticPr fontId="1"/>
  </si>
  <si>
    <t>同期メッセージを送信する(MAC異常)</t>
    <rPh sb="0" eb="2">
      <t>ドウキ</t>
    </rPh>
    <rPh sb="8" eb="10">
      <t>ソウシン</t>
    </rPh>
    <rPh sb="16" eb="18">
      <t>イジョウ</t>
    </rPh>
    <phoneticPr fontId="1"/>
  </si>
  <si>
    <t>M29-2</t>
    <phoneticPr fontId="1"/>
  </si>
  <si>
    <t>M30-1</t>
    <phoneticPr fontId="1"/>
  </si>
  <si>
    <t>M31-1</t>
    <phoneticPr fontId="1"/>
  </si>
  <si>
    <t>0xffef</t>
    <phoneticPr fontId="1"/>
  </si>
  <si>
    <t>同期メッセージを送信する(トリップカウンタ:-1)</t>
    <rPh sb="0" eb="2">
      <t>ドウキ</t>
    </rPh>
    <rPh sb="8" eb="10">
      <t>ソウシン</t>
    </rPh>
    <phoneticPr fontId="1"/>
  </si>
  <si>
    <t>0xffee</t>
    <phoneticPr fontId="1"/>
  </si>
  <si>
    <t>M31-2</t>
    <phoneticPr fontId="1"/>
  </si>
  <si>
    <t>同期メッセージを送信する(トリップカウンタ:-2)</t>
    <rPh sb="0" eb="2">
      <t>ドウキ</t>
    </rPh>
    <rPh sb="8" eb="10">
      <t>ソウシン</t>
    </rPh>
    <phoneticPr fontId="1"/>
  </si>
  <si>
    <t>0xffed</t>
    <phoneticPr fontId="1"/>
  </si>
  <si>
    <t>M31-3</t>
    <phoneticPr fontId="1"/>
  </si>
  <si>
    <t>同期メッセージを送信する(トリップカウンタ:初期値)</t>
    <rPh sb="0" eb="2">
      <t>ドウキ</t>
    </rPh>
    <rPh sb="8" eb="10">
      <t>ソウシン</t>
    </rPh>
    <rPh sb="22" eb="25">
      <t>ショキチ</t>
    </rPh>
    <phoneticPr fontId="1"/>
  </si>
  <si>
    <t>M31-4</t>
    <phoneticPr fontId="1"/>
  </si>
  <si>
    <t>同期メッセージを送信する(リセットカウンタ：-1)</t>
    <rPh sb="0" eb="2">
      <t>ドウキ</t>
    </rPh>
    <rPh sb="8" eb="10">
      <t>ソウシン</t>
    </rPh>
    <phoneticPr fontId="1"/>
  </si>
  <si>
    <t>0xffffe</t>
    <phoneticPr fontId="1"/>
  </si>
  <si>
    <t>M31-5</t>
    <phoneticPr fontId="1"/>
  </si>
  <si>
    <t>同期メッセージを送信する(リセットカウンタ：-2)</t>
    <rPh sb="0" eb="2">
      <t>ドウキ</t>
    </rPh>
    <rPh sb="8" eb="10">
      <t>ソウシン</t>
    </rPh>
    <phoneticPr fontId="1"/>
  </si>
  <si>
    <t>0xffffd</t>
    <phoneticPr fontId="1"/>
  </si>
  <si>
    <t>M31-6</t>
    <phoneticPr fontId="1"/>
  </si>
  <si>
    <t>同期メッセージを送信する(リセットカウンタ：初期値)</t>
    <rPh sb="0" eb="2">
      <t>ドウキ</t>
    </rPh>
    <rPh sb="8" eb="10">
      <t>ソウシン</t>
    </rPh>
    <rPh sb="22" eb="25">
      <t>ショキチ</t>
    </rPh>
    <phoneticPr fontId="1"/>
  </si>
  <si>
    <t>M31-7</t>
    <phoneticPr fontId="1"/>
  </si>
  <si>
    <t>M31-8</t>
    <phoneticPr fontId="1"/>
  </si>
  <si>
    <t>0xffffc</t>
    <phoneticPr fontId="1"/>
  </si>
  <si>
    <t>M31-9</t>
    <phoneticPr fontId="1"/>
  </si>
  <si>
    <t>M32-1</t>
    <phoneticPr fontId="1"/>
  </si>
  <si>
    <t>異常な認証子の同期メッセージを送信する</t>
    <rPh sb="0" eb="2">
      <t>イジョウ</t>
    </rPh>
    <rPh sb="3" eb="5">
      <t>ニンショウ</t>
    </rPh>
    <rPh sb="5" eb="6">
      <t>シ</t>
    </rPh>
    <rPh sb="7" eb="9">
      <t>ドウキ</t>
    </rPh>
    <rPh sb="15" eb="17">
      <t>ソウシン</t>
    </rPh>
    <phoneticPr fontId="1"/>
  </si>
  <si>
    <t>M32-2</t>
    <phoneticPr fontId="1"/>
  </si>
  <si>
    <t>M32-3</t>
    <phoneticPr fontId="1"/>
  </si>
  <si>
    <t>M32-4</t>
    <phoneticPr fontId="1"/>
  </si>
  <si>
    <t>M33-1</t>
    <phoneticPr fontId="1"/>
  </si>
  <si>
    <t>M34-1</t>
    <phoneticPr fontId="1"/>
  </si>
  <si>
    <t>M34-2</t>
    <phoneticPr fontId="1"/>
  </si>
  <si>
    <t>M34-3</t>
    <phoneticPr fontId="1"/>
  </si>
  <si>
    <t>M34-4</t>
    <phoneticPr fontId="1"/>
  </si>
  <si>
    <t>M34-5</t>
    <phoneticPr fontId="1"/>
  </si>
  <si>
    <t>M34-6</t>
    <phoneticPr fontId="1"/>
  </si>
  <si>
    <t>M34-7</t>
    <phoneticPr fontId="1"/>
  </si>
  <si>
    <t>M35-1</t>
    <phoneticPr fontId="1"/>
  </si>
  <si>
    <t>M35-2</t>
    <phoneticPr fontId="1"/>
  </si>
  <si>
    <t>同期メッセージを送信する
(トリップカウンタ:初期値+ClearAcceptanceWindow)</t>
    <rPh sb="0" eb="2">
      <t>ドウキ</t>
    </rPh>
    <rPh sb="8" eb="10">
      <t>ソウシン</t>
    </rPh>
    <rPh sb="23" eb="26">
      <t>ショキチ</t>
    </rPh>
    <phoneticPr fontId="1"/>
  </si>
  <si>
    <t>M35-3</t>
    <phoneticPr fontId="1"/>
  </si>
  <si>
    <t>同期メッセージを送信する
(トリップカウンタ:初期値+ClearAcceptanceWindow+1)</t>
    <rPh sb="0" eb="2">
      <t>ドウキ</t>
    </rPh>
    <rPh sb="8" eb="10">
      <t>ソウシン</t>
    </rPh>
    <rPh sb="23" eb="26">
      <t>ショキチ</t>
    </rPh>
    <phoneticPr fontId="1"/>
  </si>
  <si>
    <t>M35-4</t>
    <phoneticPr fontId="1"/>
  </si>
  <si>
    <t>同期メッセージを送信する
(トリップカウンタ:最大値-ClearAcceptanceWindow)</t>
    <rPh sb="0" eb="2">
      <t>ドウキ</t>
    </rPh>
    <rPh sb="8" eb="10">
      <t>ソウシン</t>
    </rPh>
    <rPh sb="23" eb="26">
      <t>サイダイチ</t>
    </rPh>
    <phoneticPr fontId="1"/>
  </si>
  <si>
    <t>0xfff0</t>
    <phoneticPr fontId="1"/>
  </si>
  <si>
    <t>M35-5</t>
    <phoneticPr fontId="1"/>
  </si>
  <si>
    <t>M35-6</t>
    <phoneticPr fontId="1"/>
  </si>
  <si>
    <t>M35-7</t>
    <phoneticPr fontId="1"/>
  </si>
  <si>
    <t>同期メッセージを送信する
(トリップカウンタ:最大値-ClearAcceptanceWindow-1)</t>
    <rPh sb="0" eb="2">
      <t>ドウキ</t>
    </rPh>
    <rPh sb="8" eb="10">
      <t>ソウシン</t>
    </rPh>
    <rPh sb="23" eb="26">
      <t>サイダイチ</t>
    </rPh>
    <phoneticPr fontId="1"/>
  </si>
  <si>
    <t>M35-8</t>
    <phoneticPr fontId="1"/>
  </si>
  <si>
    <t>M35-9</t>
    <phoneticPr fontId="1"/>
  </si>
  <si>
    <t>同期メッセージを送信する(保持値と等しい)</t>
    <rPh sb="0" eb="2">
      <t>ドウキ</t>
    </rPh>
    <rPh sb="8" eb="10">
      <t>ソウシン</t>
    </rPh>
    <rPh sb="13" eb="15">
      <t>ホジ</t>
    </rPh>
    <rPh sb="15" eb="16">
      <t>アタイ</t>
    </rPh>
    <rPh sb="17" eb="18">
      <t>ヒト</t>
    </rPh>
    <phoneticPr fontId="1"/>
  </si>
  <si>
    <t>M37-1</t>
    <phoneticPr fontId="1"/>
  </si>
  <si>
    <t>M37-2</t>
    <phoneticPr fontId="1"/>
  </si>
  <si>
    <t>M37-3</t>
    <phoneticPr fontId="1"/>
  </si>
  <si>
    <t>KeyValueVerifyTime経過待ちをする</t>
    <rPh sb="18" eb="20">
      <t>ケイカ</t>
    </rPh>
    <rPh sb="20" eb="21">
      <t>マ</t>
    </rPh>
    <phoneticPr fontId="1"/>
  </si>
  <si>
    <t>過去故障DTC U2400-00を確認する</t>
    <rPh sb="0" eb="2">
      <t>カコ</t>
    </rPh>
    <rPh sb="17" eb="19">
      <t>カクニン</t>
    </rPh>
    <phoneticPr fontId="1"/>
  </si>
  <si>
    <t>0xE40000</t>
    <phoneticPr fontId="1"/>
  </si>
  <si>
    <t>M37-4</t>
    <phoneticPr fontId="1"/>
  </si>
  <si>
    <t>認証子付きメッセージを送信する(MAC異常)</t>
    <rPh sb="0" eb="2">
      <t>ニンショウ</t>
    </rPh>
    <rPh sb="2" eb="3">
      <t>シ</t>
    </rPh>
    <rPh sb="3" eb="4">
      <t>ツ</t>
    </rPh>
    <rPh sb="11" eb="13">
      <t>ソウシン</t>
    </rPh>
    <rPh sb="19" eb="21">
      <t>イジョウ</t>
    </rPh>
    <phoneticPr fontId="1"/>
  </si>
  <si>
    <t>詳細手順書(M9～M17)</t>
  </si>
  <si>
    <t>詳細手順書(M18～M27)</t>
  </si>
  <si>
    <t>詳細手順書(M28～M37)</t>
  </si>
  <si>
    <t>SET_SENDDATA</t>
    <phoneticPr fontId="1"/>
  </si>
  <si>
    <t>SET_MACTX</t>
    <phoneticPr fontId="1"/>
  </si>
  <si>
    <t>同期メッセージを送信する</t>
    <rPh sb="0" eb="2">
      <t>ドウキ</t>
    </rPh>
    <rPh sb="8" eb="10">
      <t>ソウシン</t>
    </rPh>
    <phoneticPr fontId="1"/>
  </si>
  <si>
    <t>WAIT</t>
    <phoneticPr fontId="1"/>
  </si>
  <si>
    <t>M10-5</t>
    <phoneticPr fontId="1"/>
  </si>
  <si>
    <t>WAITKEY</t>
    <phoneticPr fontId="1"/>
  </si>
  <si>
    <t>認証子付きメッセージを送信する</t>
    <rPh sb="0" eb="2">
      <t>ニンショウ</t>
    </rPh>
    <rPh sb="2" eb="3">
      <t>シ</t>
    </rPh>
    <rPh sb="3" eb="4">
      <t>ツ</t>
    </rPh>
    <rPh sb="11" eb="13">
      <t>ソウシン</t>
    </rPh>
    <phoneticPr fontId="1"/>
  </si>
  <si>
    <t>SEND_AUTH</t>
    <phoneticPr fontId="1"/>
  </si>
  <si>
    <t>測定を停止する</t>
    <rPh sb="0" eb="2">
      <t>ソクテイ</t>
    </rPh>
    <rPh sb="3" eb="5">
      <t>テイシ</t>
    </rPh>
    <phoneticPr fontId="1"/>
  </si>
  <si>
    <t>LOGSTOP</t>
    <phoneticPr fontId="1"/>
  </si>
  <si>
    <t>M10-7</t>
    <phoneticPr fontId="1"/>
  </si>
  <si>
    <t>M10-8</t>
    <phoneticPr fontId="1"/>
  </si>
  <si>
    <t>M10-9</t>
    <phoneticPr fontId="1"/>
  </si>
  <si>
    <t>M10-10</t>
    <phoneticPr fontId="1"/>
  </si>
  <si>
    <t>M10-13</t>
    <phoneticPr fontId="1"/>
  </si>
  <si>
    <t>M10-14</t>
    <phoneticPr fontId="1"/>
  </si>
  <si>
    <t>10秒待つ</t>
    <rPh sb="2" eb="3">
      <t>ビョウ</t>
    </rPh>
    <rPh sb="3" eb="4">
      <t>マ</t>
    </rPh>
    <phoneticPr fontId="1"/>
  </si>
  <si>
    <t>10秒待つ</t>
    <rPh sb="2" eb="3">
      <t>ビョウ</t>
    </rPh>
    <rPh sb="3" eb="4">
      <t>マ</t>
    </rPh>
    <phoneticPr fontId="1"/>
  </si>
  <si>
    <t>M23-2</t>
    <phoneticPr fontId="1"/>
  </si>
  <si>
    <t>M23-3</t>
    <phoneticPr fontId="1"/>
  </si>
  <si>
    <t>M34-8</t>
    <phoneticPr fontId="1"/>
  </si>
  <si>
    <t>5秒待つ</t>
    <rPh sb="1" eb="2">
      <t>ビョウ</t>
    </rPh>
    <rPh sb="2" eb="3">
      <t>マ</t>
    </rPh>
    <phoneticPr fontId="1"/>
  </si>
  <si>
    <t>メッセージカウンタが最大に達するまで待つ</t>
    <rPh sb="10" eb="12">
      <t>サイダイ</t>
    </rPh>
    <rPh sb="13" eb="14">
      <t>タッ</t>
    </rPh>
    <rPh sb="18" eb="19">
      <t>マ</t>
    </rPh>
    <phoneticPr fontId="1"/>
  </si>
  <si>
    <t>メッセージカウンタが最大に達するまで待機してください。</t>
    <rPh sb="10" eb="12">
      <t>サイダイ</t>
    </rPh>
    <rPh sb="13" eb="14">
      <t>タッ</t>
    </rPh>
    <rPh sb="18" eb="20">
      <t>タイキ</t>
    </rPh>
    <phoneticPr fontId="1"/>
  </si>
  <si>
    <t>MAZDA認証評価規定</t>
    <rPh sb="5" eb="7">
      <t>ニンショウ</t>
    </rPh>
    <rPh sb="7" eb="9">
      <t>ヒョウカ</t>
    </rPh>
    <rPh sb="9" eb="11">
      <t>キテイ</t>
    </rPh>
    <phoneticPr fontId="1"/>
  </si>
  <si>
    <t>No.</t>
    <phoneticPr fontId="1"/>
  </si>
  <si>
    <t>試験内容</t>
    <rPh sb="0" eb="2">
      <t>シケン</t>
    </rPh>
    <rPh sb="2" eb="4">
      <t>ナイヨウ</t>
    </rPh>
    <phoneticPr fontId="1"/>
  </si>
  <si>
    <t>機能試験No.</t>
    <rPh sb="0" eb="2">
      <t>キノウ</t>
    </rPh>
    <rPh sb="2" eb="4">
      <t>シケン</t>
    </rPh>
    <phoneticPr fontId="1"/>
  </si>
  <si>
    <t>確認対象</t>
    <rPh sb="0" eb="2">
      <t>カクニン</t>
    </rPh>
    <rPh sb="2" eb="4">
      <t>タイショウ</t>
    </rPh>
    <phoneticPr fontId="1"/>
  </si>
  <si>
    <t>M1</t>
    <phoneticPr fontId="1"/>
  </si>
  <si>
    <t>定期送信(周期)</t>
    <rPh sb="0" eb="2">
      <t>テイキ</t>
    </rPh>
    <rPh sb="2" eb="4">
      <t>ソウシン</t>
    </rPh>
    <rPh sb="5" eb="7">
      <t>シュウキ</t>
    </rPh>
    <phoneticPr fontId="1"/>
  </si>
  <si>
    <t>認証子付きメッセージの送信周期が、通信規定の送信周期と一致していることを確認する。</t>
    <phoneticPr fontId="1"/>
  </si>
  <si>
    <t>M1-1-1</t>
    <phoneticPr fontId="1"/>
  </si>
  <si>
    <t>M2</t>
  </si>
  <si>
    <t>初回送信(送信条件)</t>
    <rPh sb="0" eb="2">
      <t>ショカイ</t>
    </rPh>
    <rPh sb="2" eb="4">
      <t>ソウシン</t>
    </rPh>
    <rPh sb="5" eb="7">
      <t>ソウシン</t>
    </rPh>
    <rPh sb="7" eb="9">
      <t>ジョウケン</t>
    </rPh>
    <phoneticPr fontId="1"/>
  </si>
  <si>
    <t>送信条件を満たすまで、認証子付きメッセージをバス上に送信しないことを確認する。</t>
    <phoneticPr fontId="1"/>
  </si>
  <si>
    <t>施行回数は&lt;&lt;10回&gt;&gt;とする</t>
    <rPh sb="0" eb="2">
      <t>シコウ</t>
    </rPh>
    <rPh sb="2" eb="4">
      <t>カイスウ</t>
    </rPh>
    <rPh sb="9" eb="10">
      <t>カイ</t>
    </rPh>
    <phoneticPr fontId="1"/>
  </si>
  <si>
    <t>M2-5-2</t>
  </si>
  <si>
    <t>M2-6-2</t>
  </si>
  <si>
    <t>M2-7-2</t>
  </si>
  <si>
    <t>M3</t>
  </si>
  <si>
    <t>通信フレーム(フォーマット)</t>
    <rPh sb="0" eb="2">
      <t>ツウシン</t>
    </rPh>
    <phoneticPr fontId="1"/>
  </si>
  <si>
    <t>M3-1-1</t>
    <phoneticPr fontId="1"/>
  </si>
  <si>
    <t>①認証子付きメッセージを&lt;&lt;60秒&gt;&gt;間計測し、試験対象とするCAN-IDにおいて、ランダムに抽出した&lt;&lt;10個&gt;&gt;の認証子付きメッセージすべてが下記を満たすこと。
- 保護対象データと送信用フレッシュネス値の位置および値、送信用認証子の位置が通信規定と一致する。</t>
    <phoneticPr fontId="1"/>
  </si>
  <si>
    <t>M3-1-2</t>
  </si>
  <si>
    <t>M4</t>
  </si>
  <si>
    <t>CAN-ID毎に、起動時のメッセージカウンタが初期値であることを確認する</t>
    <phoneticPr fontId="1"/>
  </si>
  <si>
    <t>M4-1-1</t>
    <phoneticPr fontId="1"/>
  </si>
  <si>
    <t>M5</t>
  </si>
  <si>
    <t>メッセージカウンタ(初期化)</t>
    <rPh sb="10" eb="13">
      <t>ショキカ</t>
    </rPh>
    <phoneticPr fontId="1"/>
  </si>
  <si>
    <t>トリップカウンタまたはリセットカウンタが増加した同期メッセージを受理した際に、メッセージカウンタが初期化されることを確認する。</t>
    <phoneticPr fontId="1"/>
  </si>
  <si>
    <t>・試験用の同期メッセージ(トリップカウンタ増加、リセットカウンタ増加）の受信後は同期メッセージを受信させない</t>
    <phoneticPr fontId="1"/>
  </si>
  <si>
    <t>M6</t>
  </si>
  <si>
    <t>メッセージカウンタ(増加)</t>
    <rPh sb="10" eb="12">
      <t>ゾウカ</t>
    </rPh>
    <phoneticPr fontId="1"/>
  </si>
  <si>
    <t>認証子付きメッセージを送信する毎にメッセージカウンタが１増加することを確認する。</t>
    <phoneticPr fontId="1"/>
  </si>
  <si>
    <t>試験対象は、認証子付きメッセージとする。
■合否判定
①認証子付きメッセージを&lt;&lt;60秒&gt;&gt;間計測し、ランダムに抽出した連続&lt;&lt;40個&gt;&gt;の認証子付きメッセージすべてが下記を満たすこと。
- 送信する毎にメッセージカウンタ下位が1増加している
- "メッセージカウンタ下位の最大値+1"回送信する毎にメッセージカウンタ上位が1増加している
※"通信ログの送信用認証子"と"メッセージ上位を増加して算出した値"が一致することを確認する。</t>
    <phoneticPr fontId="1"/>
  </si>
  <si>
    <t>①認証子付きメッセージを&lt;&lt;60秒&gt;&gt;間計測し、ランダムに抽出した連続&lt;&lt;40個&gt;&gt;の認証子付きメッセージすべてが下記を満たすこと。
- 送信する毎にメッセージカウンタ下位が1増加している</t>
    <phoneticPr fontId="1"/>
  </si>
  <si>
    <t>①認証子付きメッセージを&lt;&lt;60秒&gt;&gt;間計測し、ランダムに抽出した連続&lt;&lt;40個&gt;&gt;の認証子付きメッセージすべてが下記を満たすこと。
- "メッセージカウンタ下位の最大値+1"回送信する毎にメッセージカウンタ上位が1増加している</t>
    <phoneticPr fontId="1"/>
  </si>
  <si>
    <t>M7</t>
  </si>
  <si>
    <t>試験対象は、認証子付きメッセージとする。
■合否判定
①認証子付きメッセージを一定時間(メッセージカウンタが最大値になるまで)計測し、供試品が保持するメッセージカウンタが最大値に達する前後のそれぞれ&lt;&lt;10個&gt;&gt;の認証子付きメッセージ全てが下記を満たすこと
-メッセージカウンタが"最大値に達する前"の場合は、送信する毎にメッセージカウンタ下位が1増加している。
-メッセージカウンタが"最大値に達した後"の場合は、メッセージカウンタを最大値に固定している。
②①において、供試品が保持するメッセージカウンタが最大値に達した際に、メッセージカウンタが最大値に達したことをアプリケーションに通知する。</t>
    <phoneticPr fontId="1"/>
  </si>
  <si>
    <t>①認証子付きメッセージを一定時間(メッセージカウンタが最大値になるまで)計測し、供試品が保持するメッセージカウンタが最大値に達する前後のそれぞれ&lt;&lt;10個&gt;&gt;の認証子付きメッセージ全てが下記を満たすこと
- メッセージカウンタが"最大値に達する前"の場合は、送信する毎にメッセージカウンタ下位が1増加している。</t>
    <phoneticPr fontId="1"/>
  </si>
  <si>
    <t>①認証子付きメッセージを一定時間(メッセージカウンタが最大値になるまで)計測し、供試品が保持するメッセージカウンタが最大値に達する前後のそれぞれ&lt;&lt;10個&gt;&gt;の認証子付きメッセージ全てが下記を満たすこと
- メッセージカウンタが"最大値に達した後"の場合は、メッセージカウンタを最大値に固定している。</t>
    <phoneticPr fontId="1"/>
  </si>
  <si>
    <t>M7-1-3</t>
  </si>
  <si>
    <t>M8</t>
  </si>
  <si>
    <t>試験対象は、認証子付きメッセージとする。
■合否判定
①認証子付きメッセージを&lt;&lt;60秒&gt;&gt;間計測し、供試品が保持するリセットカウンタが最大値に達する前後のそれぞれ&lt;&lt;10個&gt;&gt;の認証子付きメッセージ全てが下記を満たすこと
-リセットカウンタが"最大値に達する前"の場合は、送信する毎にメッセージカウンタ下位が1増加している。
-リセットカウンタが"最大値に達した後"の場合は、メッセージカウンタを最大値に固定している。</t>
    <phoneticPr fontId="1"/>
  </si>
  <si>
    <t>①認証子付きメッセージを&lt;&lt;60秒&gt;&gt;間計測し、供試品が保持するリセットカウンタが最大値に達する前後のそれぞれ&lt;&lt;10個&gt;&gt;の認証子付きメッセージ全てが下記を満たすこと
- リセットカウンタが"最大値に達する前"の場合は、送信する毎にメッセージカウンタ下位が1増加している。</t>
    <phoneticPr fontId="1"/>
  </si>
  <si>
    <t>①認証子付きメッセージを&lt;&lt;60秒&gt;&gt;間計測し、供試品が保持するリセットカウンタが最大値に達する前後のそれぞれ&lt;&lt;10個&gt;&gt;の認証子付きメッセージ全てが下記を満たすこと
- リセットカウンタが"最大値に達した後"の場合は、メッセージカウンタを最大値に固定している。</t>
    <phoneticPr fontId="1"/>
  </si>
  <si>
    <t>M9</t>
    <phoneticPr fontId="1"/>
  </si>
  <si>
    <t>認証子付きメッセージ(受信処理)</t>
    <rPh sb="0" eb="2">
      <t>ニンショウ</t>
    </rPh>
    <rPh sb="2" eb="3">
      <t>シ</t>
    </rPh>
    <rPh sb="3" eb="4">
      <t>ツ</t>
    </rPh>
    <rPh sb="11" eb="13">
      <t>ジュシン</t>
    </rPh>
    <rPh sb="13" eb="15">
      <t>ショリ</t>
    </rPh>
    <phoneticPr fontId="1"/>
  </si>
  <si>
    <t>下記の認証子付きメッセージを受信した際に、保護対象データを受理し、フレッシュネス値を保持することを確認する。
・送信用認証子：正常</t>
    <rPh sb="0" eb="2">
      <t>カキ</t>
    </rPh>
    <rPh sb="14" eb="16">
      <t>ジュシン</t>
    </rPh>
    <rPh sb="18" eb="19">
      <t>サイ</t>
    </rPh>
    <rPh sb="21" eb="23">
      <t>ホゴ</t>
    </rPh>
    <rPh sb="23" eb="25">
      <t>タイショウ</t>
    </rPh>
    <rPh sb="29" eb="31">
      <t>ジュリ</t>
    </rPh>
    <rPh sb="40" eb="41">
      <t>アタイ</t>
    </rPh>
    <rPh sb="42" eb="44">
      <t>ホジ</t>
    </rPh>
    <rPh sb="49" eb="51">
      <t>カクニン</t>
    </rPh>
    <rPh sb="56" eb="58">
      <t>ソウシン</t>
    </rPh>
    <rPh sb="58" eb="59">
      <t>ヨウ</t>
    </rPh>
    <rPh sb="59" eb="61">
      <t>ニンショウ</t>
    </rPh>
    <rPh sb="61" eb="62">
      <t>シ</t>
    </rPh>
    <rPh sb="63" eb="65">
      <t>セイジョウ</t>
    </rPh>
    <phoneticPr fontId="1"/>
  </si>
  <si>
    <t>試験対象は、認証子付きメッセージとする。
■合否判定
①下記の条件の認証子付きメッセージを全て受理すること。
- "要求仕様書"の【要求事項：FVSLV10】に示す全15個の構築形式。
②①において、下記を満たすこと。
- アプリケーションに検証OKを通知する。
- 認証子付きメッセージを受理した際は、検証用フレッシュネス値を保持する。</t>
    <rPh sb="121" eb="123">
      <t>ケンショウ</t>
    </rPh>
    <rPh sb="126" eb="128">
      <t>ツウチ</t>
    </rPh>
    <phoneticPr fontId="1"/>
  </si>
  <si>
    <t>仕様上受理可能なフレッシュネス値ずれのケースをすべて確認する。</t>
    <phoneticPr fontId="1"/>
  </si>
  <si>
    <t>①下記の条件の認証子付きメッセージを全て受理すること。
- "要求仕様書"の【要求事項：FVSLV10】に示す全15個の構築形式。
構築形式が最新値かつ形式1の場合。</t>
    <rPh sb="66" eb="68">
      <t>コウチク</t>
    </rPh>
    <rPh sb="68" eb="70">
      <t>ケイシキ</t>
    </rPh>
    <rPh sb="71" eb="73">
      <t>サイシン</t>
    </rPh>
    <rPh sb="73" eb="74">
      <t>アタイ</t>
    </rPh>
    <rPh sb="76" eb="78">
      <t>ケイシキ</t>
    </rPh>
    <rPh sb="80" eb="82">
      <t>バアイ</t>
    </rPh>
    <phoneticPr fontId="1"/>
  </si>
  <si>
    <t>M9-1-2</t>
  </si>
  <si>
    <t>M9-1-3</t>
  </si>
  <si>
    <t>①下記の条件の認証子付きメッセージを全て受理すること。
構築形式が最新値かつ形式2の場合。</t>
    <rPh sb="28" eb="30">
      <t>コウチク</t>
    </rPh>
    <rPh sb="30" eb="32">
      <t>ケイシキ</t>
    </rPh>
    <rPh sb="33" eb="35">
      <t>サイシン</t>
    </rPh>
    <rPh sb="35" eb="36">
      <t>アタイ</t>
    </rPh>
    <rPh sb="38" eb="40">
      <t>ケイシキ</t>
    </rPh>
    <rPh sb="42" eb="44">
      <t>バアイ</t>
    </rPh>
    <phoneticPr fontId="1"/>
  </si>
  <si>
    <t>M9-2-2</t>
  </si>
  <si>
    <t>M9-2-3</t>
  </si>
  <si>
    <t>①下記の条件の認証子付きメッセージを全て受理すること。
構築形式が最新値かつ形式3の場合。</t>
    <rPh sb="28" eb="30">
      <t>コウチク</t>
    </rPh>
    <rPh sb="30" eb="32">
      <t>ケイシキ</t>
    </rPh>
    <rPh sb="33" eb="35">
      <t>サイシン</t>
    </rPh>
    <rPh sb="35" eb="36">
      <t>アタイ</t>
    </rPh>
    <rPh sb="38" eb="40">
      <t>ケイシキ</t>
    </rPh>
    <rPh sb="42" eb="44">
      <t>バアイ</t>
    </rPh>
    <phoneticPr fontId="1"/>
  </si>
  <si>
    <t>M9-3-2</t>
  </si>
  <si>
    <t>M9-3-3</t>
  </si>
  <si>
    <t>①下記の条件の認証子付きメッセージを全て受理すること。
構築形式が最新値-1かつ形式1の場合。</t>
    <rPh sb="28" eb="30">
      <t>コウチク</t>
    </rPh>
    <rPh sb="30" eb="32">
      <t>ケイシキ</t>
    </rPh>
    <rPh sb="33" eb="35">
      <t>サイシン</t>
    </rPh>
    <rPh sb="35" eb="36">
      <t>アタイ</t>
    </rPh>
    <rPh sb="40" eb="42">
      <t>ケイシキ</t>
    </rPh>
    <rPh sb="44" eb="46">
      <t>バアイ</t>
    </rPh>
    <phoneticPr fontId="1"/>
  </si>
  <si>
    <t>M9-4-2</t>
  </si>
  <si>
    <t>M9-4-3</t>
  </si>
  <si>
    <t>①下記の条件の認証子付きメッセージを全て受理すること。
構築形式が最新値-1かつ形式2の場合。</t>
    <rPh sb="28" eb="30">
      <t>コウチク</t>
    </rPh>
    <rPh sb="30" eb="32">
      <t>ケイシキ</t>
    </rPh>
    <rPh sb="33" eb="35">
      <t>サイシン</t>
    </rPh>
    <rPh sb="35" eb="36">
      <t>アタイ</t>
    </rPh>
    <rPh sb="40" eb="42">
      <t>ケイシキ</t>
    </rPh>
    <rPh sb="44" eb="46">
      <t>バアイ</t>
    </rPh>
    <phoneticPr fontId="1"/>
  </si>
  <si>
    <t>M9-5-2</t>
  </si>
  <si>
    <t>M9-5-3</t>
  </si>
  <si>
    <t>①下記の条件の認証子付きメッセージを全て受理すること。
構築形式が最新値-1かつ形式3の場合。</t>
    <rPh sb="28" eb="30">
      <t>コウチク</t>
    </rPh>
    <rPh sb="30" eb="32">
      <t>ケイシキ</t>
    </rPh>
    <rPh sb="33" eb="35">
      <t>サイシン</t>
    </rPh>
    <rPh sb="35" eb="36">
      <t>アタイ</t>
    </rPh>
    <rPh sb="40" eb="42">
      <t>ケイシキ</t>
    </rPh>
    <rPh sb="44" eb="46">
      <t>バアイ</t>
    </rPh>
    <phoneticPr fontId="1"/>
  </si>
  <si>
    <t>M9-6-2</t>
  </si>
  <si>
    <t>M9-6-3</t>
  </si>
  <si>
    <t>①下記の条件の認証子付きメッセージを全て受理すること。
構築形式が最新値+1かつ形式1の場合。</t>
    <rPh sb="28" eb="30">
      <t>コウチク</t>
    </rPh>
    <rPh sb="30" eb="32">
      <t>ケイシキ</t>
    </rPh>
    <rPh sb="33" eb="35">
      <t>サイシン</t>
    </rPh>
    <rPh sb="35" eb="36">
      <t>アタイ</t>
    </rPh>
    <rPh sb="40" eb="42">
      <t>ケイシキ</t>
    </rPh>
    <rPh sb="44" eb="46">
      <t>バアイ</t>
    </rPh>
    <phoneticPr fontId="1"/>
  </si>
  <si>
    <t>M9-7-2</t>
  </si>
  <si>
    <t>M9-7-3</t>
  </si>
  <si>
    <t>①下記の条件の認証子付きメッセージを全て受理すること。
構築形式が最新値+1かつ形式2の場合。</t>
    <rPh sb="28" eb="30">
      <t>コウチク</t>
    </rPh>
    <rPh sb="30" eb="32">
      <t>ケイシキ</t>
    </rPh>
    <rPh sb="33" eb="35">
      <t>サイシン</t>
    </rPh>
    <rPh sb="35" eb="36">
      <t>アタイ</t>
    </rPh>
    <rPh sb="40" eb="42">
      <t>ケイシキ</t>
    </rPh>
    <rPh sb="44" eb="46">
      <t>バアイ</t>
    </rPh>
    <phoneticPr fontId="1"/>
  </si>
  <si>
    <t>M9-8-2</t>
  </si>
  <si>
    <t>M9-8-3</t>
  </si>
  <si>
    <t>①下記の条件の認証子付きメッセージを全て受理すること。
構築形式が最新値+1かつ形式3の場合。</t>
    <rPh sb="28" eb="30">
      <t>コウチク</t>
    </rPh>
    <rPh sb="30" eb="32">
      <t>ケイシキ</t>
    </rPh>
    <rPh sb="33" eb="35">
      <t>サイシン</t>
    </rPh>
    <rPh sb="35" eb="36">
      <t>アタイ</t>
    </rPh>
    <rPh sb="40" eb="42">
      <t>ケイシキ</t>
    </rPh>
    <rPh sb="44" eb="46">
      <t>バアイ</t>
    </rPh>
    <phoneticPr fontId="1"/>
  </si>
  <si>
    <t>M9-9-2</t>
  </si>
  <si>
    <t>M9-9-3</t>
  </si>
  <si>
    <t>①下記の条件の認証子付きメッセージを全て受理すること。
構築形式が最新値-2かつ形式1の場合。</t>
    <rPh sb="28" eb="30">
      <t>コウチク</t>
    </rPh>
    <rPh sb="30" eb="32">
      <t>ケイシキ</t>
    </rPh>
    <rPh sb="33" eb="35">
      <t>サイシン</t>
    </rPh>
    <rPh sb="35" eb="36">
      <t>アタイ</t>
    </rPh>
    <rPh sb="40" eb="42">
      <t>ケイシキ</t>
    </rPh>
    <rPh sb="44" eb="46">
      <t>バアイ</t>
    </rPh>
    <phoneticPr fontId="1"/>
  </si>
  <si>
    <t>M9-10-2</t>
  </si>
  <si>
    <t>M9-10-3</t>
  </si>
  <si>
    <t>①下記の条件の認証子付きメッセージを全て受理すること。
構築形式が最新値-2かつ形式2の場合。</t>
    <rPh sb="28" eb="30">
      <t>コウチク</t>
    </rPh>
    <rPh sb="30" eb="32">
      <t>ケイシキ</t>
    </rPh>
    <rPh sb="33" eb="35">
      <t>サイシン</t>
    </rPh>
    <rPh sb="35" eb="36">
      <t>アタイ</t>
    </rPh>
    <rPh sb="40" eb="42">
      <t>ケイシキ</t>
    </rPh>
    <rPh sb="44" eb="46">
      <t>バアイ</t>
    </rPh>
    <phoneticPr fontId="1"/>
  </si>
  <si>
    <t>M9-11-2</t>
  </si>
  <si>
    <t>M9-11-3</t>
  </si>
  <si>
    <t>①下記の条件の認証子付きメッセージを全て受理すること。
構築形式が最新値-2かつ形式3の場合。</t>
    <rPh sb="28" eb="30">
      <t>コウチク</t>
    </rPh>
    <rPh sb="30" eb="32">
      <t>ケイシキ</t>
    </rPh>
    <rPh sb="33" eb="35">
      <t>サイシン</t>
    </rPh>
    <rPh sb="35" eb="36">
      <t>アタイ</t>
    </rPh>
    <rPh sb="40" eb="42">
      <t>ケイシキ</t>
    </rPh>
    <rPh sb="44" eb="46">
      <t>バアイ</t>
    </rPh>
    <phoneticPr fontId="1"/>
  </si>
  <si>
    <t>M9-12-2</t>
  </si>
  <si>
    <t>M9-12-3</t>
  </si>
  <si>
    <t>①下記の条件の認証子付きメッセージを全て受理すること。
構築形式が最新値+2かつ形式1の場合。</t>
    <rPh sb="28" eb="30">
      <t>コウチク</t>
    </rPh>
    <rPh sb="30" eb="32">
      <t>ケイシキ</t>
    </rPh>
    <rPh sb="33" eb="35">
      <t>サイシン</t>
    </rPh>
    <rPh sb="35" eb="36">
      <t>アタイ</t>
    </rPh>
    <rPh sb="40" eb="42">
      <t>ケイシキ</t>
    </rPh>
    <rPh sb="44" eb="46">
      <t>バアイ</t>
    </rPh>
    <phoneticPr fontId="1"/>
  </si>
  <si>
    <t>M9-13-2</t>
  </si>
  <si>
    <t>M9-13-3</t>
  </si>
  <si>
    <t>①下記の条件の認証子付きメッセージを全て受理すること。
構築形式が最新値+2かつ形式2の場合。</t>
    <rPh sb="28" eb="30">
      <t>コウチク</t>
    </rPh>
    <rPh sb="30" eb="32">
      <t>ケイシキ</t>
    </rPh>
    <rPh sb="33" eb="35">
      <t>サイシン</t>
    </rPh>
    <rPh sb="35" eb="36">
      <t>アタイ</t>
    </rPh>
    <rPh sb="40" eb="42">
      <t>ケイシキ</t>
    </rPh>
    <rPh sb="44" eb="46">
      <t>バアイ</t>
    </rPh>
    <phoneticPr fontId="1"/>
  </si>
  <si>
    <t>M9-14-2</t>
  </si>
  <si>
    <t>M9-14-3</t>
  </si>
  <si>
    <t>①下記の条件の認証子付きメッセージを全て受理すること。
構築形式が最新値+2かつ形式3の場合。</t>
    <rPh sb="28" eb="30">
      <t>コウチク</t>
    </rPh>
    <rPh sb="30" eb="32">
      <t>ケイシキ</t>
    </rPh>
    <rPh sb="33" eb="35">
      <t>サイシン</t>
    </rPh>
    <rPh sb="35" eb="36">
      <t>アタイ</t>
    </rPh>
    <rPh sb="40" eb="42">
      <t>ケイシキ</t>
    </rPh>
    <rPh sb="44" eb="46">
      <t>バアイ</t>
    </rPh>
    <phoneticPr fontId="1"/>
  </si>
  <si>
    <t>M9-15-2</t>
  </si>
  <si>
    <t>M9-15-3</t>
  </si>
  <si>
    <t>M10</t>
  </si>
  <si>
    <t>・MAC鍵：試作鍵以外</t>
    <phoneticPr fontId="1"/>
  </si>
  <si>
    <t>M10-1-2</t>
  </si>
  <si>
    <t>M10-1-3</t>
  </si>
  <si>
    <t>M10-2-2</t>
  </si>
  <si>
    <t>M10-2-3</t>
  </si>
  <si>
    <t>M10-3-2</t>
  </si>
  <si>
    <t>M10-3-3</t>
  </si>
  <si>
    <t>M10-4-2</t>
  </si>
  <si>
    <t>M10-4-3</t>
  </si>
  <si>
    <t>M10-5-2</t>
  </si>
  <si>
    <t>M10-5-3</t>
  </si>
  <si>
    <t>M10-6-2</t>
  </si>
  <si>
    <t>M10-6-3</t>
  </si>
  <si>
    <t>M10-7-2</t>
  </si>
  <si>
    <t>M10-7-3</t>
  </si>
  <si>
    <t>M10-8-2</t>
  </si>
  <si>
    <t>M10-8-3</t>
  </si>
  <si>
    <t>M10-9-2</t>
  </si>
  <si>
    <t>M10-9-3</t>
  </si>
  <si>
    <t>M10-10-2</t>
  </si>
  <si>
    <t>M10-10-3</t>
  </si>
  <si>
    <t>M10-11-2</t>
  </si>
  <si>
    <t>M10-11-3</t>
  </si>
  <si>
    <t>M11</t>
  </si>
  <si>
    <t>受理条件(試作鍵)</t>
    <rPh sb="0" eb="2">
      <t>ジュリ</t>
    </rPh>
    <rPh sb="2" eb="4">
      <t>ジョウケン</t>
    </rPh>
    <rPh sb="5" eb="7">
      <t>シサク</t>
    </rPh>
    <rPh sb="7" eb="8">
      <t>カギ</t>
    </rPh>
    <phoneticPr fontId="1"/>
  </si>
  <si>
    <t>試験対象は、認証子付きメッセージとする。
■合否判定
①認証子が異常な認証子付きメッセージを受信した場合、認証子付きメッセージの保護対象データを受理すること。
②①において、下記を満たすこと。
- アプリケーションにID、検証NGを通知する。
- 認証子付きメッセージのフレッシュネス値を保持しない。</t>
    <rPh sb="28" eb="30">
      <t>ニンショウ</t>
    </rPh>
    <rPh sb="30" eb="31">
      <t>シ</t>
    </rPh>
    <rPh sb="32" eb="34">
      <t>イジョウ</t>
    </rPh>
    <rPh sb="35" eb="37">
      <t>ニンショウ</t>
    </rPh>
    <rPh sb="37" eb="38">
      <t>シ</t>
    </rPh>
    <rPh sb="38" eb="39">
      <t>ツ</t>
    </rPh>
    <rPh sb="46" eb="48">
      <t>ジュシン</t>
    </rPh>
    <rPh sb="50" eb="52">
      <t>バアイ</t>
    </rPh>
    <rPh sb="53" eb="55">
      <t>ニンショウ</t>
    </rPh>
    <rPh sb="55" eb="56">
      <t>シ</t>
    </rPh>
    <rPh sb="56" eb="57">
      <t>ツ</t>
    </rPh>
    <rPh sb="64" eb="66">
      <t>ホゴ</t>
    </rPh>
    <rPh sb="66" eb="68">
      <t>タイショウ</t>
    </rPh>
    <rPh sb="72" eb="74">
      <t>ジュリ</t>
    </rPh>
    <rPh sb="87" eb="89">
      <t>カキ</t>
    </rPh>
    <rPh sb="90" eb="91">
      <t>ミ</t>
    </rPh>
    <phoneticPr fontId="1"/>
  </si>
  <si>
    <t>M11-1-1</t>
    <phoneticPr fontId="1"/>
  </si>
  <si>
    <t>①認証子が異常な認証子付きメッセージを受信した場合、認証子付きメッセージの保護対象データを受理すること。</t>
    <phoneticPr fontId="1"/>
  </si>
  <si>
    <t>M11-1-2</t>
  </si>
  <si>
    <t>②①において、下記を満たすこと。
- アプリケーションにID、検証NGを通知する。</t>
    <phoneticPr fontId="1"/>
  </si>
  <si>
    <t>M11-1-3</t>
  </si>
  <si>
    <t>②①において、下記を満たすこと。
- 認証子付きメッセージのフレッシュネス値を保持しない。</t>
    <phoneticPr fontId="1"/>
  </si>
  <si>
    <t>M12</t>
  </si>
  <si>
    <t>下記の認証子付きメッセージを受信した際に、保護対象データを破棄し、フレッシュネス値を保持しないことを確認する。
・トリップカウンタ、リセットカウンタ、メッセージカウンタ：供試品が保持する値(前回値)より大きい
・送信用認証子：異常</t>
    <rPh sb="0" eb="2">
      <t>カキ</t>
    </rPh>
    <rPh sb="21" eb="23">
      <t>ホゴ</t>
    </rPh>
    <rPh sb="23" eb="25">
      <t>タイショウ</t>
    </rPh>
    <rPh sb="29" eb="31">
      <t>ハキ</t>
    </rPh>
    <rPh sb="40" eb="41">
      <t>アタイ</t>
    </rPh>
    <rPh sb="42" eb="44">
      <t>ホジ</t>
    </rPh>
    <rPh sb="50" eb="52">
      <t>カクニン</t>
    </rPh>
    <rPh sb="85" eb="88">
      <t>キョウシヒン</t>
    </rPh>
    <rPh sb="89" eb="91">
      <t>ホジ</t>
    </rPh>
    <rPh sb="93" eb="94">
      <t>アタイ</t>
    </rPh>
    <rPh sb="95" eb="97">
      <t>ゼンカイ</t>
    </rPh>
    <rPh sb="97" eb="98">
      <t>アタイ</t>
    </rPh>
    <rPh sb="101" eb="102">
      <t>オオ</t>
    </rPh>
    <rPh sb="106" eb="108">
      <t>ソウシン</t>
    </rPh>
    <rPh sb="108" eb="109">
      <t>ヨウ</t>
    </rPh>
    <rPh sb="109" eb="111">
      <t>ニンショウ</t>
    </rPh>
    <rPh sb="111" eb="112">
      <t>シ</t>
    </rPh>
    <rPh sb="113" eb="115">
      <t>イジョウ</t>
    </rPh>
    <phoneticPr fontId="1"/>
  </si>
  <si>
    <t>試験対象は認証子付きメッセージとする。
■合否判定
①下記の条件の認証子付きメッセージを全て破棄すること。
- 認証子付きメッセージ内の保護対象データの値:Ｎ、認証子生成に使用した保護対象データの値:Ｎ-1
- 認証子付きメッセージ内の保護対象データの値:Ｎ、認証子生成に使用した保護対象データの値:Ｎ+1
※Ｎは任意の値を設定する。
②①において、下記を満たすこと。
- アプリケーションにID、検証NGを通知する。
- 認証子付きメッセージのフレッシュネス値を保持しない。</t>
    <rPh sb="212" eb="214">
      <t>ニンショウ</t>
    </rPh>
    <rPh sb="214" eb="215">
      <t>シ</t>
    </rPh>
    <rPh sb="215" eb="216">
      <t>ツ</t>
    </rPh>
    <rPh sb="230" eb="231">
      <t>アタイ</t>
    </rPh>
    <rPh sb="232" eb="234">
      <t>ホジ</t>
    </rPh>
    <phoneticPr fontId="1"/>
  </si>
  <si>
    <t>①-1下記の条件の認証子付きメッセージを全て破棄すること。
- 認証子付きメッセージ内の保護対象データの値:Ｎ、認証子生成に使用した保護対象データの値:Ｎ-1
※Ｎは任意の値を設定する。</t>
    <phoneticPr fontId="1"/>
  </si>
  <si>
    <t>M12-1-2</t>
  </si>
  <si>
    <t>M12-1-3</t>
  </si>
  <si>
    <t>①-2下記の条件の認証子付きメッセージを全て破棄すること。
- 認証子付きメッセージ内の保護対象データの値:Ｎ、認証子生成に使用した保護対象データの値:Ｎ+1
※Ｎは任意の値を設定する。</t>
    <phoneticPr fontId="1"/>
  </si>
  <si>
    <t>M12-2-2</t>
  </si>
  <si>
    <t>M12-2-3</t>
  </si>
  <si>
    <t>M13</t>
  </si>
  <si>
    <t>破棄条件(FV)</t>
    <rPh sb="0" eb="2">
      <t>ハキ</t>
    </rPh>
    <rPh sb="2" eb="4">
      <t>ジョウケン</t>
    </rPh>
    <phoneticPr fontId="1"/>
  </si>
  <si>
    <t>下記の認証子付きメッセージを受信した際に、認証子検証を実施せず、保護対象データ破棄し、フレッシュネス値を保持しないことを確認する。
・トリップカウンタ、リセットカウンタ、メッセージカウンタ：供試品が保持する値(前回値)より小さい</t>
    <rPh sb="0" eb="2">
      <t>カキ</t>
    </rPh>
    <rPh sb="32" eb="34">
      <t>ホゴ</t>
    </rPh>
    <rPh sb="34" eb="36">
      <t>タイショウ</t>
    </rPh>
    <rPh sb="50" eb="51">
      <t>アタイ</t>
    </rPh>
    <rPh sb="52" eb="54">
      <t>ホジ</t>
    </rPh>
    <rPh sb="60" eb="62">
      <t>カクニン</t>
    </rPh>
    <rPh sb="95" eb="98">
      <t>キョウシヒン</t>
    </rPh>
    <rPh sb="99" eb="101">
      <t>ホジ</t>
    </rPh>
    <rPh sb="103" eb="104">
      <t>アタイ</t>
    </rPh>
    <rPh sb="105" eb="107">
      <t>ゼンカイ</t>
    </rPh>
    <rPh sb="107" eb="108">
      <t>アタイ</t>
    </rPh>
    <rPh sb="111" eb="112">
      <t>チイ</t>
    </rPh>
    <phoneticPr fontId="1"/>
  </si>
  <si>
    <t>試験対象は、認証子付きメッセージとする。
■合否判定
① 下記の条件の認証子付きメッセージの保護データを全て破棄すること。
- "要求仕様書"の【要求事項：FVSLV10】に示す「最新値+X &lt; 前回受信値」のケース
※Xは送受信間のリセットカウンタのずれを表し、"-2"～"2"の全ての値を設定する。
② ①において、下記を満たすこと。
- アプリケーションにID、検証NGを通知する。
- 認証子付きメッセージのフレッシュネス値を保持しない。</t>
    <rPh sb="46" eb="48">
      <t>ホゴ</t>
    </rPh>
    <rPh sb="197" eb="199">
      <t>ニンショウ</t>
    </rPh>
    <rPh sb="199" eb="200">
      <t>シ</t>
    </rPh>
    <rPh sb="200" eb="201">
      <t>ツ</t>
    </rPh>
    <rPh sb="215" eb="216">
      <t>アタイ</t>
    </rPh>
    <rPh sb="217" eb="219">
      <t>ホジ</t>
    </rPh>
    <phoneticPr fontId="1"/>
  </si>
  <si>
    <t>①-1下記の条件の認証子付きメッセージの保護データを全て破棄すること。
- "要求仕様書"の【要求事項：FVSLV10】に示す「最新値+0 &lt; 前回受信値」のケース</t>
    <phoneticPr fontId="1"/>
  </si>
  <si>
    <t>M13-1-2</t>
  </si>
  <si>
    <t>M13-1-3</t>
  </si>
  <si>
    <t>①-2下記の条件の認証子付きメッセージの保護データを全て破棄すること。
- "要求仕様書"の【要求事項：FVSLV10】に示す「最新値+1 &lt; 前回受信値」のケース</t>
    <phoneticPr fontId="1"/>
  </si>
  <si>
    <t>M13-2-2</t>
  </si>
  <si>
    <t>② ①-2において、下記を満たすこと。</t>
    <phoneticPr fontId="1"/>
  </si>
  <si>
    <t>M13-2-3</t>
  </si>
  <si>
    <t>①-3下記の条件の認証子付きメッセージの保護データを全て破棄すること。
- "要求仕様書"の【要求事項：FVSLV10】に示す「最新値-1 &lt; 前回受信値」のケース</t>
    <phoneticPr fontId="1"/>
  </si>
  <si>
    <t>M13-3-2</t>
  </si>
  <si>
    <t>M13-3-3</t>
  </si>
  <si>
    <t>①-4下記の条件の認証子付きメッセージの保護データを全て破棄すること。
- "要求仕様書"の【要求事項：FVSLV10】に示す「最新値+2 &lt; 前回受信値」のケース</t>
    <phoneticPr fontId="1"/>
  </si>
  <si>
    <t>M13-4-2</t>
  </si>
  <si>
    <t>M13-4-3</t>
  </si>
  <si>
    <t>①-5下記の条件の認証子付きメッセージの保護データを全て破棄すること。
- "要求仕様書"の【要求事項：FVSLV10】に示す「最新値-2 &lt; 前回受信値」のケース</t>
    <phoneticPr fontId="1"/>
  </si>
  <si>
    <t>M13-5-2</t>
  </si>
  <si>
    <t>M13-5-3</t>
  </si>
  <si>
    <t>M14</t>
  </si>
  <si>
    <t>メッセージカウンタの初期値が0(CAN-ID毎の前回受信値が0)であることを確認する。</t>
    <phoneticPr fontId="1"/>
  </si>
  <si>
    <t>M14-1-1</t>
    <phoneticPr fontId="1"/>
  </si>
  <si>
    <t>① トリップカウンタ、リセットカウンタが初期値の状態で、下記の条件の認証子付きメッセージを受信した場合、アプリケーションに検証OKを通知し、フレッシュネス値を保持すること。
- 保護対象データ：任意
- メッセージカウンタ：１
- 送信認証子：トリップカウンタ、リセットカウンタの初期値と上記の値を用いて生成された値</t>
    <phoneticPr fontId="1"/>
  </si>
  <si>
    <t>M15</t>
  </si>
  <si>
    <t>① 認証子付きメッセージを一定時間（供試品が保持するメッセージカウンタが最大値になるまで）計測した後に、下記の条件の認証子付きメッセージの保護対象データを受理すること。
- メッセージカウンタ：最大値</t>
    <rPh sb="69" eb="71">
      <t>ホゴ</t>
    </rPh>
    <rPh sb="71" eb="73">
      <t>タイショウ</t>
    </rPh>
    <rPh sb="77" eb="79">
      <t>ジュリ</t>
    </rPh>
    <phoneticPr fontId="1"/>
  </si>
  <si>
    <t>M15-1-2</t>
  </si>
  <si>
    <t>上記①において、アプリケーションに検証OKを通知すること。</t>
    <rPh sb="0" eb="2">
      <t>ジョウキ</t>
    </rPh>
    <phoneticPr fontId="1"/>
  </si>
  <si>
    <t>M15-1-3</t>
  </si>
  <si>
    <t>③ ①において、メッセージカウンタが最大値に達した際に、メッセージカウンタが最大値に達したことをアプリケーションに通知すること。</t>
    <phoneticPr fontId="1"/>
  </si>
  <si>
    <t>②-1 供試品が保持するメッセージカウンタが"最大値"の場合、下記の条件の認証子付きメッセージを破棄すること。
- メッセージカウンタ：最大値-1</t>
    <phoneticPr fontId="1"/>
  </si>
  <si>
    <t>上記②-1において、アプリケーションにID、検証NGを通知すること。</t>
    <rPh sb="0" eb="2">
      <t>ジョウキ</t>
    </rPh>
    <rPh sb="22" eb="24">
      <t>ケンショウ</t>
    </rPh>
    <rPh sb="27" eb="29">
      <t>ツウチ</t>
    </rPh>
    <phoneticPr fontId="1"/>
  </si>
  <si>
    <t>②-２ 供試品が保持するメッセージカウンタが"最大値"の場合、下記の条件の認証子付きメッセージを破棄すること。
- メッセージカウンタ：初期値</t>
    <rPh sb="68" eb="71">
      <t>ショキチ</t>
    </rPh>
    <phoneticPr fontId="1"/>
  </si>
  <si>
    <t>上記②-2において、アプリケーションにID、検証NGを通知すること。</t>
    <rPh sb="0" eb="2">
      <t>ジョウキ</t>
    </rPh>
    <rPh sb="22" eb="24">
      <t>ケンショウ</t>
    </rPh>
    <rPh sb="27" eb="29">
      <t>ツウチ</t>
    </rPh>
    <phoneticPr fontId="1"/>
  </si>
  <si>
    <t>M16</t>
  </si>
  <si>
    <t>① 供試品が保持するリセットカウンタが最大値の場合、下記の条件の認証子付きメッセージを受信した際に、保護対象データを受理すること。
- メッセージカウンタ：最大値</t>
    <phoneticPr fontId="1"/>
  </si>
  <si>
    <t>M16-1-2</t>
  </si>
  <si>
    <t>M16-1-3</t>
  </si>
  <si>
    <t>上記①において、フレッシュネス値を保持すること。</t>
    <rPh sb="0" eb="2">
      <t>ジョウキ</t>
    </rPh>
    <rPh sb="15" eb="16">
      <t>アタイ</t>
    </rPh>
    <rPh sb="17" eb="19">
      <t>ホジ</t>
    </rPh>
    <phoneticPr fontId="1"/>
  </si>
  <si>
    <t>②-1 供試品が保持するリセットカウンタが最大値の場合、下記の条件の認証子付きメッセージを受信した際に、保護対象データを破棄すること。
- メッセージカウンタ：最大値-1</t>
    <phoneticPr fontId="1"/>
  </si>
  <si>
    <t>M16-2-2</t>
  </si>
  <si>
    <t>M16-2-3</t>
  </si>
  <si>
    <t>上記②-1において、フレッシュネス値を保持しないこと。</t>
    <rPh sb="0" eb="2">
      <t>ジョウキ</t>
    </rPh>
    <rPh sb="17" eb="18">
      <t>アタイ</t>
    </rPh>
    <rPh sb="19" eb="21">
      <t>ホジ</t>
    </rPh>
    <phoneticPr fontId="1"/>
  </si>
  <si>
    <t>②-2 供試品が保持するリセットカウンタが最大値の場合、下記の条件の認証子付きメッセージを受信した際に、保護対象データを破棄すること。
- メッセージカウンタ：初期値</t>
    <phoneticPr fontId="1"/>
  </si>
  <si>
    <t>M16-3-2</t>
  </si>
  <si>
    <t>M16-3-3</t>
  </si>
  <si>
    <t>上記②-2において、フレッシュネス値を保持しないこと。</t>
    <rPh sb="0" eb="2">
      <t>ジョウキ</t>
    </rPh>
    <rPh sb="17" eb="18">
      <t>アタイ</t>
    </rPh>
    <rPh sb="19" eb="21">
      <t>ホジ</t>
    </rPh>
    <phoneticPr fontId="1"/>
  </si>
  <si>
    <t>M17</t>
  </si>
  <si>
    <t>検証NGの記録・通知</t>
    <rPh sb="0" eb="2">
      <t>ケンショウ</t>
    </rPh>
    <rPh sb="5" eb="7">
      <t>キロク</t>
    </rPh>
    <rPh sb="8" eb="10">
      <t>ツウチ</t>
    </rPh>
    <phoneticPr fontId="1"/>
  </si>
  <si>
    <t>検証NG通知を受け取った回数をカウントすることを確認する。</t>
    <rPh sb="0" eb="2">
      <t>ケンショウ</t>
    </rPh>
    <rPh sb="4" eb="6">
      <t>ツウチ</t>
    </rPh>
    <rPh sb="7" eb="8">
      <t>ウ</t>
    </rPh>
    <rPh sb="9" eb="10">
      <t>ト</t>
    </rPh>
    <rPh sb="12" eb="14">
      <t>カイスウ</t>
    </rPh>
    <rPh sb="24" eb="26">
      <t>カクニン</t>
    </rPh>
    <phoneticPr fontId="1"/>
  </si>
  <si>
    <t>M17-1-1</t>
    <phoneticPr fontId="1"/>
  </si>
  <si>
    <t>M17-1-2</t>
  </si>
  <si>
    <t>M17-1-3</t>
    <phoneticPr fontId="1"/>
  </si>
  <si>
    <t>M17-1-4</t>
    <phoneticPr fontId="1"/>
  </si>
  <si>
    <t>M17-1-5</t>
  </si>
  <si>
    <t>③受信タイムアウト時間以内に正常受信に復帰した際、認証子付きメッセージの検証NG回数が0になること。</t>
    <phoneticPr fontId="1"/>
  </si>
  <si>
    <t>M18</t>
  </si>
  <si>
    <t>同期メッセージの送信周期が、設計値と一致していることを確認する。</t>
    <phoneticPr fontId="1"/>
  </si>
  <si>
    <t>M18-1-1</t>
    <phoneticPr fontId="1"/>
  </si>
  <si>
    <t>①同期メッセージを&lt;&lt;60秒&gt;&gt;間計測し、ResetCntTxCycle周期（誤差&lt;&lt;±10%&gt;&gt;以内）で送信されていること。</t>
    <phoneticPr fontId="1"/>
  </si>
  <si>
    <t>M19</t>
    <phoneticPr fontId="1"/>
  </si>
  <si>
    <t>初回送信(送信タイミング)</t>
    <rPh sb="0" eb="2">
      <t>ショカイ</t>
    </rPh>
    <rPh sb="2" eb="4">
      <t>ソウシン</t>
    </rPh>
    <rPh sb="5" eb="7">
      <t>ソウシン</t>
    </rPh>
    <phoneticPr fontId="1"/>
  </si>
  <si>
    <t>試験対象は、同期メッセージとする。
■合否判定
①送信停止制御の間は、同期メッセージが送信されていないこと。
②送信停止制御が解除された後に、同期メッセージが送信されていること。</t>
    <phoneticPr fontId="1"/>
  </si>
  <si>
    <t>M19-1-1</t>
    <phoneticPr fontId="1"/>
  </si>
  <si>
    <t>①送信停止制御の間は、同期メッセージが送信されていないこと。</t>
    <phoneticPr fontId="1"/>
  </si>
  <si>
    <t>M19-1-2</t>
  </si>
  <si>
    <t>②送信停止制御が解除された後に、同期メッセージが送信されていること。</t>
    <phoneticPr fontId="1"/>
  </si>
  <si>
    <t>M20</t>
  </si>
  <si>
    <t>送信フレーム(フォーマット)</t>
    <rPh sb="0" eb="2">
      <t>ソウシン</t>
    </rPh>
    <phoneticPr fontId="1"/>
  </si>
  <si>
    <t>同期メッセージのフォーマットが正しいことを確認する。</t>
    <phoneticPr fontId="1"/>
  </si>
  <si>
    <t>M20-1-1</t>
    <phoneticPr fontId="1"/>
  </si>
  <si>
    <t>①同期メッセージを&lt;&lt;60秒&gt;&gt;間計測し、ランダムに抽出した&lt;&lt;10個&gt;&gt;の同期メッセージ全てが下記を満たすこと。
- トリップカウンタ、リセットカウンタ、送信用認証子の位置および値が"要求仕様書"の【FVMSG01】と一致する</t>
    <phoneticPr fontId="1"/>
  </si>
  <si>
    <t>M21</t>
  </si>
  <si>
    <t>初回の通信許可電源ON後のトリップカウンタ・リセットカウンタが初期値であることを確認する。</t>
    <phoneticPr fontId="1"/>
  </si>
  <si>
    <t>① 初回の起動後、１回目に送信された同期メッセージが下記を満たすこと。
- トリップカウンタ値：1
- リセットカウンタ値：1+N
- 送信用認証子：トリップカウンタ、およびリセットカウンタが上記の値がで生成された値
※NはResetCycle時間経過ごとに一つ増加する値を示す。</t>
    <phoneticPr fontId="1"/>
  </si>
  <si>
    <t>M22</t>
  </si>
  <si>
    <t>トリップカウンタ(読み出し異常)</t>
    <rPh sb="9" eb="10">
      <t>ヨ</t>
    </rPh>
    <rPh sb="11" eb="12">
      <t>ダ</t>
    </rPh>
    <rPh sb="13" eb="15">
      <t>イジョウ</t>
    </rPh>
    <phoneticPr fontId="1"/>
  </si>
  <si>
    <t>トリップカウンタの読み出しに失敗した場合は、トリップカウンタおよび、リセットカウンタにALL1データが設定されることを確認する。さらに、その値は不揮発性メモリに保持されないことを確認する。</t>
    <rPh sb="70" eb="71">
      <t>アタイ</t>
    </rPh>
    <rPh sb="72" eb="75">
      <t>フキハツ</t>
    </rPh>
    <rPh sb="75" eb="76">
      <t>セイ</t>
    </rPh>
    <rPh sb="80" eb="82">
      <t>ホジ</t>
    </rPh>
    <rPh sb="89" eb="91">
      <t>カクニン</t>
    </rPh>
    <phoneticPr fontId="1"/>
  </si>
  <si>
    <t>M22-1-1</t>
    <phoneticPr fontId="1"/>
  </si>
  <si>
    <t>M22-2-1</t>
    <phoneticPr fontId="1"/>
  </si>
  <si>
    <t>M23</t>
  </si>
  <si>
    <t>トリップカウンタ(増加)</t>
    <rPh sb="9" eb="11">
      <t>ゾウカ</t>
    </rPh>
    <phoneticPr fontId="1"/>
  </si>
  <si>
    <t>M23-1-1</t>
    <phoneticPr fontId="1"/>
  </si>
  <si>
    <t>M23-2-1</t>
    <phoneticPr fontId="1"/>
  </si>
  <si>
    <t>M23-3-1</t>
    <phoneticPr fontId="1"/>
  </si>
  <si>
    <t>M24</t>
  </si>
  <si>
    <t>トリップカウンタが最大値の状態で、トリップカウンタ増加条件発生後に送信される同期メッセージ内のトリップカウンタが初期値であることを確認する。</t>
    <phoneticPr fontId="1"/>
  </si>
  <si>
    <t>試験対象は、同期メッセージとする。
■合否判定
①同期メッセージ内のトリップカウンタが"最大値-1"の状態で、さらに増加条件を発生させた場合、同期メッセージのトリップカウンタが"初期値"でないこと("最大値"であること)
②同期メッセージ内のトリップカウンタが"最大値"の状態で、さらに増加条件を発生させた場合、同期メッセージのトリップカウンタが"初期値"であること</t>
    <phoneticPr fontId="1"/>
  </si>
  <si>
    <t>M24-1-1</t>
    <phoneticPr fontId="1"/>
  </si>
  <si>
    <t>M24-1-2</t>
    <phoneticPr fontId="1"/>
  </si>
  <si>
    <t>②同期メッセージ内のトリップカウンタが"最大値"の状態で、さらに増加条件を発生させた場合、同期メッセージのトリップカウンタが"初期値"であること</t>
  </si>
  <si>
    <t>M25</t>
  </si>
  <si>
    <t>リセットカウンタ(初期値)</t>
    <rPh sb="9" eb="12">
      <t>ショキチ</t>
    </rPh>
    <phoneticPr fontId="1"/>
  </si>
  <si>
    <t>トリップカウンタ増加後、同期メッセージ内のリセットカウンタが初期値であることを確認する。</t>
    <phoneticPr fontId="1"/>
  </si>
  <si>
    <t>M25-1-1</t>
    <phoneticPr fontId="1"/>
  </si>
  <si>
    <t>①同期メッセージを&lt;&lt;60秒&gt;&gt;間計測し、トリップカウンタ増加前後のそれぞれ&lt;&lt;10個&gt;&gt;の同期メッセージ全てが下記を満たすこと。
- ResetCycle経過毎にリセットカウンタが1増加している。
- トリップカウンタ増加後はリセットカウンタが初期値となった後、ResetCycle経過ごとリセットカウンタが1増加している。</t>
    <phoneticPr fontId="1"/>
  </si>
  <si>
    <t>M26</t>
  </si>
  <si>
    <t>リセットカウンタ(増加)</t>
    <rPh sb="9" eb="11">
      <t>ゾウカ</t>
    </rPh>
    <phoneticPr fontId="1"/>
  </si>
  <si>
    <t>ResetCycle経過ごとに、リセットカウンタが１増加することを確認する。</t>
    <phoneticPr fontId="1"/>
  </si>
  <si>
    <t>・試験中はトリップカウンタ増加条件を発生させない</t>
    <phoneticPr fontId="1"/>
  </si>
  <si>
    <t>M26-1-1</t>
    <phoneticPr fontId="1"/>
  </si>
  <si>
    <t>①同期メッセージを&lt;&lt;60秒&gt;&gt;間計測し、ランダムに抽出した&lt;&lt;10個&gt;&gt;の同期メッセージ全てが下記を満たすこと。
- ResetCycle経過毎にリセットカウンタが1増加している。</t>
    <phoneticPr fontId="1"/>
  </si>
  <si>
    <t>M27</t>
  </si>
  <si>
    <t>リセットカウンタが最大値の場合、リセットカウンタを最大値で固定して、同期メッセージの送信を継続することを確認する。</t>
    <phoneticPr fontId="1"/>
  </si>
  <si>
    <t>M27-1-1</t>
    <phoneticPr fontId="1"/>
  </si>
  <si>
    <t>①同期メッセージを&lt;&lt;60秒&gt;&gt;間計測し、リセットカウンタ最大値に達する前後のそれぞれ&lt;&lt;10個&gt;&gt;の同期メッセージ全てが下記を満たすこと。
- 同期メッセージ内のリセットカウンタが"最大値未満"の場合、ResetCycle経過ごとにリセットカウンタが1増加している。
- 同期メッセージ内のリセットカウンタが"最大値"の場合、以降の同期メッセージもリセットカウンタが"最大値"のままである。</t>
    <phoneticPr fontId="1"/>
  </si>
  <si>
    <t>M28</t>
  </si>
  <si>
    <t>下記の同期メッセージを受信した際に、フレッシュネス値を保持することを確認する。
・トリップカウンタ/リセットカウンタ：供試品が保持する値(最新値)より大きい
・送信用認証子：正常</t>
    <rPh sb="11" eb="13">
      <t>ジュシン</t>
    </rPh>
    <rPh sb="15" eb="16">
      <t>サイ</t>
    </rPh>
    <rPh sb="25" eb="26">
      <t>アタイ</t>
    </rPh>
    <rPh sb="27" eb="29">
      <t>ホジ</t>
    </rPh>
    <rPh sb="34" eb="36">
      <t>カクニン</t>
    </rPh>
    <rPh sb="59" eb="61">
      <t>キョウシ</t>
    </rPh>
    <rPh sb="61" eb="62">
      <t>ヒン</t>
    </rPh>
    <rPh sb="63" eb="65">
      <t>ホジ</t>
    </rPh>
    <rPh sb="67" eb="68">
      <t>アタイ</t>
    </rPh>
    <rPh sb="69" eb="71">
      <t>サイシン</t>
    </rPh>
    <rPh sb="71" eb="72">
      <t>アタイ</t>
    </rPh>
    <rPh sb="75" eb="76">
      <t>オオ</t>
    </rPh>
    <phoneticPr fontId="1"/>
  </si>
  <si>
    <t>試験対象は同期メッセージとする。
■合否判定
①下記の②～⑦は、供試品が保持する値が"初期値の場合"と"初期値以外(任意)の場合"の2通りを確認すること。
②供試品が保持する値と比べて、トリップカウンタが1増加した、認証子の正しい同期メッセージのフレッシュネス値を保持すること。
③供試品が保持する値と比べて、トリップカウンタが2増加した、認証子の正しい同期メッセージのフレッシュネス値を保持すること。
④トリップカウンタが"最大値"の、認証子の正しい同期メッセージのフレッシュネス値を保持すること。
⑤供試品が保持する値と比べて、リセットカウンタが1増加した、認証子の正しい同期メッセージのフレッシュネス値を保持すること。
⑥供試品が保持する値と比べて、リセットカウンタが2増加した、認証子の正しい同期メッセージのフレッシュネス値を保持すること。
⑦リセットカウンタが"最大値"の、認証子の正しい同期メッセージのフレッシュネス値を保持すること。</t>
    <rPh sb="130" eb="131">
      <t>アタイ</t>
    </rPh>
    <rPh sb="132" eb="134">
      <t>ホジ</t>
    </rPh>
    <phoneticPr fontId="1"/>
  </si>
  <si>
    <t>M28-1-1</t>
    <phoneticPr fontId="1"/>
  </si>
  <si>
    <t>M28-1-2</t>
  </si>
  <si>
    <t>M28-2-1</t>
    <phoneticPr fontId="1"/>
  </si>
  <si>
    <t>M28-2-2</t>
  </si>
  <si>
    <t>M28-3-1</t>
    <phoneticPr fontId="1"/>
  </si>
  <si>
    <t>M28-3-2</t>
  </si>
  <si>
    <t>M28-4-1</t>
    <phoneticPr fontId="1"/>
  </si>
  <si>
    <t>M28-4-2</t>
    <phoneticPr fontId="1"/>
  </si>
  <si>
    <t>M28-5-1</t>
    <phoneticPr fontId="1"/>
  </si>
  <si>
    <t>M28-5-2</t>
  </si>
  <si>
    <t>M28-6-1</t>
    <phoneticPr fontId="1"/>
  </si>
  <si>
    <t>M28-6-2</t>
  </si>
  <si>
    <t>M28-7-1</t>
    <phoneticPr fontId="1"/>
  </si>
  <si>
    <t>M28-7-2</t>
  </si>
  <si>
    <t>M28-8-1</t>
    <phoneticPr fontId="1"/>
  </si>
  <si>
    <t>M28-8-2</t>
  </si>
  <si>
    <t>M28-9-1</t>
    <phoneticPr fontId="1"/>
  </si>
  <si>
    <t>M28-9-2</t>
  </si>
  <si>
    <t>M28-10-1</t>
    <phoneticPr fontId="1"/>
  </si>
  <si>
    <t>M28-10-2</t>
  </si>
  <si>
    <t>M28-11-1</t>
    <phoneticPr fontId="1"/>
  </si>
  <si>
    <t>M28-11-2</t>
  </si>
  <si>
    <t>M28-12-1</t>
    <phoneticPr fontId="1"/>
  </si>
  <si>
    <t>M28-12-2</t>
  </si>
  <si>
    <t>M29</t>
  </si>
  <si>
    <t>・MAC鍵：試作鍵</t>
    <phoneticPr fontId="1"/>
  </si>
  <si>
    <t>試験対象は同期メッセージとする。
■合否判定
①下記の同期メッセージのフレッシュネス値を保持すること。
- トリップカウンタ・リセットカウンタ：供試品が保持する値より大きい
- 送信用認証子：異常
②下記の同期メッセージのフレッシュネス値を保持しないこと。
- トリップカウンタ・リセットカウンタ：供試品が保持する値より小さい
- 送信用認証子：異常
③①②において、アプリケーションにID、検証NGを通知すること。</t>
    <rPh sb="24" eb="26">
      <t>カキ</t>
    </rPh>
    <rPh sb="27" eb="29">
      <t>ドウキ</t>
    </rPh>
    <rPh sb="42" eb="43">
      <t>アタイ</t>
    </rPh>
    <rPh sb="44" eb="46">
      <t>ホジ</t>
    </rPh>
    <rPh sb="72" eb="74">
      <t>キョウシ</t>
    </rPh>
    <rPh sb="74" eb="75">
      <t>ヒン</t>
    </rPh>
    <rPh sb="76" eb="78">
      <t>ホジ</t>
    </rPh>
    <rPh sb="80" eb="81">
      <t>アタイ</t>
    </rPh>
    <rPh sb="83" eb="84">
      <t>オオ</t>
    </rPh>
    <rPh sb="89" eb="91">
      <t>ソウシン</t>
    </rPh>
    <rPh sb="91" eb="92">
      <t>ヨウ</t>
    </rPh>
    <rPh sb="92" eb="94">
      <t>ニンショウ</t>
    </rPh>
    <rPh sb="94" eb="95">
      <t>シ</t>
    </rPh>
    <rPh sb="96" eb="98">
      <t>イジョウ</t>
    </rPh>
    <rPh sb="100" eb="102">
      <t>カキ</t>
    </rPh>
    <rPh sb="103" eb="105">
      <t>ドウキ</t>
    </rPh>
    <rPh sb="118" eb="119">
      <t>アタイ</t>
    </rPh>
    <rPh sb="120" eb="122">
      <t>ホジ</t>
    </rPh>
    <rPh sb="160" eb="161">
      <t>チイ</t>
    </rPh>
    <rPh sb="196" eb="198">
      <t>ケンショウ</t>
    </rPh>
    <rPh sb="201" eb="203">
      <t>ツウチ</t>
    </rPh>
    <phoneticPr fontId="1"/>
  </si>
  <si>
    <t>M29-1-1</t>
    <phoneticPr fontId="1"/>
  </si>
  <si>
    <t>①下記の同期メッセージのフレッシュネス値を保持すること。
- トリップカウンタ・リセットカウンタ：供試品が保持する値より大きい
- 送信用認証子：異常</t>
    <phoneticPr fontId="1"/>
  </si>
  <si>
    <t>M29-1-2</t>
  </si>
  <si>
    <t>M29-1-3</t>
  </si>
  <si>
    <t>③①において、アプリケーションにID、検証NGを通知すること。</t>
    <rPh sb="19" eb="21">
      <t>ケンショウ</t>
    </rPh>
    <rPh sb="24" eb="26">
      <t>ツウチ</t>
    </rPh>
    <phoneticPr fontId="1"/>
  </si>
  <si>
    <t>M29-1-4</t>
  </si>
  <si>
    <t>M29-2-1</t>
    <phoneticPr fontId="1"/>
  </si>
  <si>
    <t>M29-2-2</t>
  </si>
  <si>
    <t>M29-2-3</t>
  </si>
  <si>
    <t>③②において、アプリケーションにID、検証NGを通知すること。</t>
    <rPh sb="19" eb="21">
      <t>ケンショウ</t>
    </rPh>
    <rPh sb="24" eb="26">
      <t>ツウチ</t>
    </rPh>
    <phoneticPr fontId="1"/>
  </si>
  <si>
    <t>M29-2-4</t>
  </si>
  <si>
    <t>M30</t>
  </si>
  <si>
    <t>下記の同期メッセージを受信した際に、フレッシュネス値を保持せず、検証NG時の処理も実施しないことを確認する。
・トリップカウンタ/リセットカウンタ：供試品が保持する値(最新値)と等しい
・送信用認証子：正常</t>
    <rPh sb="0" eb="2">
      <t>カキ</t>
    </rPh>
    <rPh sb="3" eb="5">
      <t>ドウキ</t>
    </rPh>
    <rPh sb="11" eb="13">
      <t>ジュシン</t>
    </rPh>
    <rPh sb="15" eb="16">
      <t>サイ</t>
    </rPh>
    <rPh sb="25" eb="26">
      <t>アタイ</t>
    </rPh>
    <rPh sb="27" eb="29">
      <t>ホジ</t>
    </rPh>
    <rPh sb="32" eb="34">
      <t>ケンショウ</t>
    </rPh>
    <rPh sb="36" eb="37">
      <t>ジ</t>
    </rPh>
    <rPh sb="38" eb="40">
      <t>ショリ</t>
    </rPh>
    <rPh sb="41" eb="43">
      <t>ジッシ</t>
    </rPh>
    <rPh sb="49" eb="51">
      <t>カクニン</t>
    </rPh>
    <rPh sb="74" eb="77">
      <t>キョウシヒン</t>
    </rPh>
    <rPh sb="78" eb="80">
      <t>ホジ</t>
    </rPh>
    <rPh sb="82" eb="83">
      <t>アタイ</t>
    </rPh>
    <rPh sb="84" eb="86">
      <t>サイシン</t>
    </rPh>
    <rPh sb="86" eb="87">
      <t>アタイ</t>
    </rPh>
    <rPh sb="89" eb="90">
      <t>ヒト</t>
    </rPh>
    <rPh sb="94" eb="96">
      <t>ソウシン</t>
    </rPh>
    <rPh sb="96" eb="97">
      <t>ヨウ</t>
    </rPh>
    <rPh sb="97" eb="99">
      <t>ニンショウ</t>
    </rPh>
    <rPh sb="99" eb="100">
      <t>シ</t>
    </rPh>
    <rPh sb="101" eb="103">
      <t>セイジョウ</t>
    </rPh>
    <phoneticPr fontId="1"/>
  </si>
  <si>
    <t>試験対象は同期メッセージとする。
■合否判定
①トリップカウンタおよびリセットカウンタが、供試品が保持する値と等しい、認証子の正しい同期メッセージを受信した際、フレッシュネス値が変化せず、アプリケーションに検証NGを通知しないこと。</t>
    <rPh sb="45" eb="48">
      <t>キョウシヒン</t>
    </rPh>
    <rPh sb="49" eb="51">
      <t>ホジ</t>
    </rPh>
    <rPh sb="53" eb="54">
      <t>アタイ</t>
    </rPh>
    <rPh sb="55" eb="56">
      <t>ヒト</t>
    </rPh>
    <rPh sb="59" eb="61">
      <t>ニンショウ</t>
    </rPh>
    <rPh sb="61" eb="62">
      <t>シ</t>
    </rPh>
    <rPh sb="63" eb="64">
      <t>タダ</t>
    </rPh>
    <rPh sb="66" eb="68">
      <t>ドウキ</t>
    </rPh>
    <rPh sb="74" eb="76">
      <t>ジュシン</t>
    </rPh>
    <rPh sb="78" eb="79">
      <t>サイ</t>
    </rPh>
    <rPh sb="87" eb="88">
      <t>アタイ</t>
    </rPh>
    <rPh sb="89" eb="91">
      <t>ヘンカ</t>
    </rPh>
    <rPh sb="103" eb="105">
      <t>ケンショウ</t>
    </rPh>
    <rPh sb="108" eb="110">
      <t>ツウチ</t>
    </rPh>
    <phoneticPr fontId="1"/>
  </si>
  <si>
    <t>M30-1-1</t>
    <phoneticPr fontId="1"/>
  </si>
  <si>
    <t>①トリップカウンタおよびリセットカウンタが、供試品が保持する値と等しい、認証子の正しい同期メッセージを受信した際、フレッシュネス値が変化しないこと。</t>
    <phoneticPr fontId="1"/>
  </si>
  <si>
    <t>M30-1-2</t>
  </si>
  <si>
    <t>M30-1-3</t>
  </si>
  <si>
    <t>上記①において、アプリケーションに検証NGを通知しないこと。</t>
    <rPh sb="0" eb="2">
      <t>ジョウキ</t>
    </rPh>
    <rPh sb="17" eb="19">
      <t>ケンショウ</t>
    </rPh>
    <rPh sb="22" eb="24">
      <t>ツウチ</t>
    </rPh>
    <phoneticPr fontId="1"/>
  </si>
  <si>
    <t>M30-1-4</t>
  </si>
  <si>
    <t>M31</t>
  </si>
  <si>
    <t>下記の同期メッセージを受信した際に、フレッシュネス値を保持しないことを確認する。
・トリップカウンタ/リセットカウンタ：供試品が保持する値(最新値)より小さい
・送信用認証子：正常</t>
    <rPh sb="35" eb="37">
      <t>カクニン</t>
    </rPh>
    <rPh sb="76" eb="77">
      <t>チイ</t>
    </rPh>
    <phoneticPr fontId="1"/>
  </si>
  <si>
    <t>試験対象は同期メッセージとする。
■合否判定
①下記の②③④は供試品が保持するトリップカウンタ値が"最大値-ClearAcceptanceWindow未満（任意）の場合"で確認すること。
②供試品が保持する値と比べて、トリップカウンタが1減少している、認証子の正しい同期メッセージのフレッシュネス値を保持しないこと。
③供試品が保持する値と比べて、トリップカウンタが2減少している、認証子の正しい同期メッセージのフレッシュネス値を保持しないこと。
④トリップカウンタが"初期値"の、認証子の正しい同期メッセージのフレッシュネス値を保持しないこと。
⑤下記の⑥～⑨は、供試品が保持するリセットカウンタ値が"最大値の場合"と"最大値未満(任意)の場合"の2通りで確認すること。
⑥供試品が保持する値と比べて、リセットカウンタが1減少している、認証子の正しい同期メッセージのフレッシュネス値を保持しないこと。
⑦供試品が保持する値と比べて、リセットカウンタが2減少している、認証子の正しい同期メッセージのフレッシュネス値を保持しないこと。
⑧リセットカウンタが"初期値"の、認証子の正しい同期メッセージのフレッシュネス値を保持しないこと。
⑨②～④、⑥～⑧において、下記を満たすこと。
- アプリケーションにID、認証NGを通知する。</t>
    <rPh sb="148" eb="149">
      <t>アタイ</t>
    </rPh>
    <rPh sb="150" eb="152">
      <t>ホジ</t>
    </rPh>
    <rPh sb="530" eb="532">
      <t>カキ</t>
    </rPh>
    <rPh sb="533" eb="534">
      <t>ミ</t>
    </rPh>
    <phoneticPr fontId="1"/>
  </si>
  <si>
    <t>M31-1-1</t>
    <phoneticPr fontId="1"/>
  </si>
  <si>
    <t>②供試品が保持する値と比べて、トリップカウンタが1減少している、認証子の正しい同期メッセージのフレッシュネス値を保持しないこと。
供試品が保持するトリップカウンタ値が"最大値-ClearAcceptanceWindow未満（任意）の場合"で確認する。</t>
    <phoneticPr fontId="1"/>
  </si>
  <si>
    <t>M31-1-2</t>
  </si>
  <si>
    <t>M31-1-3</t>
  </si>
  <si>
    <t>⑨②において、下記を満たすこと。
- アプリケーションにID、認証NGを通知する。</t>
    <rPh sb="7" eb="9">
      <t>カキ</t>
    </rPh>
    <rPh sb="10" eb="11">
      <t>ミ</t>
    </rPh>
    <phoneticPr fontId="1"/>
  </si>
  <si>
    <t>M31-1-4</t>
  </si>
  <si>
    <t>M31-2-1</t>
    <phoneticPr fontId="1"/>
  </si>
  <si>
    <t>③供試品が保持する値と比べて、トリップカウンタが2減少している、認証子の正しい同期メッセージのフレッシュネス値を保持しないこと。
供試品が保持するトリップカウンタ値が"最大値-ClearAcceptanceWindow未満（任意）の場合"で確認する。</t>
    <phoneticPr fontId="1"/>
  </si>
  <si>
    <t>M31-2-2</t>
  </si>
  <si>
    <t>M31-2-3</t>
  </si>
  <si>
    <t>M31-2-4</t>
  </si>
  <si>
    <t>M31-3-1</t>
    <phoneticPr fontId="1"/>
  </si>
  <si>
    <t>④トリップカウンタが"初期値"の、認証子の正しい同期メッセージのフレッシュネス値を保持しないこと。
供試品が保持するトリップカウンタ値が"最大値-ClearAcceptanceWindow未満（任意）の場合"で確認する。</t>
    <phoneticPr fontId="1"/>
  </si>
  <si>
    <t>M31-3-2</t>
  </si>
  <si>
    <t>M31-3-3</t>
  </si>
  <si>
    <t>M31-3-4</t>
  </si>
  <si>
    <t>M31-4-1</t>
    <phoneticPr fontId="1"/>
  </si>
  <si>
    <t>⑥供試品が保持する値と比べて、リセットカウンタが1減少している、認証子の正しい同期メッセージのフレッシュネス値を保持しないこと。
供試品が保持するリセットカウンタ値が最大値の場合</t>
    <phoneticPr fontId="1"/>
  </si>
  <si>
    <t>M31-4-2</t>
  </si>
  <si>
    <t>M31-4-3</t>
  </si>
  <si>
    <t>M31-4-4</t>
  </si>
  <si>
    <t>M31-5-1</t>
    <phoneticPr fontId="1"/>
  </si>
  <si>
    <t>⑦供試品が保持する値と比べて、リセットカウンタが2減少している、認証子の正しい同期メッセージのフレッシュネス値を保持しないこと。
供試品が保持するリセットカウンタ値が最大値の場合</t>
    <phoneticPr fontId="1"/>
  </si>
  <si>
    <t>M31-5-2</t>
  </si>
  <si>
    <t>M31-5-3</t>
  </si>
  <si>
    <t>M31-5-4</t>
  </si>
  <si>
    <t>M31-6-1</t>
    <phoneticPr fontId="1"/>
  </si>
  <si>
    <t>⑧リセットカウンタが"初期値"の、認証子の正しい同期メッセージのフレッシュネス値を保持しないこと。
供試品が保持するリセットカウンタ値が最大値の場合</t>
    <phoneticPr fontId="1"/>
  </si>
  <si>
    <t>M31-6-2</t>
  </si>
  <si>
    <t>M31-6-3</t>
  </si>
  <si>
    <t>M31-6-4</t>
  </si>
  <si>
    <t>M31-7-1</t>
    <phoneticPr fontId="1"/>
  </si>
  <si>
    <t>⑥供試品が保持する値と比べて、リセットカウンタが1減少している、認証子の正しい同期メッセージのフレッシュネス値を保持しないこと。
供試品が保持するリセットカウンタ値が最大値未満の場合</t>
    <rPh sb="86" eb="88">
      <t>ミマン</t>
    </rPh>
    <phoneticPr fontId="1"/>
  </si>
  <si>
    <t>M31-7-2</t>
  </si>
  <si>
    <t>M31-7-3</t>
  </si>
  <si>
    <t>M31-7-4</t>
  </si>
  <si>
    <t>M31-8-1</t>
    <phoneticPr fontId="1"/>
  </si>
  <si>
    <t>M31-8-2</t>
  </si>
  <si>
    <t>M31-8-3</t>
  </si>
  <si>
    <t>M31-8-4</t>
  </si>
  <si>
    <t>M31-9-1</t>
    <phoneticPr fontId="1"/>
  </si>
  <si>
    <t>M31-9-2</t>
  </si>
  <si>
    <t>M31-9-3</t>
  </si>
  <si>
    <t>M31-9-4</t>
  </si>
  <si>
    <t>M32</t>
  </si>
  <si>
    <t>下記の同期メッセージを受信した際に、フレッシュネス値を保持しないことを確認する。
・トリップカウンタ/リセットカウンタ：供試品が保持する値(最新値)より大きい
・送信用認証子：異常</t>
    <rPh sb="60" eb="63">
      <t>キョウシヒン</t>
    </rPh>
    <rPh sb="64" eb="66">
      <t>ホジ</t>
    </rPh>
    <rPh sb="68" eb="69">
      <t>アタイ</t>
    </rPh>
    <rPh sb="70" eb="72">
      <t>サイシン</t>
    </rPh>
    <rPh sb="72" eb="73">
      <t>アタイ</t>
    </rPh>
    <rPh sb="76" eb="77">
      <t>オオ</t>
    </rPh>
    <phoneticPr fontId="1"/>
  </si>
  <si>
    <t>試験対象は同期メッセージとする。
■合否判定
①下記の同期メッセージのフレッシュネス値を保持しないこと。
- 同期メッセージ内のトリップカウンタ値：N、認証子生成に使用したトリップカウンタ値：N-1。
- 同期メッセージ内のトリップカウンタ値：N、認証子生成に使用したトリップカウンタ値：N+1。
- 同期メッセージ内のリセットカウンタ値：M、認証子生成に使用したリセットカウンタ値：M-1。
- 同期メッセージ内のリセットカウンタ値：M、認証子生成に使用したリセットカウンタ値：M+1。
※N, Mは、供試品が保持する値より大きい値を設定すること。
②①において、下記を満たすこと。
- 検証回数は1回（再検証はしない）。
- アプリケーションにID、認証NGを通知する。</t>
    <rPh sb="42" eb="43">
      <t>アタイ</t>
    </rPh>
    <rPh sb="44" eb="46">
      <t>ホジ</t>
    </rPh>
    <phoneticPr fontId="1"/>
  </si>
  <si>
    <t>M32-1-1</t>
    <phoneticPr fontId="1"/>
  </si>
  <si>
    <t>M32-1-2</t>
  </si>
  <si>
    <t>M32-1-3</t>
  </si>
  <si>
    <t>M32-1-4</t>
  </si>
  <si>
    <t>M32-1-5</t>
  </si>
  <si>
    <t>M32-1-6</t>
  </si>
  <si>
    <t>M32-2-1</t>
    <phoneticPr fontId="1"/>
  </si>
  <si>
    <t>M32-2-2</t>
  </si>
  <si>
    <t>M32-2-3</t>
  </si>
  <si>
    <t>M32-2-4</t>
  </si>
  <si>
    <t>M32-2-5</t>
  </si>
  <si>
    <t>M32-2-6</t>
  </si>
  <si>
    <t>M32-3-1</t>
    <phoneticPr fontId="1"/>
  </si>
  <si>
    <t>M32-3-2</t>
  </si>
  <si>
    <t>M32-3-3</t>
  </si>
  <si>
    <t>M32-3-4</t>
  </si>
  <si>
    <t>M32-3-5</t>
  </si>
  <si>
    <t>M32-3-6</t>
  </si>
  <si>
    <t>M32-4-1</t>
    <phoneticPr fontId="1"/>
  </si>
  <si>
    <t>①-4下記の同期メッセージのフレッシュネス値を保持しないこと。
- 同期メッセージ内のリセットカウンタ値：M、認証子生成に使用したリセットカウンタ値：M+1。
※Mは、供試品が保持する値より大きい値を設定すること。</t>
    <phoneticPr fontId="1"/>
  </si>
  <si>
    <t>M32-4-2</t>
  </si>
  <si>
    <t>M32-4-3</t>
  </si>
  <si>
    <t>M32-4-4</t>
  </si>
  <si>
    <t>M32-4-5</t>
  </si>
  <si>
    <t>M32-4-6</t>
  </si>
  <si>
    <t>M33</t>
  </si>
  <si>
    <t>破棄条件(起動直後)</t>
    <rPh sb="0" eb="2">
      <t>ハキ</t>
    </rPh>
    <rPh sb="2" eb="4">
      <t>ジョウケン</t>
    </rPh>
    <rPh sb="5" eb="7">
      <t>キドウ</t>
    </rPh>
    <rPh sb="7" eb="9">
      <t>チョクゴ</t>
    </rPh>
    <phoneticPr fontId="1"/>
  </si>
  <si>
    <t>M33-1-1</t>
    <phoneticPr fontId="1"/>
  </si>
  <si>
    <t>M33-1-2</t>
  </si>
  <si>
    <t>M33-1-3</t>
  </si>
  <si>
    <t>M33-1-4</t>
  </si>
  <si>
    <t>M34</t>
  </si>
  <si>
    <t>M34-1-1</t>
    <phoneticPr fontId="1"/>
  </si>
  <si>
    <t>M34-1-2</t>
  </si>
  <si>
    <t>M34-1-3</t>
  </si>
  <si>
    <t>上記①の場合、アプリケーションに検証OKを通知すること。</t>
    <rPh sb="0" eb="2">
      <t>ジョウキ</t>
    </rPh>
    <rPh sb="4" eb="6">
      <t>バアイ</t>
    </rPh>
    <rPh sb="16" eb="18">
      <t>ケンショウ</t>
    </rPh>
    <rPh sb="21" eb="23">
      <t>ツウチ</t>
    </rPh>
    <phoneticPr fontId="1"/>
  </si>
  <si>
    <t>M34-1-4</t>
  </si>
  <si>
    <t>M34-2-1</t>
    <phoneticPr fontId="1"/>
  </si>
  <si>
    <t>M34-2-2</t>
  </si>
  <si>
    <t>M34-2-3</t>
  </si>
  <si>
    <t>上記②の場合、アプリケーションに検証OKを通知すること。</t>
    <rPh sb="0" eb="2">
      <t>ジョウキ</t>
    </rPh>
    <rPh sb="4" eb="6">
      <t>バアイ</t>
    </rPh>
    <rPh sb="16" eb="18">
      <t>ケンショウ</t>
    </rPh>
    <rPh sb="21" eb="23">
      <t>ツウチ</t>
    </rPh>
    <phoneticPr fontId="1"/>
  </si>
  <si>
    <t>M34-2-4</t>
  </si>
  <si>
    <t>M34-3-1</t>
    <phoneticPr fontId="1"/>
  </si>
  <si>
    <t>M34-3-2</t>
  </si>
  <si>
    <t>M34-3-3</t>
  </si>
  <si>
    <t>上記③の場合、アプリケーションに検証OKを通知すること。</t>
    <rPh sb="0" eb="2">
      <t>ジョウキ</t>
    </rPh>
    <rPh sb="4" eb="6">
      <t>バアイ</t>
    </rPh>
    <rPh sb="16" eb="18">
      <t>ケンショウ</t>
    </rPh>
    <rPh sb="21" eb="23">
      <t>ツウチ</t>
    </rPh>
    <phoneticPr fontId="1"/>
  </si>
  <si>
    <t>M34-3-4</t>
  </si>
  <si>
    <t>M34-4-1</t>
    <phoneticPr fontId="1"/>
  </si>
  <si>
    <t>M34-4-2</t>
  </si>
  <si>
    <t>M34-4-3</t>
  </si>
  <si>
    <t>上記④の場合、アプリケーションに検証NGを通知しないこと。</t>
    <rPh sb="0" eb="2">
      <t>ジョウキ</t>
    </rPh>
    <rPh sb="4" eb="6">
      <t>バアイ</t>
    </rPh>
    <rPh sb="16" eb="18">
      <t>ケンショウ</t>
    </rPh>
    <rPh sb="21" eb="23">
      <t>ツウチ</t>
    </rPh>
    <phoneticPr fontId="1"/>
  </si>
  <si>
    <t>M34-4-4</t>
  </si>
  <si>
    <t>M34-5-1</t>
    <phoneticPr fontId="1"/>
  </si>
  <si>
    <t>M34-5-2</t>
  </si>
  <si>
    <t>M34-5-3</t>
  </si>
  <si>
    <t>上記⑤の場合、アプリケーションに検証OKを通知すること。</t>
    <rPh sb="0" eb="2">
      <t>ジョウキ</t>
    </rPh>
    <rPh sb="4" eb="6">
      <t>バアイ</t>
    </rPh>
    <rPh sb="16" eb="18">
      <t>ケンショウ</t>
    </rPh>
    <rPh sb="21" eb="23">
      <t>ツウチ</t>
    </rPh>
    <phoneticPr fontId="1"/>
  </si>
  <si>
    <t>M34-5-4</t>
  </si>
  <si>
    <t>M34-6-1</t>
    <phoneticPr fontId="1"/>
  </si>
  <si>
    <t>M34-6-2</t>
  </si>
  <si>
    <t>M34-6-3</t>
  </si>
  <si>
    <t>上記⑥の場合、アプリケーションに検証OKを通知すること。</t>
    <rPh sb="0" eb="2">
      <t>ジョウキ</t>
    </rPh>
    <rPh sb="4" eb="6">
      <t>バアイ</t>
    </rPh>
    <rPh sb="16" eb="18">
      <t>ケンショウ</t>
    </rPh>
    <rPh sb="21" eb="23">
      <t>ツウチ</t>
    </rPh>
    <phoneticPr fontId="1"/>
  </si>
  <si>
    <t>M34-6-4</t>
  </si>
  <si>
    <t>M34-7-1</t>
    <phoneticPr fontId="1"/>
  </si>
  <si>
    <t>M34-7-2</t>
  </si>
  <si>
    <t>M34-7-3</t>
  </si>
  <si>
    <t>上記⑦の場合、アプリケーションに検証OKを通知すること。</t>
    <rPh sb="0" eb="2">
      <t>ジョウキ</t>
    </rPh>
    <rPh sb="4" eb="6">
      <t>バアイ</t>
    </rPh>
    <rPh sb="16" eb="18">
      <t>ケンショウ</t>
    </rPh>
    <rPh sb="21" eb="23">
      <t>ツウチ</t>
    </rPh>
    <phoneticPr fontId="1"/>
  </si>
  <si>
    <t>M34-7-4</t>
  </si>
  <si>
    <t>M35</t>
  </si>
  <si>
    <t>M35-1-1</t>
    <phoneticPr fontId="1"/>
  </si>
  <si>
    <t>M35-1-2</t>
  </si>
  <si>
    <t>M35-1-3</t>
  </si>
  <si>
    <t>上記①-1の場合、アプリケーションに検証OKを通知すること。</t>
    <rPh sb="0" eb="2">
      <t>ジョウキ</t>
    </rPh>
    <rPh sb="6" eb="8">
      <t>バアイ</t>
    </rPh>
    <rPh sb="18" eb="20">
      <t>ケンショウ</t>
    </rPh>
    <rPh sb="23" eb="25">
      <t>ツウチ</t>
    </rPh>
    <phoneticPr fontId="1"/>
  </si>
  <si>
    <t>M35-1-4</t>
  </si>
  <si>
    <t>M35-2-1</t>
    <phoneticPr fontId="1"/>
  </si>
  <si>
    <t>M35-2-2</t>
  </si>
  <si>
    <t>M35-2-3</t>
  </si>
  <si>
    <t>上記①-2の場合、アプリケーションに検証OKを通知すること。</t>
    <rPh sb="0" eb="2">
      <t>ジョウキ</t>
    </rPh>
    <rPh sb="6" eb="8">
      <t>バアイ</t>
    </rPh>
    <rPh sb="18" eb="20">
      <t>ケンショウ</t>
    </rPh>
    <rPh sb="23" eb="25">
      <t>ツウチ</t>
    </rPh>
    <phoneticPr fontId="1"/>
  </si>
  <si>
    <t>M35-2-4</t>
  </si>
  <si>
    <t>M35-3-1</t>
    <phoneticPr fontId="1"/>
  </si>
  <si>
    <t>M35-3-2</t>
  </si>
  <si>
    <t>M35-3-3</t>
  </si>
  <si>
    <t>M35-3-4</t>
  </si>
  <si>
    <t>M35-4-1</t>
    <phoneticPr fontId="1"/>
  </si>
  <si>
    <t>M35-4-2</t>
  </si>
  <si>
    <t>M35-4-3</t>
  </si>
  <si>
    <t>上記③-1の場合、アプリケーションに検証OKを通知すること。</t>
    <rPh sb="0" eb="2">
      <t>ジョウキ</t>
    </rPh>
    <rPh sb="6" eb="8">
      <t>バアイ</t>
    </rPh>
    <rPh sb="18" eb="20">
      <t>ケンショウ</t>
    </rPh>
    <rPh sb="23" eb="25">
      <t>ツウチ</t>
    </rPh>
    <phoneticPr fontId="1"/>
  </si>
  <si>
    <t>M35-4-4</t>
  </si>
  <si>
    <t>M35-5-1</t>
    <phoneticPr fontId="1"/>
  </si>
  <si>
    <t>M35-5-2</t>
  </si>
  <si>
    <t>M35-5-3</t>
  </si>
  <si>
    <t>上記③-2の場合、アプリケーションに検証OKを通知すること。</t>
    <rPh sb="0" eb="2">
      <t>ジョウキ</t>
    </rPh>
    <rPh sb="6" eb="8">
      <t>バアイ</t>
    </rPh>
    <rPh sb="18" eb="20">
      <t>ケンショウ</t>
    </rPh>
    <rPh sb="23" eb="25">
      <t>ツウチ</t>
    </rPh>
    <phoneticPr fontId="1"/>
  </si>
  <si>
    <t>M35-5-4</t>
  </si>
  <si>
    <t>M35-6-1</t>
    <phoneticPr fontId="1"/>
  </si>
  <si>
    <t>M35-6-2</t>
  </si>
  <si>
    <t>M35-6-3</t>
  </si>
  <si>
    <t>上記④の場合、アプリケーションに検証NGを通知すること。</t>
    <rPh sb="0" eb="2">
      <t>ジョウキ</t>
    </rPh>
    <rPh sb="4" eb="6">
      <t>バアイ</t>
    </rPh>
    <rPh sb="16" eb="18">
      <t>ケンショウ</t>
    </rPh>
    <rPh sb="21" eb="23">
      <t>ツウチ</t>
    </rPh>
    <phoneticPr fontId="1"/>
  </si>
  <si>
    <t>M35-6-4</t>
  </si>
  <si>
    <t>M35-7-1</t>
    <phoneticPr fontId="1"/>
  </si>
  <si>
    <t>M35-7-2</t>
  </si>
  <si>
    <t>M35-7-3</t>
  </si>
  <si>
    <t>上記⑤-1の場合、アプリケーションにID、検証NGを通知すること。</t>
    <rPh sb="0" eb="2">
      <t>ジョウキ</t>
    </rPh>
    <rPh sb="6" eb="8">
      <t>バアイ</t>
    </rPh>
    <rPh sb="21" eb="23">
      <t>ケンショウ</t>
    </rPh>
    <rPh sb="26" eb="28">
      <t>ツウチ</t>
    </rPh>
    <phoneticPr fontId="1"/>
  </si>
  <si>
    <t>M35-7-4</t>
  </si>
  <si>
    <t>M35-8-1</t>
    <phoneticPr fontId="1"/>
  </si>
  <si>
    <t>M35-8-2</t>
  </si>
  <si>
    <t>M35-8-3</t>
  </si>
  <si>
    <t>上記⑤-2の場合、アプリケーションにID、検証NGを通知すること。</t>
    <rPh sb="0" eb="2">
      <t>ジョウキ</t>
    </rPh>
    <rPh sb="6" eb="8">
      <t>バアイ</t>
    </rPh>
    <rPh sb="21" eb="23">
      <t>ケンショウ</t>
    </rPh>
    <rPh sb="26" eb="28">
      <t>ツウチ</t>
    </rPh>
    <phoneticPr fontId="1"/>
  </si>
  <si>
    <t>M35-8-4</t>
  </si>
  <si>
    <t>M35-9-1</t>
    <phoneticPr fontId="1"/>
  </si>
  <si>
    <t>M35-9-2</t>
  </si>
  <si>
    <t>M35-9-3</t>
  </si>
  <si>
    <t>上記⑤-3の場合、アプリケーションにID、検証NGを通知すること。</t>
    <rPh sb="0" eb="2">
      <t>ジョウキ</t>
    </rPh>
    <rPh sb="6" eb="8">
      <t>バアイ</t>
    </rPh>
    <rPh sb="21" eb="23">
      <t>ケンショウ</t>
    </rPh>
    <rPh sb="26" eb="28">
      <t>ツウチ</t>
    </rPh>
    <phoneticPr fontId="1"/>
  </si>
  <si>
    <t>M35-9-4</t>
  </si>
  <si>
    <t>M36</t>
  </si>
  <si>
    <t>M36-1-1</t>
    <phoneticPr fontId="1"/>
  </si>
  <si>
    <t>M36-1-2</t>
  </si>
  <si>
    <t>M36-1-3</t>
  </si>
  <si>
    <t>M36-1-4</t>
  </si>
  <si>
    <t>M36-1-5</t>
  </si>
  <si>
    <t>③FV減少した同期メッセージを検証NGとして破棄した際に、同期メッセージの検証NG回数の値が1増加すること。</t>
  </si>
  <si>
    <t>M36-1-6</t>
  </si>
  <si>
    <t>M36-1-7</t>
  </si>
  <si>
    <t>M36-1-8</t>
  </si>
  <si>
    <t>M36-1-9</t>
  </si>
  <si>
    <t>M36-1-10</t>
  </si>
  <si>
    <t>M36-1-11</t>
  </si>
  <si>
    <t>M36-1-12</t>
  </si>
  <si>
    <t>M36-1-13</t>
  </si>
  <si>
    <t>M36-1-14</t>
  </si>
  <si>
    <t>M36-2-2</t>
  </si>
  <si>
    <t>M37</t>
    <phoneticPr fontId="1"/>
  </si>
  <si>
    <t>MAC鍵一致確認</t>
    <rPh sb="3" eb="4">
      <t>カギ</t>
    </rPh>
    <rPh sb="4" eb="6">
      <t>イッチ</t>
    </rPh>
    <rPh sb="6" eb="8">
      <t>カクニン</t>
    </rPh>
    <phoneticPr fontId="1"/>
  </si>
  <si>
    <t>M37-1-1</t>
    <phoneticPr fontId="1"/>
  </si>
  <si>
    <t>M37-1-2</t>
  </si>
  <si>
    <t>M37-2-1</t>
    <phoneticPr fontId="1"/>
  </si>
  <si>
    <t>M37-2-2</t>
  </si>
  <si>
    <t>M37-3-1</t>
    <phoneticPr fontId="1"/>
  </si>
  <si>
    <t>M37-3-2</t>
  </si>
  <si>
    <t>M37-3-3</t>
  </si>
  <si>
    <t>③②において、過去故障(Confirmed)DTC U2400-00をメモリすること。</t>
    <phoneticPr fontId="1"/>
  </si>
  <si>
    <t>M37-3-4</t>
  </si>
  <si>
    <t>M37-4-1</t>
    <phoneticPr fontId="1"/>
  </si>
  <si>
    <t>M37-4-2</t>
  </si>
  <si>
    <t>試験構成
タイプ</t>
    <rPh sb="0" eb="2">
      <t>シケン</t>
    </rPh>
    <rPh sb="2" eb="4">
      <t>コウセイ</t>
    </rPh>
    <phoneticPr fontId="1"/>
  </si>
  <si>
    <t>M9</t>
  </si>
  <si>
    <t>M19</t>
  </si>
  <si>
    <t>M2</t>
    <phoneticPr fontId="1"/>
  </si>
  <si>
    <t>試験対象は、認証子付きメッセージとする。
■合否判定
①認証子付きメッセージを&lt;&lt;60秒&gt;&gt;間計測し、試験対象とするCAN-IDにおいて、ランダムに抽出した&lt;&lt;10個&gt;&gt;の認証子付きメッセージすべてが下記を満たすこと。
- 保護対象データと送信用フレッシュネス値の位置および値、送信用認証子の位置が通信規定と一致する。
- 送信用認証子の値が、"要求仕様書"の【要求事項：MASND06】、【要求事項：MASND07】および【要求事項：MASND08】に一致する。</t>
    <phoneticPr fontId="1"/>
  </si>
  <si>
    <t>M10</t>
    <phoneticPr fontId="1"/>
  </si>
  <si>
    <t>図2-4. 環境構成(TypeD)</t>
    <rPh sb="0" eb="1">
      <t>ズ</t>
    </rPh>
    <rPh sb="6" eb="8">
      <t>カンキョウ</t>
    </rPh>
    <rPh sb="8" eb="10">
      <t>コウセイ</t>
    </rPh>
    <phoneticPr fontId="3"/>
  </si>
  <si>
    <t>詳細手順書(M1～M8)</t>
    <phoneticPr fontId="1"/>
  </si>
  <si>
    <t>詳細手順書(M9～M17)</t>
    <phoneticPr fontId="1"/>
  </si>
  <si>
    <t>詳細手順書(M18～M27)</t>
    <phoneticPr fontId="1"/>
  </si>
  <si>
    <t>詳細手順書(M28～M37)</t>
    <phoneticPr fontId="1"/>
  </si>
  <si>
    <t>TypeD</t>
    <phoneticPr fontId="1"/>
  </si>
  <si>
    <t>VerifyStart時間待つ</t>
    <rPh sb="11" eb="13">
      <t>ジカン</t>
    </rPh>
    <rPh sb="13" eb="14">
      <t>マ</t>
    </rPh>
    <phoneticPr fontId="1"/>
  </si>
  <si>
    <t>WAIT</t>
    <phoneticPr fontId="1"/>
  </si>
  <si>
    <t>10秒待つ</t>
    <rPh sb="2" eb="3">
      <t>ビョウ</t>
    </rPh>
    <rPh sb="3" eb="4">
      <t>マ</t>
    </rPh>
    <phoneticPr fontId="1"/>
  </si>
  <si>
    <t>KeyValueVerifyTime間待つ</t>
    <rPh sb="18" eb="19">
      <t>カン</t>
    </rPh>
    <rPh sb="19" eb="20">
      <t>マ</t>
    </rPh>
    <phoneticPr fontId="1"/>
  </si>
  <si>
    <t>KeyValueVerifyTime時間待機してください。</t>
    <rPh sb="18" eb="20">
      <t>ジカン</t>
    </rPh>
    <rPh sb="20" eb="22">
      <t>タイキ</t>
    </rPh>
    <phoneticPr fontId="1"/>
  </si>
  <si>
    <t>M38</t>
    <phoneticPr fontId="1"/>
  </si>
  <si>
    <t>M38-1-1</t>
    <phoneticPr fontId="1"/>
  </si>
  <si>
    <t>①下記の条件では、認証子付きメッセージが送信されていないこと。
 - 同期メッセージ受信済み*2、送信停止制御中
*2 自身が保持するトリップカウンタおよびリセットカウンタが初期値以外に更新される</t>
    <rPh sb="49" eb="51">
      <t>ソウシン</t>
    </rPh>
    <phoneticPr fontId="1"/>
  </si>
  <si>
    <t>⑤④において、認証子生成に使用されるトリップカウンタ・リセットカウンタは初期値であること。</t>
  </si>
  <si>
    <t>WAIT</t>
    <phoneticPr fontId="1"/>
  </si>
  <si>
    <t>認証子付きメッセージを送信する</t>
    <rPh sb="0" eb="2">
      <t>ニンショウ</t>
    </rPh>
    <rPh sb="2" eb="3">
      <t>シ</t>
    </rPh>
    <rPh sb="3" eb="4">
      <t>ツ</t>
    </rPh>
    <rPh sb="11" eb="13">
      <t>ソウシン</t>
    </rPh>
    <phoneticPr fontId="1"/>
  </si>
  <si>
    <t>SEND_AUTH</t>
    <phoneticPr fontId="1"/>
  </si>
  <si>
    <t>ADD</t>
    <phoneticPr fontId="1"/>
  </si>
  <si>
    <t>送信データ設定</t>
    <rPh sb="0" eb="2">
      <t>ソウシン</t>
    </rPh>
    <rPh sb="5" eb="7">
      <t>セッテイ</t>
    </rPh>
    <phoneticPr fontId="1"/>
  </si>
  <si>
    <t>M39</t>
    <phoneticPr fontId="1"/>
  </si>
  <si>
    <t>認証子付きメッセージ(送信処理)</t>
    <phoneticPr fontId="1"/>
  </si>
  <si>
    <t>初回送信(送信条件)</t>
    <phoneticPr fontId="1"/>
  </si>
  <si>
    <t>施行回数は&lt;&lt;10回&gt;&gt;とする</t>
    <phoneticPr fontId="1"/>
  </si>
  <si>
    <t>M40</t>
    <phoneticPr fontId="1"/>
  </si>
  <si>
    <t>M40-1-1</t>
    <phoneticPr fontId="1"/>
  </si>
  <si>
    <t>M41</t>
    <phoneticPr fontId="1"/>
  </si>
  <si>
    <t>M41-1-1</t>
    <phoneticPr fontId="1"/>
  </si>
  <si>
    <t>M42</t>
    <phoneticPr fontId="1"/>
  </si>
  <si>
    <t>トリップカウンタまたはリセットカウンタが増加した同期メッセージを送信した際に、メッセージカウンタが初期化されることを確認する。</t>
    <rPh sb="32" eb="34">
      <t>ソウシン</t>
    </rPh>
    <phoneticPr fontId="1"/>
  </si>
  <si>
    <t>M43</t>
    <phoneticPr fontId="1"/>
  </si>
  <si>
    <t>M44</t>
    <phoneticPr fontId="1"/>
  </si>
  <si>
    <t>M44-1-3</t>
  </si>
  <si>
    <t>M45</t>
    <phoneticPr fontId="1"/>
  </si>
  <si>
    <t>M46</t>
    <phoneticPr fontId="1"/>
  </si>
  <si>
    <t>M46-1-2</t>
  </si>
  <si>
    <t>M46-1-3</t>
  </si>
  <si>
    <t>M46-2-2</t>
  </si>
  <si>
    <t>M46-2-3</t>
  </si>
  <si>
    <t>M46-3-2</t>
  </si>
  <si>
    <t>M46-3-3</t>
  </si>
  <si>
    <t>M46-4-2</t>
  </si>
  <si>
    <t>M46-4-3</t>
  </si>
  <si>
    <t>M46-5-2</t>
  </si>
  <si>
    <t>M46-5-3</t>
  </si>
  <si>
    <t>M46-6-2</t>
  </si>
  <si>
    <t>M46-6-3</t>
  </si>
  <si>
    <t>M46-7-2</t>
  </si>
  <si>
    <t>M46-7-3</t>
  </si>
  <si>
    <t>M46-8-2</t>
  </si>
  <si>
    <t>M46-8-3</t>
  </si>
  <si>
    <t>M46-9-2</t>
  </si>
  <si>
    <t>M46-9-3</t>
  </si>
  <si>
    <t>M46-10-2</t>
  </si>
  <si>
    <t>M46-10-3</t>
  </si>
  <si>
    <t>M46-11-2</t>
  </si>
  <si>
    <t>M46-11-3</t>
  </si>
  <si>
    <t>M46-12-2</t>
  </si>
  <si>
    <t>M46-12-3</t>
  </si>
  <si>
    <t>M46-13-2</t>
  </si>
  <si>
    <t>M46-13-3</t>
  </si>
  <si>
    <t>M46-14-2</t>
  </si>
  <si>
    <t>M46-14-3</t>
  </si>
  <si>
    <t>M46-15-2</t>
  </si>
  <si>
    <t>M46-15-3</t>
  </si>
  <si>
    <t>M47</t>
    <phoneticPr fontId="1"/>
  </si>
  <si>
    <t>認証子付きメッセージ(受信処理)</t>
    <phoneticPr fontId="1"/>
  </si>
  <si>
    <t>受理条件(起動直後)</t>
    <phoneticPr fontId="1"/>
  </si>
  <si>
    <t>M48</t>
    <phoneticPr fontId="1"/>
  </si>
  <si>
    <t>M48-1-1</t>
    <phoneticPr fontId="1"/>
  </si>
  <si>
    <t>①認証子が異常な認証子付きメッセージを受信した場合、認証子付きメッセージの保護対象データを受理すること。</t>
  </si>
  <si>
    <t>M48-1-2</t>
  </si>
  <si>
    <t>M48-1-3</t>
  </si>
  <si>
    <t>M49</t>
    <phoneticPr fontId="1"/>
  </si>
  <si>
    <t>M49-1-2</t>
  </si>
  <si>
    <t>M49-1-3</t>
  </si>
  <si>
    <t>M49-2-2</t>
  </si>
  <si>
    <t>M49-2-3</t>
  </si>
  <si>
    <t>M50</t>
    <phoneticPr fontId="1"/>
  </si>
  <si>
    <t>M50-1-2</t>
  </si>
  <si>
    <t>M50-1-3</t>
  </si>
  <si>
    <t>M50-2-2</t>
  </si>
  <si>
    <t>M50-2-3</t>
  </si>
  <si>
    <t>M50-3-2</t>
  </si>
  <si>
    <t>M50-3-3</t>
  </si>
  <si>
    <t>M50-4-2</t>
  </si>
  <si>
    <t>M50-4-3</t>
  </si>
  <si>
    <t>M50-5-2</t>
  </si>
  <si>
    <t>M50-5-3</t>
  </si>
  <si>
    <t>M51</t>
    <phoneticPr fontId="1"/>
  </si>
  <si>
    <t>M51-1-1</t>
    <phoneticPr fontId="1"/>
  </si>
  <si>
    <t>M52</t>
    <phoneticPr fontId="1"/>
  </si>
  <si>
    <t>M52-1-2</t>
  </si>
  <si>
    <t>M52-1-3</t>
  </si>
  <si>
    <t>M52-1-5</t>
  </si>
  <si>
    <t>M53</t>
    <phoneticPr fontId="1"/>
  </si>
  <si>
    <t>M53-1-2</t>
  </si>
  <si>
    <t>M53-1-3</t>
  </si>
  <si>
    <t>M53-2-2</t>
  </si>
  <si>
    <t>M53-2-3</t>
  </si>
  <si>
    <t>M53-3-2</t>
  </si>
  <si>
    <t>M53-3-3</t>
  </si>
  <si>
    <t>M54</t>
    <phoneticPr fontId="1"/>
  </si>
  <si>
    <t>M54-1-1</t>
    <phoneticPr fontId="1"/>
  </si>
  <si>
    <t>M54-1-2</t>
  </si>
  <si>
    <t>M54-1-3</t>
  </si>
  <si>
    <t>M54-1-4</t>
    <phoneticPr fontId="1"/>
  </si>
  <si>
    <t>M54-1-5</t>
  </si>
  <si>
    <t>①下記の条件では、認証子付きメッセージが送信されていないこと。
 - 送信停止制御中</t>
    <phoneticPr fontId="1"/>
  </si>
  <si>
    <t>M47-1-2</t>
  </si>
  <si>
    <t>M47-1-3</t>
  </si>
  <si>
    <t>M47-2-2</t>
  </si>
  <si>
    <t>M47-2-3</t>
  </si>
  <si>
    <t>M47-3-2</t>
  </si>
  <si>
    <t>M47-3-3</t>
  </si>
  <si>
    <t>M47-4-2</t>
  </si>
  <si>
    <t>M47-4-3</t>
  </si>
  <si>
    <t>M47-5-2</t>
  </si>
  <si>
    <t>M47-5-3</t>
  </si>
  <si>
    <t>M47-6-2</t>
  </si>
  <si>
    <t>M47-6-3</t>
  </si>
  <si>
    <t>M47-7-2</t>
  </si>
  <si>
    <t>M47-7-3</t>
  </si>
  <si>
    <t>M55</t>
    <phoneticPr fontId="1"/>
  </si>
  <si>
    <t>同期メッセージ(受信処理)</t>
    <rPh sb="0" eb="2">
      <t>ドウキ</t>
    </rPh>
    <rPh sb="8" eb="10">
      <t>ジュシン</t>
    </rPh>
    <rPh sb="10" eb="12">
      <t>ショリ</t>
    </rPh>
    <phoneticPr fontId="1"/>
  </si>
  <si>
    <t>MAC鍵一致確認</t>
    <rPh sb="3" eb="4">
      <t>カギ</t>
    </rPh>
    <rPh sb="4" eb="6">
      <t>イッチ</t>
    </rPh>
    <rPh sb="6" eb="8">
      <t>カクニン</t>
    </rPh>
    <phoneticPr fontId="1"/>
  </si>
  <si>
    <t>試験対象は、同期メッセージとする。
■合否判定
①過去故障(Confirmed)DTC U2400-00をメモリしないこと。</t>
    <phoneticPr fontId="1"/>
  </si>
  <si>
    <t>①過去故障(Confirmed)DTC U2400-00をメモリしないこと。</t>
    <phoneticPr fontId="1"/>
  </si>
  <si>
    <t>M55-1-1</t>
    <phoneticPr fontId="1"/>
  </si>
  <si>
    <t>M55-1-2</t>
    <phoneticPr fontId="1"/>
  </si>
  <si>
    <t>・IG-ONからの経過時間：KeyValueVerifyTime以上</t>
    <rPh sb="32" eb="34">
      <t>イジョウ</t>
    </rPh>
    <phoneticPr fontId="1"/>
  </si>
  <si>
    <t>試験項目
MAZDA認証評価規定の合否判定を以下項目に分けて、合否判定を実施する。</t>
    <rPh sb="0" eb="2">
      <t>シケン</t>
    </rPh>
    <rPh sb="2" eb="4">
      <t>コウモク</t>
    </rPh>
    <phoneticPr fontId="1"/>
  </si>
  <si>
    <t>デバッグサポート</t>
    <phoneticPr fontId="1"/>
  </si>
  <si>
    <t>-</t>
    <phoneticPr fontId="1"/>
  </si>
  <si>
    <t>あり</t>
    <phoneticPr fontId="1"/>
  </si>
  <si>
    <t>×</t>
    <phoneticPr fontId="1"/>
  </si>
  <si>
    <t>M2-2-1A</t>
    <phoneticPr fontId="1"/>
  </si>
  <si>
    <t>M2-2-1B</t>
    <phoneticPr fontId="1"/>
  </si>
  <si>
    <t>M2-3-1A</t>
    <phoneticPr fontId="1"/>
  </si>
  <si>
    <t>M2-3-1B</t>
    <phoneticPr fontId="1"/>
  </si>
  <si>
    <t>VerifyStart = 1020ms</t>
    <phoneticPr fontId="1"/>
  </si>
  <si>
    <t>M2-3-2A</t>
    <phoneticPr fontId="1"/>
  </si>
  <si>
    <t>M2-4-1A</t>
    <phoneticPr fontId="1"/>
  </si>
  <si>
    <t>M2-3-2B</t>
    <phoneticPr fontId="1"/>
  </si>
  <si>
    <t>M2-4-1B</t>
    <phoneticPr fontId="1"/>
  </si>
  <si>
    <t>M2-4-2A</t>
    <phoneticPr fontId="1"/>
  </si>
  <si>
    <t>M2-4-2B</t>
    <phoneticPr fontId="1"/>
  </si>
  <si>
    <t>M2-5-1A</t>
    <phoneticPr fontId="1"/>
  </si>
  <si>
    <t>M2-5-1B</t>
    <phoneticPr fontId="1"/>
  </si>
  <si>
    <t>M2-6-1A</t>
    <phoneticPr fontId="1"/>
  </si>
  <si>
    <t>M2-6-1B</t>
    <phoneticPr fontId="1"/>
  </si>
  <si>
    <t>M2-7-1A</t>
    <phoneticPr fontId="1"/>
  </si>
  <si>
    <t>M2-7-1B</t>
    <phoneticPr fontId="1"/>
  </si>
  <si>
    <t>M2-8-1A</t>
    <phoneticPr fontId="1"/>
  </si>
  <si>
    <t>M2-8-1B</t>
    <phoneticPr fontId="1"/>
  </si>
  <si>
    <t>カウンタの下位ビットの正しさのみ確認可能。</t>
    <phoneticPr fontId="1"/>
  </si>
  <si>
    <t>M5-1-1A</t>
    <phoneticPr fontId="1"/>
  </si>
  <si>
    <t>M5-1-1B</t>
    <phoneticPr fontId="1"/>
  </si>
  <si>
    <t>M5-1-2A</t>
    <phoneticPr fontId="1"/>
  </si>
  <si>
    <t>M5-1-2B</t>
    <phoneticPr fontId="1"/>
  </si>
  <si>
    <t>M5-2-1A</t>
    <phoneticPr fontId="1"/>
  </si>
  <si>
    <t>M5-2-1B</t>
    <phoneticPr fontId="1"/>
  </si>
  <si>
    <t>M5-2-2A</t>
    <phoneticPr fontId="1"/>
  </si>
  <si>
    <t>M5-2-2B</t>
    <phoneticPr fontId="1"/>
  </si>
  <si>
    <t>M6-1-1A</t>
    <phoneticPr fontId="1"/>
  </si>
  <si>
    <t>M6-1-1B</t>
    <phoneticPr fontId="1"/>
  </si>
  <si>
    <t>M6-1-2A</t>
    <phoneticPr fontId="1"/>
  </si>
  <si>
    <t>M6-1-2B</t>
    <phoneticPr fontId="1"/>
  </si>
  <si>
    <t>M7-1-1A</t>
    <phoneticPr fontId="1"/>
  </si>
  <si>
    <t>M7-1-1B</t>
    <phoneticPr fontId="1"/>
  </si>
  <si>
    <t>M7-1-2A</t>
    <phoneticPr fontId="1"/>
  </si>
  <si>
    <t>M7-1-2B</t>
    <phoneticPr fontId="1"/>
  </si>
  <si>
    <t>・施行回数は&lt;&lt;10回&gt;&gt;とする
・VerifyStart = 1020ms</t>
    <rPh sb="1" eb="3">
      <t>シコウ</t>
    </rPh>
    <rPh sb="3" eb="5">
      <t>カイスウ</t>
    </rPh>
    <rPh sb="10" eb="11">
      <t>カイ</t>
    </rPh>
    <phoneticPr fontId="1"/>
  </si>
  <si>
    <t>M10-1-1A</t>
    <phoneticPr fontId="1"/>
  </si>
  <si>
    <t>M10-1-1B</t>
    <phoneticPr fontId="1"/>
  </si>
  <si>
    <t>M10-2-1A</t>
    <phoneticPr fontId="1"/>
  </si>
  <si>
    <t>M10-2-1B</t>
    <phoneticPr fontId="1"/>
  </si>
  <si>
    <t>M10-3-1A</t>
    <phoneticPr fontId="1"/>
  </si>
  <si>
    <t>M10-3-1B</t>
    <phoneticPr fontId="1"/>
  </si>
  <si>
    <t>M10-4-1A</t>
    <phoneticPr fontId="1"/>
  </si>
  <si>
    <t>M10-4-1B</t>
    <phoneticPr fontId="1"/>
  </si>
  <si>
    <t>M10-5-1A</t>
    <phoneticPr fontId="1"/>
  </si>
  <si>
    <t>M10-5-1B</t>
    <phoneticPr fontId="1"/>
  </si>
  <si>
    <t>M10-6-1A</t>
    <phoneticPr fontId="1"/>
  </si>
  <si>
    <t>M10-6-1B</t>
    <phoneticPr fontId="1"/>
  </si>
  <si>
    <t>M10-7-1A</t>
    <phoneticPr fontId="1"/>
  </si>
  <si>
    <t>M10-7-1B</t>
    <phoneticPr fontId="1"/>
  </si>
  <si>
    <t>M10-8-1A</t>
    <phoneticPr fontId="1"/>
  </si>
  <si>
    <t>M10-8-1B</t>
    <phoneticPr fontId="1"/>
  </si>
  <si>
    <t>M10-9-1A</t>
    <phoneticPr fontId="1"/>
  </si>
  <si>
    <t>M10-9-1B</t>
    <phoneticPr fontId="1"/>
  </si>
  <si>
    <t>M10-10-1A</t>
    <phoneticPr fontId="1"/>
  </si>
  <si>
    <t>M10-10-1B</t>
    <phoneticPr fontId="1"/>
  </si>
  <si>
    <t>M10-11-1A</t>
    <phoneticPr fontId="1"/>
  </si>
  <si>
    <t>M10-11-1B</t>
    <phoneticPr fontId="1"/>
  </si>
  <si>
    <t>M10-12-1A</t>
    <phoneticPr fontId="1"/>
  </si>
  <si>
    <t>M10-12-1B</t>
    <phoneticPr fontId="1"/>
  </si>
  <si>
    <t>M21-1-1A</t>
    <phoneticPr fontId="1"/>
  </si>
  <si>
    <t>M21-1-1B</t>
    <phoneticPr fontId="1"/>
  </si>
  <si>
    <t>厳密な時間による判断が可能。</t>
    <rPh sb="0" eb="2">
      <t>ゲンミツ</t>
    </rPh>
    <rPh sb="3" eb="5">
      <t>ジカン</t>
    </rPh>
    <rPh sb="8" eb="10">
      <t>ハンダン</t>
    </rPh>
    <rPh sb="11" eb="13">
      <t>カノウ</t>
    </rPh>
    <phoneticPr fontId="1"/>
  </si>
  <si>
    <t>ResetCycle = 300ms</t>
    <phoneticPr fontId="1"/>
  </si>
  <si>
    <t>リセットカウンタ値（初期値+ResetCycle経過分）は１として確認するまでとなる。</t>
    <phoneticPr fontId="1"/>
  </si>
  <si>
    <t>ResetCntTxCycle = 100ms</t>
    <phoneticPr fontId="1"/>
  </si>
  <si>
    <t>ClearAcceptanceWindow = 15</t>
    <phoneticPr fontId="1"/>
  </si>
  <si>
    <t>KeyValueVerifyTime = 3100ms</t>
    <phoneticPr fontId="1"/>
  </si>
  <si>
    <t>M35</t>
    <phoneticPr fontId="1"/>
  </si>
  <si>
    <t>④下記の条件では、認証子付きメッセージが送信されること。(メッセージカウンタが1開始)
- 同期メッセージ受信*2→ECUリセット→送信停止解除後
*2 自身が保持するトリップカウンタおよびリセットカウンタが初期値以外に更新される</t>
    <phoneticPr fontId="1"/>
  </si>
  <si>
    <t>○</t>
    <phoneticPr fontId="1"/>
  </si>
  <si>
    <t>M23-1-2</t>
  </si>
  <si>
    <t>M23-2-2</t>
  </si>
  <si>
    <t>M23-3-2</t>
  </si>
  <si>
    <t>削除</t>
    <rPh sb="0" eb="2">
      <t>サクジョ</t>
    </rPh>
    <phoneticPr fontId="1"/>
  </si>
  <si>
    <t>①下記の条件では、認証子付きメッセージが送信されていないこと。
 - 同期メッセージ未受信*1、送信停止制御中
*1 自身が保持するトリップカウンタまたはリセットカウンタが初期値の状態</t>
    <phoneticPr fontId="1"/>
  </si>
  <si>
    <t>②-3 供試品が保持するメッセージカウンタが"最大値"の場合、下記の条件の認証子付きメッセージを破棄すること。
- メッセージカウンタ：最大値-N</t>
    <rPh sb="68" eb="71">
      <t>サイダイチ</t>
    </rPh>
    <phoneticPr fontId="1"/>
  </si>
  <si>
    <t>上記②-3において、アプリケーションにID、検証NGを通知すること。</t>
    <rPh sb="0" eb="2">
      <t>ジョウキ</t>
    </rPh>
    <rPh sb="22" eb="24">
      <t>ケンショウ</t>
    </rPh>
    <rPh sb="27" eb="29">
      <t>ツウチ</t>
    </rPh>
    <phoneticPr fontId="1"/>
  </si>
  <si>
    <t>②①を確認後の次回起動時にトリップカウンタの読み出しに成功した後、１回目に送信された同期メッセージが下記を満たすこと。
- トリップカウンタ：不揮発性メモリから読み出した値(フェールセーフ値ではない※2) + 1
- リセットカウンタ：1+N
- 送信用認証子：トリップカウンタ、およびリセットカウンタが上記の値で生成された値
※1NはResetCycle時間経過ごとに一つ増加する値を示す。
※2 フェールセーフ値が不揮発性メモリに記憶されず、次回起動時に、同期メッセージのトリップカウンタに使用しないことを確認する。</t>
    <phoneticPr fontId="1"/>
  </si>
  <si>
    <t>M16-4-2</t>
  </si>
  <si>
    <t>M16-4-3</t>
  </si>
  <si>
    <t>②-3 供試品が保持するリセットカウンタが最大値の場合、下記の条件の認証子付きメッセージを受信した際に、保護対象データを破棄すること。
- メッセージカウンタ：最大値-N</t>
    <rPh sb="80" eb="83">
      <t>サイダイチ</t>
    </rPh>
    <phoneticPr fontId="1"/>
  </si>
  <si>
    <t>M23-4-1</t>
    <phoneticPr fontId="1"/>
  </si>
  <si>
    <t>M23-4-2</t>
    <phoneticPr fontId="1"/>
  </si>
  <si>
    <t>M4-1-2</t>
    <phoneticPr fontId="1"/>
  </si>
  <si>
    <t>M9-1-1A</t>
    <phoneticPr fontId="1"/>
  </si>
  <si>
    <t>M9-1-1B</t>
    <phoneticPr fontId="1"/>
  </si>
  <si>
    <t>ダイアグ読み出しで正常受信/異常受信のみ確認可能。</t>
    <rPh sb="4" eb="5">
      <t>ヨ</t>
    </rPh>
    <rPh sb="6" eb="7">
      <t>ダ</t>
    </rPh>
    <rPh sb="9" eb="11">
      <t>セイジョウ</t>
    </rPh>
    <rPh sb="11" eb="13">
      <t>ジュシン</t>
    </rPh>
    <rPh sb="14" eb="16">
      <t>イジョウ</t>
    </rPh>
    <rPh sb="16" eb="18">
      <t>ジュシン</t>
    </rPh>
    <rPh sb="20" eb="22">
      <t>カクニン</t>
    </rPh>
    <rPh sb="22" eb="24">
      <t>カノウ</t>
    </rPh>
    <phoneticPr fontId="1"/>
  </si>
  <si>
    <t>M9-2-1A</t>
    <phoneticPr fontId="1"/>
  </si>
  <si>
    <t>M9-2-1B</t>
    <phoneticPr fontId="1"/>
  </si>
  <si>
    <t>M9-3-1A</t>
    <phoneticPr fontId="1"/>
  </si>
  <si>
    <t>M9-3-1B</t>
    <phoneticPr fontId="1"/>
  </si>
  <si>
    <t>M9-4-1A</t>
    <phoneticPr fontId="1"/>
  </si>
  <si>
    <t>M9-4-1B</t>
    <phoneticPr fontId="1"/>
  </si>
  <si>
    <t>M9-5-1A</t>
    <phoneticPr fontId="1"/>
  </si>
  <si>
    <t>M9-5-1B</t>
    <phoneticPr fontId="1"/>
  </si>
  <si>
    <t>M9-6-1A</t>
    <phoneticPr fontId="1"/>
  </si>
  <si>
    <t>M9-6-1B</t>
    <phoneticPr fontId="1"/>
  </si>
  <si>
    <t>M9-7-1A</t>
    <phoneticPr fontId="1"/>
  </si>
  <si>
    <t>M9-7-1B</t>
    <phoneticPr fontId="1"/>
  </si>
  <si>
    <t>M9-8-1A</t>
    <phoneticPr fontId="1"/>
  </si>
  <si>
    <t>M9-8-1B</t>
    <phoneticPr fontId="1"/>
  </si>
  <si>
    <t>M9-9-1A</t>
    <phoneticPr fontId="1"/>
  </si>
  <si>
    <t>M9-9-1B</t>
    <phoneticPr fontId="1"/>
  </si>
  <si>
    <t>M9-10-1A</t>
    <phoneticPr fontId="1"/>
  </si>
  <si>
    <t>M9-10-1B</t>
    <phoneticPr fontId="1"/>
  </si>
  <si>
    <t>M9-11-1A</t>
    <phoneticPr fontId="1"/>
  </si>
  <si>
    <t>M9-12-1A</t>
    <phoneticPr fontId="1"/>
  </si>
  <si>
    <t>M9-13-1A</t>
    <phoneticPr fontId="1"/>
  </si>
  <si>
    <t>M9-13-1B</t>
    <phoneticPr fontId="1"/>
  </si>
  <si>
    <t>M9-14-1A</t>
    <phoneticPr fontId="1"/>
  </si>
  <si>
    <t>M9-14-1B</t>
    <phoneticPr fontId="1"/>
  </si>
  <si>
    <t>M9-15-1A</t>
    <phoneticPr fontId="1"/>
  </si>
  <si>
    <t>M9-15-1B</t>
    <phoneticPr fontId="1"/>
  </si>
  <si>
    <t>M12-1-1A</t>
    <phoneticPr fontId="1"/>
  </si>
  <si>
    <t>M12-1-1B</t>
    <phoneticPr fontId="1"/>
  </si>
  <si>
    <t>M12-2-1A</t>
    <phoneticPr fontId="1"/>
  </si>
  <si>
    <t>M12-2-1B</t>
    <phoneticPr fontId="1"/>
  </si>
  <si>
    <t>M13-1-1A</t>
    <phoneticPr fontId="1"/>
  </si>
  <si>
    <t>M13-1-1B</t>
    <phoneticPr fontId="1"/>
  </si>
  <si>
    <t>M13-2-1A</t>
    <phoneticPr fontId="1"/>
  </si>
  <si>
    <t>M13-2-1B</t>
    <phoneticPr fontId="1"/>
  </si>
  <si>
    <t>M13-3-1A</t>
    <phoneticPr fontId="1"/>
  </si>
  <si>
    <t>M13-3-1B</t>
    <phoneticPr fontId="1"/>
  </si>
  <si>
    <t>M13-4-1A</t>
    <phoneticPr fontId="1"/>
  </si>
  <si>
    <t>M13-4-1B</t>
    <phoneticPr fontId="1"/>
  </si>
  <si>
    <t>M13-5-1A</t>
    <phoneticPr fontId="1"/>
  </si>
  <si>
    <t>M13-5-1B</t>
    <phoneticPr fontId="1"/>
  </si>
  <si>
    <t>M15-1-1A</t>
    <phoneticPr fontId="1"/>
  </si>
  <si>
    <t>M15-1-1B</t>
    <phoneticPr fontId="1"/>
  </si>
  <si>
    <t>M15-1-5</t>
    <phoneticPr fontId="1"/>
  </si>
  <si>
    <t>M15-1-7</t>
    <phoneticPr fontId="1"/>
  </si>
  <si>
    <t>M15-1-9</t>
    <phoneticPr fontId="1"/>
  </si>
  <si>
    <t>M15-1-4A</t>
    <phoneticPr fontId="1"/>
  </si>
  <si>
    <t>M15-1-4B</t>
    <phoneticPr fontId="1"/>
  </si>
  <si>
    <t>M15-1-6A</t>
    <phoneticPr fontId="1"/>
  </si>
  <si>
    <t>M15-1-6B</t>
    <phoneticPr fontId="1"/>
  </si>
  <si>
    <t>M15-1-8A</t>
    <phoneticPr fontId="1"/>
  </si>
  <si>
    <t>M16-1-1A</t>
    <phoneticPr fontId="1"/>
  </si>
  <si>
    <t>M16-1-1B</t>
    <phoneticPr fontId="1"/>
  </si>
  <si>
    <t>M16-2-1A</t>
    <phoneticPr fontId="1"/>
  </si>
  <si>
    <t>M16-2-1B</t>
    <phoneticPr fontId="1"/>
  </si>
  <si>
    <t>M16-3-1A</t>
    <phoneticPr fontId="1"/>
  </si>
  <si>
    <t>M16-3-1B</t>
    <phoneticPr fontId="1"/>
  </si>
  <si>
    <t>M16-4-1A</t>
    <phoneticPr fontId="1"/>
  </si>
  <si>
    <t>M16-4-1B</t>
    <phoneticPr fontId="1"/>
  </si>
  <si>
    <t>0xffff</t>
    <phoneticPr fontId="1"/>
  </si>
  <si>
    <t>VerifyStart待ち</t>
    <rPh sb="11" eb="12">
      <t>マ</t>
    </rPh>
    <phoneticPr fontId="1"/>
  </si>
  <si>
    <t>VerifyStart経過待ちをしてください。</t>
    <rPh sb="11" eb="13">
      <t>ケイカ</t>
    </rPh>
    <rPh sb="13" eb="14">
      <t>マ</t>
    </rPh>
    <phoneticPr fontId="1"/>
  </si>
  <si>
    <t>0xffef</t>
    <phoneticPr fontId="1"/>
  </si>
  <si>
    <t>LOGPRINT</t>
    <phoneticPr fontId="1"/>
  </si>
  <si>
    <t>ログ解析用コメントを挿入</t>
    <rPh sb="2" eb="4">
      <t>カイセキ</t>
    </rPh>
    <rPh sb="4" eb="5">
      <t>ヨウ</t>
    </rPh>
    <rPh sb="10" eb="12">
      <t>ソウニュウ</t>
    </rPh>
    <phoneticPr fontId="1"/>
  </si>
  <si>
    <t>0xfffff</t>
    <phoneticPr fontId="1"/>
  </si>
  <si>
    <t>検証NG記録データを確認する(検証NG：1)</t>
    <rPh sb="0" eb="2">
      <t>ケンショウ</t>
    </rPh>
    <rPh sb="4" eb="6">
      <t>キロク</t>
    </rPh>
    <rPh sb="10" eb="12">
      <t>カクニン</t>
    </rPh>
    <rPh sb="15" eb="17">
      <t>ケンショウ</t>
    </rPh>
    <phoneticPr fontId="1"/>
  </si>
  <si>
    <t>過去故障DTC U2400-00が記録されていないことを確認する</t>
    <rPh sb="0" eb="2">
      <t>カコ</t>
    </rPh>
    <rPh sb="17" eb="19">
      <t>キロク</t>
    </rPh>
    <rPh sb="28" eb="30">
      <t>カクニン</t>
    </rPh>
    <phoneticPr fontId="1"/>
  </si>
  <si>
    <t>M23-4</t>
    <phoneticPr fontId="1"/>
  </si>
  <si>
    <t>メッセージカウンタが最大値-Nの認証子付きメッセージを送信する。</t>
    <rPh sb="10" eb="13">
      <t>サイダイチ</t>
    </rPh>
    <rPh sb="16" eb="18">
      <t>ニンショウ</t>
    </rPh>
    <rPh sb="18" eb="19">
      <t>シ</t>
    </rPh>
    <rPh sb="19" eb="20">
      <t>ツ</t>
    </rPh>
    <rPh sb="27" eb="29">
      <t>ソウシン</t>
    </rPh>
    <phoneticPr fontId="1"/>
  </si>
  <si>
    <t>LOGSTART</t>
    <phoneticPr fontId="1"/>
  </si>
  <si>
    <t>LOGPRINT</t>
    <phoneticPr fontId="1"/>
  </si>
  <si>
    <t>WAIT</t>
    <phoneticPr fontId="1"/>
  </si>
  <si>
    <t>SET</t>
    <phoneticPr fontId="1"/>
  </si>
  <si>
    <t>_VAR_DWORD1</t>
    <phoneticPr fontId="1"/>
  </si>
  <si>
    <t>ADD</t>
    <phoneticPr fontId="1"/>
  </si>
  <si>
    <t>JUMPLESS</t>
    <phoneticPr fontId="1"/>
  </si>
  <si>
    <t>0x100000</t>
    <phoneticPr fontId="1"/>
  </si>
  <si>
    <t>IG-ON</t>
    <phoneticPr fontId="1"/>
  </si>
  <si>
    <t>LOGPRINT</t>
    <phoneticPr fontId="1"/>
  </si>
  <si>
    <t>WAIT</t>
    <phoneticPr fontId="1"/>
  </si>
  <si>
    <t>自動検証ツール</t>
    <rPh sb="0" eb="2">
      <t>ジドウ</t>
    </rPh>
    <rPh sb="2" eb="4">
      <t>ケンショウ</t>
    </rPh>
    <phoneticPr fontId="1"/>
  </si>
  <si>
    <t>判定可否</t>
    <rPh sb="0" eb="2">
      <t>ハンテイ</t>
    </rPh>
    <rPh sb="2" eb="4">
      <t>カヒ</t>
    </rPh>
    <phoneticPr fontId="1"/>
  </si>
  <si>
    <t>試験実施日</t>
    <phoneticPr fontId="1"/>
  </si>
  <si>
    <t>合否結果</t>
    <phoneticPr fontId="1"/>
  </si>
  <si>
    <t>エビデンス</t>
    <phoneticPr fontId="1"/>
  </si>
  <si>
    <t>バリエーションによる実施要否</t>
    <rPh sb="10" eb="12">
      <t>ジッシ</t>
    </rPh>
    <rPh sb="12" eb="14">
      <t>ヨウヒ</t>
    </rPh>
    <phoneticPr fontId="1"/>
  </si>
  <si>
    <t>出力設定</t>
    <rPh sb="0" eb="2">
      <t>シュツリョク</t>
    </rPh>
    <rPh sb="2" eb="4">
      <t>セッテイ</t>
    </rPh>
    <phoneticPr fontId="1"/>
  </si>
  <si>
    <t>MAZDA認証評価規定No</t>
    <rPh sb="5" eb="7">
      <t>ニンショウ</t>
    </rPh>
    <rPh sb="7" eb="9">
      <t>ヒョウカ</t>
    </rPh>
    <rPh sb="9" eb="11">
      <t>キテイ</t>
    </rPh>
    <phoneticPr fontId="1"/>
  </si>
  <si>
    <t>MAZDA認証評価規定の番号を表す。</t>
    <rPh sb="12" eb="14">
      <t>バンゴウ</t>
    </rPh>
    <rPh sb="15" eb="16">
      <t>アラワ</t>
    </rPh>
    <phoneticPr fontId="1"/>
  </si>
  <si>
    <t>手順の番号を表す。細分化したMAZDAの評価項目のなかで、一連の手順をシーケンシャルに実施できる検査項目は同じ番号となる。手順が切り替わる場合は、番号をインクリメントして番号付けする。</t>
    <rPh sb="0" eb="2">
      <t>テジュン</t>
    </rPh>
    <rPh sb="3" eb="5">
      <t>バンゴウ</t>
    </rPh>
    <rPh sb="6" eb="7">
      <t>アラワ</t>
    </rPh>
    <rPh sb="9" eb="11">
      <t>サイブン</t>
    </rPh>
    <rPh sb="11" eb="12">
      <t>カ</t>
    </rPh>
    <rPh sb="20" eb="22">
      <t>ヒョウカ</t>
    </rPh>
    <rPh sb="22" eb="24">
      <t>コウモク</t>
    </rPh>
    <rPh sb="29" eb="31">
      <t>イチレン</t>
    </rPh>
    <rPh sb="32" eb="34">
      <t>テジュン</t>
    </rPh>
    <rPh sb="43" eb="45">
      <t>ジッシ</t>
    </rPh>
    <rPh sb="48" eb="50">
      <t>ケンサ</t>
    </rPh>
    <rPh sb="50" eb="52">
      <t>コウモク</t>
    </rPh>
    <rPh sb="53" eb="54">
      <t>オナ</t>
    </rPh>
    <rPh sb="55" eb="57">
      <t>バンゴウ</t>
    </rPh>
    <rPh sb="61" eb="63">
      <t>テジュン</t>
    </rPh>
    <rPh sb="64" eb="65">
      <t>キ</t>
    </rPh>
    <rPh sb="66" eb="67">
      <t>カ</t>
    </rPh>
    <rPh sb="69" eb="71">
      <t>バアイ</t>
    </rPh>
    <rPh sb="73" eb="75">
      <t>バンゴウ</t>
    </rPh>
    <rPh sb="85" eb="87">
      <t>バンゴウ</t>
    </rPh>
    <rPh sb="87" eb="88">
      <t>ヅ</t>
    </rPh>
    <phoneticPr fontId="1"/>
  </si>
  <si>
    <t>M34-8-1</t>
    <phoneticPr fontId="1"/>
  </si>
  <si>
    <t>上記②の場合、アプリケーションに検証NGを通知すること。</t>
    <rPh sb="0" eb="2">
      <t>ジョウキ</t>
    </rPh>
    <rPh sb="4" eb="6">
      <t>バアイ</t>
    </rPh>
    <rPh sb="16" eb="18">
      <t>ケンショウ</t>
    </rPh>
    <rPh sb="21" eb="23">
      <t>ツウチ</t>
    </rPh>
    <phoneticPr fontId="1"/>
  </si>
  <si>
    <t>1-1. 関連文書</t>
    <rPh sb="5" eb="7">
      <t>カンレン</t>
    </rPh>
    <rPh sb="7" eb="9">
      <t>ブンショ</t>
    </rPh>
    <phoneticPr fontId="3"/>
  </si>
  <si>
    <t>JASPARメッセージ認証要求仕様書 Ver.2.1</t>
    <rPh sb="11" eb="13">
      <t>ニンショウ</t>
    </rPh>
    <rPh sb="13" eb="15">
      <t>ヨウキュウ</t>
    </rPh>
    <rPh sb="15" eb="18">
      <t>シヨウショ</t>
    </rPh>
    <phoneticPr fontId="1"/>
  </si>
  <si>
    <t>ST-CSP-6</t>
    <phoneticPr fontId="1"/>
  </si>
  <si>
    <t>JASPARメッセージ認証評価規定 Ver.1.1</t>
    <rPh sb="11" eb="13">
      <t>ニンショウ</t>
    </rPh>
    <rPh sb="13" eb="15">
      <t>ヒョウカ</t>
    </rPh>
    <rPh sb="15" eb="17">
      <t>キテイ</t>
    </rPh>
    <phoneticPr fontId="1"/>
  </si>
  <si>
    <t>ST-CSP-7</t>
    <phoneticPr fontId="1"/>
  </si>
  <si>
    <t>メッセージ認証要求仕様書</t>
    <rPh sb="5" eb="7">
      <t>ニンショウ</t>
    </rPh>
    <rPh sb="7" eb="9">
      <t>ヨウキュウ</t>
    </rPh>
    <rPh sb="9" eb="12">
      <t>シヨウショ</t>
    </rPh>
    <phoneticPr fontId="1"/>
  </si>
  <si>
    <t>メッセージ認証実装要求仕様書</t>
    <rPh sb="5" eb="7">
      <t>ニンショウ</t>
    </rPh>
    <rPh sb="7" eb="9">
      <t>ジッソウ</t>
    </rPh>
    <rPh sb="9" eb="11">
      <t>ヨウキュウ</t>
    </rPh>
    <rPh sb="11" eb="13">
      <t>シヨウ</t>
    </rPh>
    <rPh sb="13" eb="14">
      <t>ショ</t>
    </rPh>
    <phoneticPr fontId="1"/>
  </si>
  <si>
    <t>Mazda 故障診断通信仕様書(GGDS)</t>
    <rPh sb="6" eb="8">
      <t>コショウ</t>
    </rPh>
    <rPh sb="8" eb="10">
      <t>シンダン</t>
    </rPh>
    <rPh sb="10" eb="12">
      <t>ツウシン</t>
    </rPh>
    <rPh sb="12" eb="15">
      <t>シヨウショ</t>
    </rPh>
    <phoneticPr fontId="1"/>
  </si>
  <si>
    <t>SD-CSS67560-57-K5</t>
    <phoneticPr fontId="1"/>
  </si>
  <si>
    <t>作動履歴データメモリ要求仕様書</t>
    <rPh sb="0" eb="2">
      <t>サドウ</t>
    </rPh>
    <rPh sb="2" eb="4">
      <t>リレキ</t>
    </rPh>
    <rPh sb="10" eb="12">
      <t>ヨウキュウ</t>
    </rPh>
    <rPh sb="12" eb="15">
      <t>シヨウショ</t>
    </rPh>
    <phoneticPr fontId="1"/>
  </si>
  <si>
    <t>SD-CSS66199-50-A</t>
    <phoneticPr fontId="1"/>
  </si>
  <si>
    <t>試験対象は、同期メッセージとする。
■合否判定
①トリップカウンタの読み出しに失敗した後、１回目に送信された同期メッセージが下記のいずれかを満たすこと。
[1]
- トリップカウンタ値：ALL1データ
- リセットカウンタ値：ALL1データ
- 送信用認証子：トリップカウンタ、およびリセットカウンタが上記の値で生成された値
[2]
- トリップカウンタ値：フェールセーフ値
- リセットカウンタ値：フェールセーフ値+N(ただし、リセットカウンタの最大値を超える場合は最大値とする。)
- 送信用認証子：トリップカウンタ、およびリセットカウンタが上記の値で生成された値
②①を確認後の次回起動時にトリップカウンタの読み出しに成功した後、１回目に送信された同期メッセージが下記を満たすこと。
- トリップカウンタ：不揮発性メモリから読み出した値(フェールセーフ値ではない※2) + 1
- リセットカウンタ：初期値+N
- 送信用認証子：トリップカウンタ、およびリセットカウンタが上記の値で生成された値
※1NはResetCycle時間経過ごとに一つ増加する値を示す。
※2 フェールセーフ値が不揮発性メモリに記憶されず、次回起動時に、同期メッセージのトリップカウンタに使用しないことを確認する。</t>
    <phoneticPr fontId="1"/>
  </si>
  <si>
    <t>M46-1-1A</t>
    <phoneticPr fontId="1"/>
  </si>
  <si>
    <t>M46-1-1B</t>
    <phoneticPr fontId="1"/>
  </si>
  <si>
    <t>M46-2-1A</t>
    <phoneticPr fontId="1"/>
  </si>
  <si>
    <t>M46-2-1B</t>
    <phoneticPr fontId="1"/>
  </si>
  <si>
    <t>M46-3-1A</t>
    <phoneticPr fontId="1"/>
  </si>
  <si>
    <t>M46-3-1B</t>
    <phoneticPr fontId="1"/>
  </si>
  <si>
    <t>M46-4-1A</t>
    <phoneticPr fontId="1"/>
  </si>
  <si>
    <t>M46-4-1B</t>
    <phoneticPr fontId="1"/>
  </si>
  <si>
    <t>M46-5-1A</t>
    <phoneticPr fontId="1"/>
  </si>
  <si>
    <t>M46-5-1B</t>
    <phoneticPr fontId="1"/>
  </si>
  <si>
    <t>M46-6-1A</t>
    <phoneticPr fontId="1"/>
  </si>
  <si>
    <t>M46-6-1B</t>
    <phoneticPr fontId="1"/>
  </si>
  <si>
    <t>M46-7-1A</t>
    <phoneticPr fontId="1"/>
  </si>
  <si>
    <t>M46-7-1B</t>
    <phoneticPr fontId="1"/>
  </si>
  <si>
    <t>M46-8-1A</t>
    <phoneticPr fontId="1"/>
  </si>
  <si>
    <t>M46-8-1B</t>
    <phoneticPr fontId="1"/>
  </si>
  <si>
    <t>M46-9-1A</t>
    <phoneticPr fontId="1"/>
  </si>
  <si>
    <t>M46-9-1B</t>
    <phoneticPr fontId="1"/>
  </si>
  <si>
    <t>M46-10-1A</t>
    <phoneticPr fontId="1"/>
  </si>
  <si>
    <t>M46-10-1B</t>
    <phoneticPr fontId="1"/>
  </si>
  <si>
    <t>M46-11-1A</t>
    <phoneticPr fontId="1"/>
  </si>
  <si>
    <t>M46-11-1B</t>
    <phoneticPr fontId="1"/>
  </si>
  <si>
    <t>M46-12-1A</t>
    <phoneticPr fontId="1"/>
  </si>
  <si>
    <t>M46-12-1B</t>
    <phoneticPr fontId="1"/>
  </si>
  <si>
    <t>M46-13-1A</t>
    <phoneticPr fontId="1"/>
  </si>
  <si>
    <t>M46-13-1B</t>
    <phoneticPr fontId="1"/>
  </si>
  <si>
    <t>M46-14-1A</t>
    <phoneticPr fontId="1"/>
  </si>
  <si>
    <t>M46-14-1B</t>
    <phoneticPr fontId="1"/>
  </si>
  <si>
    <t>M46-15-1A</t>
    <phoneticPr fontId="1"/>
  </si>
  <si>
    <t>M46-15-1B</t>
    <phoneticPr fontId="1"/>
  </si>
  <si>
    <t>M47-1-1A</t>
    <phoneticPr fontId="1"/>
  </si>
  <si>
    <t>M47-1-1B</t>
    <phoneticPr fontId="1"/>
  </si>
  <si>
    <t>M47-2-1A</t>
    <phoneticPr fontId="1"/>
  </si>
  <si>
    <t>M47-2-1B</t>
    <phoneticPr fontId="1"/>
  </si>
  <si>
    <t>M47-3-1A</t>
    <phoneticPr fontId="1"/>
  </si>
  <si>
    <t>M47-3-1B</t>
    <phoneticPr fontId="1"/>
  </si>
  <si>
    <t>M47-4-1A</t>
    <phoneticPr fontId="1"/>
  </si>
  <si>
    <t>M47-4-1B</t>
    <phoneticPr fontId="1"/>
  </si>
  <si>
    <t>M47-5-1A</t>
    <phoneticPr fontId="1"/>
  </si>
  <si>
    <t>M47-5-1B</t>
    <phoneticPr fontId="1"/>
  </si>
  <si>
    <t>M47-6-1A</t>
    <phoneticPr fontId="1"/>
  </si>
  <si>
    <t>M47-6-1B</t>
    <phoneticPr fontId="1"/>
  </si>
  <si>
    <t>M47-7-1A</t>
    <phoneticPr fontId="1"/>
  </si>
  <si>
    <t>M47-7-1B</t>
    <phoneticPr fontId="1"/>
  </si>
  <si>
    <t>M47-8-1A</t>
    <phoneticPr fontId="1"/>
  </si>
  <si>
    <t>M47-8-1B</t>
    <phoneticPr fontId="1"/>
  </si>
  <si>
    <t>M49-1-1A</t>
    <phoneticPr fontId="1"/>
  </si>
  <si>
    <t>M49-1-1B</t>
    <phoneticPr fontId="1"/>
  </si>
  <si>
    <t>M49-2-1A</t>
    <phoneticPr fontId="1"/>
  </si>
  <si>
    <t>M49-2-1B</t>
    <phoneticPr fontId="1"/>
  </si>
  <si>
    <t>M50-1-1A</t>
    <phoneticPr fontId="1"/>
  </si>
  <si>
    <t>M50-1-1B</t>
    <phoneticPr fontId="1"/>
  </si>
  <si>
    <t>M50-2-1A</t>
    <phoneticPr fontId="1"/>
  </si>
  <si>
    <t>M50-2-1B</t>
    <phoneticPr fontId="1"/>
  </si>
  <si>
    <t>M50-3-1A</t>
    <phoneticPr fontId="1"/>
  </si>
  <si>
    <t>M50-3-1B</t>
    <phoneticPr fontId="1"/>
  </si>
  <si>
    <t>M50-4-1A</t>
    <phoneticPr fontId="1"/>
  </si>
  <si>
    <t>M50-4-1B</t>
    <phoneticPr fontId="1"/>
  </si>
  <si>
    <t>M50-5-1A</t>
    <phoneticPr fontId="1"/>
  </si>
  <si>
    <t>M50-5-1B</t>
    <phoneticPr fontId="1"/>
  </si>
  <si>
    <t>M52-1-1A</t>
    <phoneticPr fontId="1"/>
  </si>
  <si>
    <t>M52-1-1B</t>
    <phoneticPr fontId="1"/>
  </si>
  <si>
    <t>M52-1-4A</t>
    <phoneticPr fontId="1"/>
  </si>
  <si>
    <t>M52-1-4B</t>
    <phoneticPr fontId="1"/>
  </si>
  <si>
    <t>M52-1-6A</t>
    <phoneticPr fontId="1"/>
  </si>
  <si>
    <t>M52-1-6B</t>
    <phoneticPr fontId="1"/>
  </si>
  <si>
    <t>M52-1-7</t>
    <phoneticPr fontId="1"/>
  </si>
  <si>
    <t>M52-1-8A</t>
    <phoneticPr fontId="1"/>
  </si>
  <si>
    <t>M52-1-8B</t>
    <phoneticPr fontId="1"/>
  </si>
  <si>
    <t>M52-1-9</t>
    <phoneticPr fontId="1"/>
  </si>
  <si>
    <t>②-3 供試品が保持するメッセージカウンタが"最大値"の場合、下記の条件の認証子付きメッセージを破棄すること。
- メッセージカウンタ：最大値-N</t>
  </si>
  <si>
    <t>M53-1-1A</t>
    <phoneticPr fontId="1"/>
  </si>
  <si>
    <t>M53-1-1B</t>
    <phoneticPr fontId="1"/>
  </si>
  <si>
    <t>M53-2-1A</t>
    <phoneticPr fontId="1"/>
  </si>
  <si>
    <t>M53-2-1B</t>
    <phoneticPr fontId="1"/>
  </si>
  <si>
    <t>M53-3-1A</t>
    <phoneticPr fontId="1"/>
  </si>
  <si>
    <t>M53-3-1B</t>
    <phoneticPr fontId="1"/>
  </si>
  <si>
    <t>M53-4-1A</t>
    <phoneticPr fontId="1"/>
  </si>
  <si>
    <t>M53-4-1B</t>
    <phoneticPr fontId="1"/>
  </si>
  <si>
    <t>M53-4-2</t>
    <phoneticPr fontId="1"/>
  </si>
  <si>
    <t>M53-4-3</t>
  </si>
  <si>
    <t>上記②-3において、フレッシュネス値を保持しないこと。</t>
    <rPh sb="0" eb="2">
      <t>ジョウキ</t>
    </rPh>
    <rPh sb="17" eb="18">
      <t>アタイ</t>
    </rPh>
    <rPh sb="19" eb="21">
      <t>ホジ</t>
    </rPh>
    <phoneticPr fontId="1"/>
  </si>
  <si>
    <t>M39-1-1A</t>
    <phoneticPr fontId="1"/>
  </si>
  <si>
    <t>M39-1-1B</t>
    <phoneticPr fontId="1"/>
  </si>
  <si>
    <t>M39-2-1A</t>
    <phoneticPr fontId="1"/>
  </si>
  <si>
    <t>M39-2-1B</t>
    <phoneticPr fontId="1"/>
  </si>
  <si>
    <t>M39-2-2A</t>
    <phoneticPr fontId="1"/>
  </si>
  <si>
    <t>M39-2-2B</t>
    <phoneticPr fontId="1"/>
  </si>
  <si>
    <t>M39-4-1A</t>
    <phoneticPr fontId="1"/>
  </si>
  <si>
    <t>M39-4-1B</t>
    <phoneticPr fontId="1"/>
  </si>
  <si>
    <t>M39-5-1A</t>
    <phoneticPr fontId="1"/>
  </si>
  <si>
    <t>M39-5-1B</t>
    <phoneticPr fontId="1"/>
  </si>
  <si>
    <t>M42-1-1A</t>
    <phoneticPr fontId="1"/>
  </si>
  <si>
    <t>M42-1-1B</t>
    <phoneticPr fontId="1"/>
  </si>
  <si>
    <t>M42-1-2A</t>
    <phoneticPr fontId="1"/>
  </si>
  <si>
    <t>M42-1-2B</t>
    <phoneticPr fontId="1"/>
  </si>
  <si>
    <t>M42-2-1A</t>
    <phoneticPr fontId="1"/>
  </si>
  <si>
    <t>M42-2-1B</t>
    <phoneticPr fontId="1"/>
  </si>
  <si>
    <t>M42-2-2A</t>
    <phoneticPr fontId="1"/>
  </si>
  <si>
    <t>M42-2-2B</t>
    <phoneticPr fontId="1"/>
  </si>
  <si>
    <t>M43-1-1A</t>
    <phoneticPr fontId="1"/>
  </si>
  <si>
    <t>M43-1-1B</t>
    <phoneticPr fontId="1"/>
  </si>
  <si>
    <t>M43-1-2A</t>
    <phoneticPr fontId="1"/>
  </si>
  <si>
    <t>M43-1-2B</t>
    <phoneticPr fontId="1"/>
  </si>
  <si>
    <t>M44-1-1A</t>
    <phoneticPr fontId="1"/>
  </si>
  <si>
    <t>M44-1-1B</t>
    <phoneticPr fontId="1"/>
  </si>
  <si>
    <t>M44-1-2A</t>
    <phoneticPr fontId="1"/>
  </si>
  <si>
    <t>M44-1-2B</t>
    <phoneticPr fontId="1"/>
  </si>
  <si>
    <t>M8-1-1A</t>
    <phoneticPr fontId="1"/>
  </si>
  <si>
    <t>M8-1-1B</t>
    <phoneticPr fontId="1"/>
  </si>
  <si>
    <t>M8-1-2A</t>
    <phoneticPr fontId="1"/>
  </si>
  <si>
    <t>M8-1-2B</t>
    <phoneticPr fontId="1"/>
  </si>
  <si>
    <t>M45-1-1A</t>
    <phoneticPr fontId="1"/>
  </si>
  <si>
    <t>M45-1-1B</t>
    <phoneticPr fontId="1"/>
  </si>
  <si>
    <t>M45-1-2A</t>
    <phoneticPr fontId="1"/>
  </si>
  <si>
    <t>M45-1-2B</t>
    <phoneticPr fontId="1"/>
  </si>
  <si>
    <t>M9-1A</t>
    <phoneticPr fontId="1"/>
  </si>
  <si>
    <t>M9-1B</t>
    <phoneticPr fontId="1"/>
  </si>
  <si>
    <t>M9-2B</t>
    <phoneticPr fontId="1"/>
  </si>
  <si>
    <t>M9-2A</t>
    <phoneticPr fontId="1"/>
  </si>
  <si>
    <t>同期メッセージを定期送信する</t>
    <rPh sb="0" eb="2">
      <t>ドウキ</t>
    </rPh>
    <rPh sb="8" eb="10">
      <t>テイキ</t>
    </rPh>
    <rPh sb="10" eb="12">
      <t>ソウシン</t>
    </rPh>
    <phoneticPr fontId="1"/>
  </si>
  <si>
    <t>M9-3B</t>
    <phoneticPr fontId="1"/>
  </si>
  <si>
    <t>M9-3A</t>
    <phoneticPr fontId="1"/>
  </si>
  <si>
    <t>M9-4B</t>
    <phoneticPr fontId="1"/>
  </si>
  <si>
    <t>M9-4A</t>
    <phoneticPr fontId="1"/>
  </si>
  <si>
    <t>M9-5B</t>
    <phoneticPr fontId="1"/>
  </si>
  <si>
    <t>M9-5A</t>
    <phoneticPr fontId="1"/>
  </si>
  <si>
    <t>M9-6A</t>
    <phoneticPr fontId="1"/>
  </si>
  <si>
    <t>M9-6B</t>
    <phoneticPr fontId="1"/>
  </si>
  <si>
    <t>M9-7B</t>
    <phoneticPr fontId="1"/>
  </si>
  <si>
    <t>M9-7A</t>
    <phoneticPr fontId="1"/>
  </si>
  <si>
    <t>M9-8B</t>
    <phoneticPr fontId="1"/>
  </si>
  <si>
    <t>M9-8A</t>
    <phoneticPr fontId="1"/>
  </si>
  <si>
    <t>M9-9B</t>
    <phoneticPr fontId="1"/>
  </si>
  <si>
    <t>M9-9A</t>
    <phoneticPr fontId="1"/>
  </si>
  <si>
    <t>M9-10B</t>
    <phoneticPr fontId="1"/>
  </si>
  <si>
    <t>M9-10A</t>
    <phoneticPr fontId="1"/>
  </si>
  <si>
    <t>M9-11B</t>
    <phoneticPr fontId="1"/>
  </si>
  <si>
    <t>M9-11A</t>
    <phoneticPr fontId="1"/>
  </si>
  <si>
    <t>M9-12B</t>
    <phoneticPr fontId="1"/>
  </si>
  <si>
    <t>M9-12A</t>
    <phoneticPr fontId="1"/>
  </si>
  <si>
    <t>M9-13B</t>
    <phoneticPr fontId="1"/>
  </si>
  <si>
    <t>M9-13A</t>
    <phoneticPr fontId="1"/>
  </si>
  <si>
    <t>M9-14B</t>
    <phoneticPr fontId="1"/>
  </si>
  <si>
    <t>M9-14A</t>
    <phoneticPr fontId="1"/>
  </si>
  <si>
    <t>M9-15B</t>
    <phoneticPr fontId="1"/>
  </si>
  <si>
    <t>M9-15A</t>
    <phoneticPr fontId="1"/>
  </si>
  <si>
    <t>M2-1-1B</t>
    <phoneticPr fontId="1"/>
  </si>
  <si>
    <t>模擬対向ノードの動作を開始する</t>
    <rPh sb="0" eb="2">
      <t>モギ</t>
    </rPh>
    <rPh sb="2" eb="4">
      <t>タイコウ</t>
    </rPh>
    <rPh sb="8" eb="10">
      <t>ドウサ</t>
    </rPh>
    <rPh sb="11" eb="13">
      <t>カイシ</t>
    </rPh>
    <phoneticPr fontId="1"/>
  </si>
  <si>
    <t>同期メッセージの定期送信を停止する</t>
    <rPh sb="0" eb="2">
      <t>ドウキ</t>
    </rPh>
    <rPh sb="8" eb="10">
      <t>テイキ</t>
    </rPh>
    <rPh sb="10" eb="12">
      <t>ソウシン</t>
    </rPh>
    <rPh sb="13" eb="15">
      <t>テイシ</t>
    </rPh>
    <phoneticPr fontId="1"/>
  </si>
  <si>
    <t>SYNC_STOP</t>
    <phoneticPr fontId="1"/>
  </si>
  <si>
    <t>M12-1B</t>
    <phoneticPr fontId="1"/>
  </si>
  <si>
    <t>M12-1A</t>
    <phoneticPr fontId="1"/>
  </si>
  <si>
    <t>M12-2B</t>
    <phoneticPr fontId="1"/>
  </si>
  <si>
    <t>M12-2A</t>
    <phoneticPr fontId="1"/>
  </si>
  <si>
    <t>_VAR_RESETCNT</t>
    <phoneticPr fontId="1"/>
  </si>
  <si>
    <t>リセットカウンタ値を取得する</t>
    <rPh sb="8" eb="9">
      <t>アタイ</t>
    </rPh>
    <rPh sb="10" eb="12">
      <t>シュトク</t>
    </rPh>
    <phoneticPr fontId="1"/>
  </si>
  <si>
    <t>M46-1A</t>
    <phoneticPr fontId="1"/>
  </si>
  <si>
    <t>M46-1B</t>
    <phoneticPr fontId="1"/>
  </si>
  <si>
    <t>M46-2A</t>
    <phoneticPr fontId="1"/>
  </si>
  <si>
    <t>M46-2B</t>
    <phoneticPr fontId="1"/>
  </si>
  <si>
    <t>M46-3A</t>
    <phoneticPr fontId="1"/>
  </si>
  <si>
    <t>_VAR_DWORD2</t>
    <phoneticPr fontId="1"/>
  </si>
  <si>
    <t>M46-3B</t>
    <phoneticPr fontId="1"/>
  </si>
  <si>
    <t>M46-4A</t>
    <phoneticPr fontId="1"/>
  </si>
  <si>
    <t>M46-4B</t>
    <phoneticPr fontId="1"/>
  </si>
  <si>
    <t>M46-5A</t>
    <phoneticPr fontId="1"/>
  </si>
  <si>
    <t>M46-5B</t>
    <phoneticPr fontId="1"/>
  </si>
  <si>
    <t>WAIT</t>
    <phoneticPr fontId="1"/>
  </si>
  <si>
    <t>M46-6A</t>
    <phoneticPr fontId="1"/>
  </si>
  <si>
    <t>M46-6B</t>
    <phoneticPr fontId="1"/>
  </si>
  <si>
    <t>M46-7A</t>
    <phoneticPr fontId="1"/>
  </si>
  <si>
    <t>M46-7B</t>
    <phoneticPr fontId="1"/>
  </si>
  <si>
    <t>M46-8A</t>
    <phoneticPr fontId="1"/>
  </si>
  <si>
    <t>M46-8B</t>
    <phoneticPr fontId="1"/>
  </si>
  <si>
    <t>M46-9A</t>
    <phoneticPr fontId="1"/>
  </si>
  <si>
    <t>M46-9B</t>
    <phoneticPr fontId="1"/>
  </si>
  <si>
    <t>M46-10A</t>
    <phoneticPr fontId="1"/>
  </si>
  <si>
    <t>M46-10B</t>
    <phoneticPr fontId="1"/>
  </si>
  <si>
    <t>M46-11A</t>
    <phoneticPr fontId="1"/>
  </si>
  <si>
    <t>M46-11B</t>
    <phoneticPr fontId="1"/>
  </si>
  <si>
    <t>M46-12A</t>
    <phoneticPr fontId="1"/>
  </si>
  <si>
    <t>M46-12B</t>
    <phoneticPr fontId="1"/>
  </si>
  <si>
    <t>M46-13A</t>
    <phoneticPr fontId="1"/>
  </si>
  <si>
    <t>M46-13B</t>
    <phoneticPr fontId="1"/>
  </si>
  <si>
    <t>M46-14A</t>
    <phoneticPr fontId="1"/>
  </si>
  <si>
    <t>M46-14B</t>
    <phoneticPr fontId="1"/>
  </si>
  <si>
    <t>M46-15A</t>
    <phoneticPr fontId="1"/>
  </si>
  <si>
    <t>M46-15B</t>
    <phoneticPr fontId="1"/>
  </si>
  <si>
    <t>M47-1</t>
    <phoneticPr fontId="1"/>
  </si>
  <si>
    <t>M47-2</t>
    <phoneticPr fontId="1"/>
  </si>
  <si>
    <t>M47-3</t>
    <phoneticPr fontId="1"/>
  </si>
  <si>
    <t>_VAR_TRIPCNT</t>
    <phoneticPr fontId="1"/>
  </si>
  <si>
    <t>M47-4</t>
    <phoneticPr fontId="1"/>
  </si>
  <si>
    <t>M47-5</t>
    <phoneticPr fontId="1"/>
  </si>
  <si>
    <t>トリップカウンタ値を初期化してください。</t>
    <rPh sb="8" eb="9">
      <t>アタイ</t>
    </rPh>
    <rPh sb="10" eb="13">
      <t>ショキカ</t>
    </rPh>
    <phoneticPr fontId="1"/>
  </si>
  <si>
    <t>トリップカウンタ値を初期化する</t>
    <rPh sb="8" eb="9">
      <t>アタイ</t>
    </rPh>
    <rPh sb="10" eb="13">
      <t>ショキカ</t>
    </rPh>
    <phoneticPr fontId="1"/>
  </si>
  <si>
    <t>M47-6</t>
    <phoneticPr fontId="1"/>
  </si>
  <si>
    <t>M47-7</t>
    <phoneticPr fontId="1"/>
  </si>
  <si>
    <t>M48-1</t>
    <phoneticPr fontId="1"/>
  </si>
  <si>
    <t>WAIT</t>
    <phoneticPr fontId="1"/>
  </si>
  <si>
    <t>M49-1A</t>
    <phoneticPr fontId="1"/>
  </si>
  <si>
    <t>SET</t>
    <phoneticPr fontId="1"/>
  </si>
  <si>
    <t>_VAR_DWORD1</t>
    <phoneticPr fontId="1"/>
  </si>
  <si>
    <t>ADD</t>
    <phoneticPr fontId="1"/>
  </si>
  <si>
    <t>_VAR_TRIPCNT</t>
    <phoneticPr fontId="1"/>
  </si>
  <si>
    <t>M49-1B</t>
    <phoneticPr fontId="1"/>
  </si>
  <si>
    <t>M49-2A</t>
    <phoneticPr fontId="1"/>
  </si>
  <si>
    <t>M49-2B</t>
    <phoneticPr fontId="1"/>
  </si>
  <si>
    <t>M13-1A</t>
    <phoneticPr fontId="1"/>
  </si>
  <si>
    <t>M13-1B</t>
    <phoneticPr fontId="1"/>
  </si>
  <si>
    <t>M13-2A</t>
    <phoneticPr fontId="1"/>
  </si>
  <si>
    <t>M13-2B</t>
    <phoneticPr fontId="1"/>
  </si>
  <si>
    <t>M13-3A</t>
    <phoneticPr fontId="1"/>
  </si>
  <si>
    <t>M13-3B</t>
    <phoneticPr fontId="1"/>
  </si>
  <si>
    <t>M13-4A</t>
    <phoneticPr fontId="1"/>
  </si>
  <si>
    <t>M13-4B</t>
    <phoneticPr fontId="1"/>
  </si>
  <si>
    <t>M13-5A</t>
    <phoneticPr fontId="1"/>
  </si>
  <si>
    <t>M13-5B</t>
    <phoneticPr fontId="1"/>
  </si>
  <si>
    <t>WAIT</t>
    <phoneticPr fontId="1"/>
  </si>
  <si>
    <t>M15-1A</t>
    <phoneticPr fontId="1"/>
  </si>
  <si>
    <t>M15-1B</t>
    <phoneticPr fontId="1"/>
  </si>
  <si>
    <t>0x80</t>
    <phoneticPr fontId="1"/>
  </si>
  <si>
    <t>メッセージカウンタが最大値-N(N:127)の認証子付きメッセージを送信する</t>
    <rPh sb="10" eb="13">
      <t>サイダイチ</t>
    </rPh>
    <rPh sb="23" eb="25">
      <t>ニンショウ</t>
    </rPh>
    <rPh sb="25" eb="26">
      <t>シ</t>
    </rPh>
    <rPh sb="26" eb="27">
      <t>ツ</t>
    </rPh>
    <rPh sb="34" eb="36">
      <t>ソウシン</t>
    </rPh>
    <phoneticPr fontId="1"/>
  </si>
  <si>
    <t>M16-1A</t>
    <phoneticPr fontId="1"/>
  </si>
  <si>
    <t>M16-1B</t>
    <phoneticPr fontId="1"/>
  </si>
  <si>
    <t>M16-2A</t>
    <phoneticPr fontId="1"/>
  </si>
  <si>
    <t>M16-2B</t>
    <phoneticPr fontId="1"/>
  </si>
  <si>
    <t>M16-3A</t>
    <phoneticPr fontId="1"/>
  </si>
  <si>
    <t>M16-3B</t>
    <phoneticPr fontId="1"/>
  </si>
  <si>
    <t>M16-4A</t>
    <phoneticPr fontId="1"/>
  </si>
  <si>
    <t>M16-4B</t>
    <phoneticPr fontId="1"/>
  </si>
  <si>
    <t>_VAR_DWORD1</t>
    <phoneticPr fontId="1"/>
  </si>
  <si>
    <t>SET</t>
    <phoneticPr fontId="1"/>
  </si>
  <si>
    <t>_VAR_DWORD2</t>
    <phoneticPr fontId="1"/>
  </si>
  <si>
    <t>0x0f</t>
    <phoneticPr fontId="1"/>
  </si>
  <si>
    <t>ADD</t>
    <phoneticPr fontId="1"/>
  </si>
  <si>
    <t>リセットカウンタ値によるタイミング調整</t>
    <rPh sb="8" eb="9">
      <t>アタイ</t>
    </rPh>
    <rPh sb="17" eb="19">
      <t>チョウセイ</t>
    </rPh>
    <phoneticPr fontId="1"/>
  </si>
  <si>
    <t>JUMPLESS</t>
    <phoneticPr fontId="1"/>
  </si>
  <si>
    <t>_VAR_DWROD1</t>
    <phoneticPr fontId="1"/>
  </si>
  <si>
    <t>AND</t>
    <phoneticPr fontId="1"/>
  </si>
  <si>
    <t>M50-1A</t>
    <phoneticPr fontId="1"/>
  </si>
  <si>
    <t>SUB</t>
    <phoneticPr fontId="1"/>
  </si>
  <si>
    <t>_VAR_DWORD1</t>
    <phoneticPr fontId="1"/>
  </si>
  <si>
    <t>JUMPLESS</t>
    <phoneticPr fontId="1"/>
  </si>
  <si>
    <t>_VAR_TRIPCNT</t>
    <phoneticPr fontId="1"/>
  </si>
  <si>
    <t>M50-1B</t>
    <phoneticPr fontId="1"/>
  </si>
  <si>
    <t>M50-2A</t>
    <phoneticPr fontId="1"/>
  </si>
  <si>
    <t>M50-2B</t>
    <phoneticPr fontId="1"/>
  </si>
  <si>
    <t>AND</t>
    <phoneticPr fontId="1"/>
  </si>
  <si>
    <t>0x0f</t>
    <phoneticPr fontId="1"/>
  </si>
  <si>
    <t>SET</t>
    <phoneticPr fontId="1"/>
  </si>
  <si>
    <t>JUMPEQ</t>
    <phoneticPr fontId="1"/>
  </si>
  <si>
    <t>M50-3A</t>
    <phoneticPr fontId="1"/>
  </si>
  <si>
    <t>M50-3B</t>
    <phoneticPr fontId="1"/>
  </si>
  <si>
    <t>M50-4A</t>
    <phoneticPr fontId="1"/>
  </si>
  <si>
    <t>M50-4B</t>
    <phoneticPr fontId="1"/>
  </si>
  <si>
    <t>M50-5A</t>
    <phoneticPr fontId="1"/>
  </si>
  <si>
    <t>M50-5B</t>
    <phoneticPr fontId="1"/>
  </si>
  <si>
    <t>M51-1</t>
    <phoneticPr fontId="1"/>
  </si>
  <si>
    <t>PRINT</t>
    <phoneticPr fontId="1"/>
  </si>
  <si>
    <t>認証子付きメッセージを送信する</t>
    <rPh sb="0" eb="2">
      <t>ニンショウ</t>
    </rPh>
    <rPh sb="2" eb="3">
      <t>シ</t>
    </rPh>
    <rPh sb="3" eb="4">
      <t>ツ</t>
    </rPh>
    <rPh sb="11" eb="13">
      <t>ソウシン</t>
    </rPh>
    <phoneticPr fontId="1"/>
  </si>
  <si>
    <t>SEND_AUTH</t>
    <phoneticPr fontId="1"/>
  </si>
  <si>
    <t>ADD</t>
    <phoneticPr fontId="1"/>
  </si>
  <si>
    <t>M52-1A</t>
    <phoneticPr fontId="1"/>
  </si>
  <si>
    <t>M52-1B</t>
    <phoneticPr fontId="1"/>
  </si>
  <si>
    <t>メッセージカウンタが最大値-1の認証子付きメッセージを送信する</t>
    <rPh sb="10" eb="13">
      <t>サイダイチ</t>
    </rPh>
    <rPh sb="16" eb="18">
      <t>ニンショウ</t>
    </rPh>
    <rPh sb="18" eb="19">
      <t>シ</t>
    </rPh>
    <rPh sb="19" eb="20">
      <t>ツ</t>
    </rPh>
    <rPh sb="27" eb="29">
      <t>ソウシン</t>
    </rPh>
    <phoneticPr fontId="1"/>
  </si>
  <si>
    <t>メッセージカウンタが初期値の認証子付きメッセージを送信する</t>
    <rPh sb="10" eb="13">
      <t>ショキチ</t>
    </rPh>
    <rPh sb="14" eb="16">
      <t>ニンショウ</t>
    </rPh>
    <rPh sb="16" eb="17">
      <t>シ</t>
    </rPh>
    <rPh sb="17" eb="18">
      <t>ツ</t>
    </rPh>
    <rPh sb="25" eb="27">
      <t>ソウシン</t>
    </rPh>
    <phoneticPr fontId="1"/>
  </si>
  <si>
    <t>メッセージカウンタが最大値-Nの認証子付きメッセージを送信する</t>
    <rPh sb="10" eb="13">
      <t>サイダイチ</t>
    </rPh>
    <rPh sb="16" eb="18">
      <t>ニンショウ</t>
    </rPh>
    <rPh sb="18" eb="19">
      <t>シ</t>
    </rPh>
    <rPh sb="19" eb="20">
      <t>ツ</t>
    </rPh>
    <rPh sb="27" eb="29">
      <t>ソウシン</t>
    </rPh>
    <phoneticPr fontId="1"/>
  </si>
  <si>
    <t>0x80</t>
    <phoneticPr fontId="1"/>
  </si>
  <si>
    <t>0xfe</t>
    <phoneticPr fontId="1"/>
  </si>
  <si>
    <t>M53-1A</t>
    <phoneticPr fontId="1"/>
  </si>
  <si>
    <t>0xfffff</t>
    <phoneticPr fontId="1"/>
  </si>
  <si>
    <t>M53-1B</t>
    <phoneticPr fontId="1"/>
  </si>
  <si>
    <t>M53-2A</t>
    <phoneticPr fontId="1"/>
  </si>
  <si>
    <t>M53-2B</t>
    <phoneticPr fontId="1"/>
  </si>
  <si>
    <t>M53-3A</t>
    <phoneticPr fontId="1"/>
  </si>
  <si>
    <t>M53-3B</t>
    <phoneticPr fontId="1"/>
  </si>
  <si>
    <t>M53-4A</t>
    <phoneticPr fontId="1"/>
  </si>
  <si>
    <t>M53-4B</t>
    <phoneticPr fontId="1"/>
  </si>
  <si>
    <t>M39-3-1A</t>
    <phoneticPr fontId="1"/>
  </si>
  <si>
    <t>M39-3-1B</t>
    <phoneticPr fontId="1"/>
  </si>
  <si>
    <t>M39-3-2</t>
    <phoneticPr fontId="1"/>
  </si>
  <si>
    <t>M39-4-2</t>
    <phoneticPr fontId="1"/>
  </si>
  <si>
    <t>M39-6-2</t>
    <phoneticPr fontId="1"/>
  </si>
  <si>
    <t>M39-5-2</t>
    <phoneticPr fontId="1"/>
  </si>
  <si>
    <t>M39-6-1A</t>
    <phoneticPr fontId="1"/>
  </si>
  <si>
    <t>M39-6-1B</t>
    <phoneticPr fontId="1"/>
  </si>
  <si>
    <t>_VAR_RESETCNT</t>
    <phoneticPr fontId="1"/>
  </si>
  <si>
    <t>M40-1</t>
    <phoneticPr fontId="1"/>
  </si>
  <si>
    <t>M41-1</t>
    <phoneticPr fontId="1"/>
  </si>
  <si>
    <t>WAITKEY</t>
    <phoneticPr fontId="1"/>
  </si>
  <si>
    <t>PRINT</t>
    <phoneticPr fontId="1"/>
  </si>
  <si>
    <t>JUMPNEQ</t>
    <phoneticPr fontId="1"/>
  </si>
  <si>
    <t>0xfffff</t>
    <phoneticPr fontId="1"/>
  </si>
  <si>
    <t>M5-1A</t>
    <phoneticPr fontId="1"/>
  </si>
  <si>
    <t>M5-1B</t>
    <phoneticPr fontId="1"/>
  </si>
  <si>
    <t>M5-2A</t>
    <phoneticPr fontId="1"/>
  </si>
  <si>
    <t>M5-2B</t>
    <phoneticPr fontId="1"/>
  </si>
  <si>
    <t>M6-1A</t>
    <phoneticPr fontId="1"/>
  </si>
  <si>
    <t>M6-1B</t>
    <phoneticPr fontId="1"/>
  </si>
  <si>
    <t>M7-1A</t>
    <phoneticPr fontId="1"/>
  </si>
  <si>
    <t>M7-1B</t>
    <phoneticPr fontId="1"/>
  </si>
  <si>
    <t>M8-1A</t>
    <phoneticPr fontId="1"/>
  </si>
  <si>
    <t>M8-1B</t>
    <phoneticPr fontId="1"/>
  </si>
  <si>
    <t>M39-1A</t>
    <phoneticPr fontId="1"/>
  </si>
  <si>
    <t>M39-1B</t>
    <phoneticPr fontId="1"/>
  </si>
  <si>
    <t>M39-2A</t>
    <phoneticPr fontId="1"/>
  </si>
  <si>
    <t>M39-3A</t>
    <phoneticPr fontId="1"/>
  </si>
  <si>
    <t>M39-3B</t>
    <phoneticPr fontId="1"/>
  </si>
  <si>
    <t>M39-4A</t>
    <phoneticPr fontId="1"/>
  </si>
  <si>
    <t>M39-4B</t>
    <phoneticPr fontId="1"/>
  </si>
  <si>
    <t>M39-5A</t>
    <phoneticPr fontId="1"/>
  </si>
  <si>
    <t>M39-5B</t>
    <phoneticPr fontId="1"/>
  </si>
  <si>
    <t>M42-1A</t>
    <phoneticPr fontId="1"/>
  </si>
  <si>
    <t>M42-1B</t>
    <phoneticPr fontId="1"/>
  </si>
  <si>
    <t>M42-2A</t>
    <phoneticPr fontId="1"/>
  </si>
  <si>
    <t>M42-2B</t>
    <phoneticPr fontId="1"/>
  </si>
  <si>
    <t>M43-1A</t>
    <phoneticPr fontId="1"/>
  </si>
  <si>
    <t>M43-1B</t>
    <phoneticPr fontId="1"/>
  </si>
  <si>
    <t>M43-2A</t>
    <phoneticPr fontId="1"/>
  </si>
  <si>
    <t>M43-2B</t>
    <phoneticPr fontId="1"/>
  </si>
  <si>
    <t>M44-1A</t>
    <phoneticPr fontId="1"/>
  </si>
  <si>
    <t>M44-1B</t>
    <phoneticPr fontId="1"/>
  </si>
  <si>
    <t>M45-1A</t>
    <phoneticPr fontId="1"/>
  </si>
  <si>
    <t>M45-1B</t>
    <phoneticPr fontId="1"/>
  </si>
  <si>
    <t>EOS</t>
    <phoneticPr fontId="1"/>
  </si>
  <si>
    <t>詳細手順書(M38～M45)</t>
  </si>
  <si>
    <t>詳細手順書(M46～M54)</t>
  </si>
  <si>
    <t>M55-1</t>
    <phoneticPr fontId="1"/>
  </si>
  <si>
    <t>M55-2</t>
    <phoneticPr fontId="1"/>
  </si>
  <si>
    <t>詳細手順書(M55)</t>
  </si>
  <si>
    <t>評価環境</t>
    <rPh sb="0" eb="2">
      <t>ヒョウカ</t>
    </rPh>
    <rPh sb="2" eb="4">
      <t>カンキョウ</t>
    </rPh>
    <phoneticPr fontId="1"/>
  </si>
  <si>
    <t>TypeA</t>
    <phoneticPr fontId="1"/>
  </si>
  <si>
    <t>TypeB</t>
    <phoneticPr fontId="1"/>
  </si>
  <si>
    <t>TypeC</t>
    <phoneticPr fontId="1"/>
  </si>
  <si>
    <t>TypeC</t>
    <phoneticPr fontId="1"/>
  </si>
  <si>
    <t>TypeA</t>
    <phoneticPr fontId="1"/>
  </si>
  <si>
    <t>評価環境</t>
    <rPh sb="0" eb="2">
      <t>ヒョウカ</t>
    </rPh>
    <rPh sb="2" eb="4">
      <t>カンキョウ</t>
    </rPh>
    <phoneticPr fontId="1"/>
  </si>
  <si>
    <t>TypeB</t>
    <phoneticPr fontId="1"/>
  </si>
  <si>
    <t>M47-8</t>
    <phoneticPr fontId="1"/>
  </si>
  <si>
    <t>M40-1-2</t>
    <phoneticPr fontId="1"/>
  </si>
  <si>
    <t>M41-1-2</t>
  </si>
  <si>
    <t>/*@!Encoding:932*/</t>
  </si>
  <si>
    <t>/***********************************************************************</t>
  </si>
  <si>
    <t xml:space="preserve"> * @file TestScenario.cin</t>
  </si>
  <si>
    <t xml:space="preserve"> * @brief テストシナリオ</t>
  </si>
  <si>
    <t xml:space="preserve"> **********************************************************************/</t>
  </si>
  <si>
    <t>variables</t>
  </si>
  <si>
    <t>{</t>
  </si>
  <si>
    <t>//----------------------------------------------------------------------</t>
  </si>
  <si>
    <t>//　@テスト対象の指定</t>
  </si>
  <si>
    <t>}</t>
  </si>
  <si>
    <t>//ここから下にシナリオ自動挿入</t>
  </si>
  <si>
    <t xml:space="preserve">  enum enTestType {</t>
  </si>
  <si>
    <t xml:space="preserve">    TESTENV_TYPEA,</t>
  </si>
  <si>
    <t xml:space="preserve">    TESTENV_TYPEB,</t>
  </si>
  <si>
    <t xml:space="preserve">    TESTENV_TYPEC,</t>
  </si>
  <si>
    <t xml:space="preserve">  };</t>
  </si>
  <si>
    <t xml:space="preserve">    char param2[20];        /* Param2 */</t>
  </si>
  <si>
    <t xml:space="preserve">    char param3[20];        /* Param3 */</t>
  </si>
  <si>
    <t xml:space="preserve">    char param4[20];        /* Param4 */</t>
  </si>
  <si>
    <t>&lt;testmodule xmlns:xsi="http://www.w3.org/2001/XMLSchema-instance"</t>
  </si>
  <si>
    <t xml:space="preserve">    xmlns="http://www.vector-informatik.de/CANoe/TestModule/1.15"</t>
  </si>
  <si>
    <t xml:space="preserve">    xsi:schemaLocation="http://www.vector-informatik.de/CANoe/TestModule/1.15 testmodule.xsd"</t>
  </si>
  <si>
    <t xml:space="preserve">    title="MsgAuthTest" version="1.0"&gt;</t>
  </si>
  <si>
    <t>&lt;/testmodule&gt;</t>
  </si>
  <si>
    <t>11. xmlファイルテンプレート</t>
    <phoneticPr fontId="3"/>
  </si>
  <si>
    <t>xmlテンプレート</t>
    <phoneticPr fontId="1"/>
  </si>
  <si>
    <t>10. cinファイルテンプレート</t>
    <phoneticPr fontId="3"/>
  </si>
  <si>
    <t>cinテンプレート</t>
    <phoneticPr fontId="1"/>
  </si>
  <si>
    <t xml:space="preserve">    char param5[20];        /* Param5 */</t>
    <phoneticPr fontId="1"/>
  </si>
  <si>
    <t xml:space="preserve">  struct stTestScenarioBlock {</t>
    <phoneticPr fontId="1"/>
  </si>
  <si>
    <t xml:space="preserve">    char cmd[20];           /* コマンド種別 */</t>
    <phoneticPr fontId="1"/>
  </si>
  <si>
    <t xml:space="preserve">    byte index;             /* インデックス番号 */</t>
    <phoneticPr fontId="1"/>
  </si>
  <si>
    <t>&lt;?xml version="1.0" encoding="UTF-8" standalone="yes"?&gt;</t>
    <phoneticPr fontId="1"/>
  </si>
  <si>
    <t>&lt;completion&gt;&lt;capltestfunction name="TestEnd" title="TestEnd"/&gt;&lt;/completion&gt;</t>
    <phoneticPr fontId="1"/>
  </si>
  <si>
    <t>CALL</t>
    <phoneticPr fontId="1"/>
  </si>
  <si>
    <t>Sid14</t>
    <phoneticPr fontId="1"/>
  </si>
  <si>
    <t>TypeC</t>
    <phoneticPr fontId="1"/>
  </si>
  <si>
    <t>M17-2-1</t>
    <phoneticPr fontId="1"/>
  </si>
  <si>
    <t>M17-2-2</t>
  </si>
  <si>
    <t>M17-2-3</t>
  </si>
  <si>
    <t>M17-2-4</t>
  </si>
  <si>
    <t>M17-1</t>
    <phoneticPr fontId="1"/>
  </si>
  <si>
    <t>DTCクリアを実施する</t>
    <rPh sb="7" eb="9">
      <t>ジッシ</t>
    </rPh>
    <phoneticPr fontId="1"/>
  </si>
  <si>
    <t>現在故障DTC U2401-00がメモリされていないことを確認する</t>
    <rPh sb="29" eb="31">
      <t>カクニン</t>
    </rPh>
    <phoneticPr fontId="1"/>
  </si>
  <si>
    <t>M17-2</t>
    <phoneticPr fontId="1"/>
  </si>
  <si>
    <t>⑤受信タイムアウト時間以内に正常受信に復帰した際、同期メッセージの検証NG回数が0になること。</t>
  </si>
  <si>
    <t>M36-2-1</t>
    <phoneticPr fontId="1"/>
  </si>
  <si>
    <t>M36-2-3</t>
  </si>
  <si>
    <t>M36-2-4</t>
  </si>
  <si>
    <t>M36-2-5</t>
  </si>
  <si>
    <t>M36-2-6</t>
  </si>
  <si>
    <t>M36-2-7</t>
  </si>
  <si>
    <t>M36-2-8</t>
  </si>
  <si>
    <t>M36-1</t>
    <phoneticPr fontId="1"/>
  </si>
  <si>
    <t>M36-2</t>
    <phoneticPr fontId="1"/>
  </si>
  <si>
    <t>M54-2-1</t>
    <phoneticPr fontId="1"/>
  </si>
  <si>
    <t>M54-2-2</t>
  </si>
  <si>
    <t>M54-2-3</t>
  </si>
  <si>
    <t>M54-2-4</t>
  </si>
  <si>
    <t>M54-1</t>
    <phoneticPr fontId="1"/>
  </si>
  <si>
    <t>M54-2</t>
    <phoneticPr fontId="1"/>
  </si>
  <si>
    <t>検証NG記録データを確認する(NG回数：1)</t>
    <rPh sb="0" eb="2">
      <t>ケンショウ</t>
    </rPh>
    <rPh sb="4" eb="6">
      <t>キロク</t>
    </rPh>
    <rPh sb="10" eb="12">
      <t>カクニン</t>
    </rPh>
    <rPh sb="17" eb="19">
      <t>カイスウ</t>
    </rPh>
    <phoneticPr fontId="1"/>
  </si>
  <si>
    <t>5行目以降のB列に記載すること</t>
    <rPh sb="1" eb="3">
      <t>ギョウメ</t>
    </rPh>
    <rPh sb="3" eb="5">
      <t>イコウ</t>
    </rPh>
    <rPh sb="7" eb="8">
      <t>レツ</t>
    </rPh>
    <rPh sb="9" eb="11">
      <t>キサイ</t>
    </rPh>
    <phoneticPr fontId="1"/>
  </si>
  <si>
    <t>PERI_SEND_FIXEDSYNC</t>
    <phoneticPr fontId="1"/>
  </si>
  <si>
    <t>&lt;Timeout&gt;</t>
    <phoneticPr fontId="1"/>
  </si>
  <si>
    <t>SEND_AUTH</t>
    <phoneticPr fontId="1"/>
  </si>
  <si>
    <t>WAIT</t>
    <phoneticPr fontId="1"/>
  </si>
  <si>
    <t>ADD</t>
    <phoneticPr fontId="1"/>
  </si>
  <si>
    <t>認証子付きメッセージを送信する</t>
  </si>
  <si>
    <t>次のOperationCycleに移行してください。</t>
    <rPh sb="0" eb="1">
      <t>ツギ</t>
    </rPh>
    <rPh sb="17" eb="19">
      <t>イコウ</t>
    </rPh>
    <phoneticPr fontId="1"/>
  </si>
  <si>
    <t>次のOperationCycleに移行する</t>
    <rPh sb="0" eb="1">
      <t>ツギ</t>
    </rPh>
    <rPh sb="17" eb="19">
      <t>イコウ</t>
    </rPh>
    <phoneticPr fontId="1"/>
  </si>
  <si>
    <t>WAIT</t>
    <phoneticPr fontId="1"/>
  </si>
  <si>
    <t>検証NG記録データを確認する(NG回数：3)</t>
    <rPh sb="0" eb="2">
      <t>ケンショウ</t>
    </rPh>
    <rPh sb="4" eb="6">
      <t>キロク</t>
    </rPh>
    <rPh sb="10" eb="12">
      <t>カクニン</t>
    </rPh>
    <phoneticPr fontId="1"/>
  </si>
  <si>
    <t>SET</t>
    <phoneticPr fontId="1"/>
  </si>
  <si>
    <t>_VAR_DWORD2</t>
    <phoneticPr fontId="1"/>
  </si>
  <si>
    <t>_VAR_DWORD1</t>
    <phoneticPr fontId="1"/>
  </si>
  <si>
    <t>ADD</t>
    <phoneticPr fontId="1"/>
  </si>
  <si>
    <t>JUMPLESS</t>
    <phoneticPr fontId="1"/>
  </si>
  <si>
    <t>認証子付きメッセージをメッセージカウンタが最大になるまで送信する</t>
    <rPh sb="0" eb="2">
      <t>ニンショウ</t>
    </rPh>
    <rPh sb="2" eb="3">
      <t>シ</t>
    </rPh>
    <rPh sb="3" eb="4">
      <t>ツ</t>
    </rPh>
    <rPh sb="21" eb="23">
      <t>サイダイ</t>
    </rPh>
    <rPh sb="28" eb="30">
      <t>ソウシン</t>
    </rPh>
    <phoneticPr fontId="1"/>
  </si>
  <si>
    <t>WAIT</t>
    <phoneticPr fontId="1"/>
  </si>
  <si>
    <t>PERI_SEND_AUTH</t>
    <phoneticPr fontId="1"/>
  </si>
  <si>
    <t>AUTH_STOP</t>
    <phoneticPr fontId="1"/>
  </si>
  <si>
    <t>認証子付きメッセージをメッセージカウンタが最大となるまで送信する</t>
    <rPh sb="0" eb="2">
      <t>ニンショウ</t>
    </rPh>
    <rPh sb="2" eb="3">
      <t>シ</t>
    </rPh>
    <rPh sb="3" eb="4">
      <t>ツ</t>
    </rPh>
    <rPh sb="21" eb="23">
      <t>サイダイ</t>
    </rPh>
    <rPh sb="28" eb="30">
      <t>ソウシン</t>
    </rPh>
    <phoneticPr fontId="1"/>
  </si>
  <si>
    <t>PRIMARY_START</t>
  </si>
  <si>
    <t>PRIMARY_START</t>
    <phoneticPr fontId="1"/>
  </si>
  <si>
    <t>PRIMARY_STOP</t>
  </si>
  <si>
    <t>PRIMARY_STOP</t>
    <phoneticPr fontId="1"/>
  </si>
  <si>
    <t>SECONDARY_START</t>
  </si>
  <si>
    <t>SECONDARY_START</t>
    <phoneticPr fontId="1"/>
  </si>
  <si>
    <t>SECONDARY_STOP</t>
    <phoneticPr fontId="1"/>
  </si>
  <si>
    <t>SIM_SECONDARY_START</t>
  </si>
  <si>
    <t>SIM_SECONDARY_START</t>
    <phoneticPr fontId="1"/>
  </si>
  <si>
    <t>SIM_SECONDARY_STOP</t>
    <phoneticPr fontId="1"/>
  </si>
  <si>
    <t>PRIMARY_STARTUP_START</t>
  </si>
  <si>
    <t>PRIMARY_STARTUP_END</t>
  </si>
  <si>
    <t>SECONDARY_STARTUP</t>
  </si>
  <si>
    <t>SecondaryStart</t>
    <phoneticPr fontId="1"/>
  </si>
  <si>
    <t>RCVNODE_START</t>
    <phoneticPr fontId="1"/>
  </si>
  <si>
    <t>dummy</t>
    <phoneticPr fontId="1"/>
  </si>
  <si>
    <t>RCVNODE_START</t>
    <phoneticPr fontId="1"/>
  </si>
  <si>
    <t>通常セカンダリ：認証子付きメッセージ(送信処理)</t>
    <rPh sb="0" eb="2">
      <t>ツウジョウ</t>
    </rPh>
    <rPh sb="8" eb="10">
      <t>ニンショウ</t>
    </rPh>
    <rPh sb="10" eb="11">
      <t>シ</t>
    </rPh>
    <rPh sb="11" eb="12">
      <t>ツ</t>
    </rPh>
    <rPh sb="19" eb="21">
      <t>ソウシン</t>
    </rPh>
    <rPh sb="21" eb="23">
      <t>ショリ</t>
    </rPh>
    <phoneticPr fontId="1"/>
  </si>
  <si>
    <t>通常セカンダリ：認証子付きメッセージ(受信処理)</t>
    <rPh sb="0" eb="2">
      <t>ツウジョウ</t>
    </rPh>
    <rPh sb="8" eb="10">
      <t>ニンショウ</t>
    </rPh>
    <rPh sb="10" eb="11">
      <t>シ</t>
    </rPh>
    <rPh sb="11" eb="12">
      <t>ツ</t>
    </rPh>
    <rPh sb="19" eb="21">
      <t>ジュシン</t>
    </rPh>
    <rPh sb="21" eb="23">
      <t>ショリ</t>
    </rPh>
    <phoneticPr fontId="1"/>
  </si>
  <si>
    <t>通常セカンダリ：同期メッセージ(受信処理)</t>
    <rPh sb="0" eb="2">
      <t>ツウジョウ</t>
    </rPh>
    <rPh sb="8" eb="10">
      <t>ドウキ</t>
    </rPh>
    <rPh sb="16" eb="18">
      <t>ジュシン</t>
    </rPh>
    <rPh sb="18" eb="20">
      <t>ショリ</t>
    </rPh>
    <phoneticPr fontId="1"/>
  </si>
  <si>
    <t>FV管理プライマリの電源をONする</t>
    <rPh sb="2" eb="4">
      <t>カンリ</t>
    </rPh>
    <rPh sb="10" eb="12">
      <t>デンゲン</t>
    </rPh>
    <phoneticPr fontId="1"/>
  </si>
  <si>
    <t>FV管理プライマリの電源をOFFする</t>
    <rPh sb="2" eb="4">
      <t>カンリ</t>
    </rPh>
    <rPh sb="10" eb="12">
      <t>デンゲン</t>
    </rPh>
    <phoneticPr fontId="1"/>
  </si>
  <si>
    <t>プライマリ：同期メッセージ(送信処理)</t>
    <rPh sb="6" eb="8">
      <t>ドウキ</t>
    </rPh>
    <rPh sb="14" eb="16">
      <t>ソウシン</t>
    </rPh>
    <rPh sb="16" eb="18">
      <t>ショリ</t>
    </rPh>
    <phoneticPr fontId="1"/>
  </si>
  <si>
    <t>FV管理プライマリの電源をONしてください。</t>
    <rPh sb="2" eb="4">
      <t>カンリ</t>
    </rPh>
    <rPh sb="10" eb="12">
      <t>デンゲン</t>
    </rPh>
    <phoneticPr fontId="1"/>
  </si>
  <si>
    <t>FV管理プライマリを再度起動する。</t>
    <rPh sb="2" eb="4">
      <t>カンリ</t>
    </rPh>
    <rPh sb="10" eb="12">
      <t>サイド</t>
    </rPh>
    <rPh sb="12" eb="14">
      <t>キドウ</t>
    </rPh>
    <phoneticPr fontId="1"/>
  </si>
  <si>
    <t>FV管理プライマリの電源をOFF→ONしてください。</t>
    <rPh sb="2" eb="4">
      <t>カンリ</t>
    </rPh>
    <rPh sb="10" eb="12">
      <t>デンゲン</t>
    </rPh>
    <phoneticPr fontId="1"/>
  </si>
  <si>
    <t>FV管理プライマリの電源をOFF→ONする</t>
    <rPh sb="2" eb="4">
      <t>カンリ</t>
    </rPh>
    <rPh sb="10" eb="12">
      <t>デンゲン</t>
    </rPh>
    <phoneticPr fontId="1"/>
  </si>
  <si>
    <t>FV管理プライマリをウェイクアップする</t>
    <rPh sb="2" eb="4">
      <t>カンリ</t>
    </rPh>
    <phoneticPr fontId="1"/>
  </si>
  <si>
    <t>FV管理プライマリをウェイクアップしてください。</t>
    <rPh sb="2" eb="4">
      <t>カンリ</t>
    </rPh>
    <phoneticPr fontId="1"/>
  </si>
  <si>
    <t>FV管理プライマリをECUリセット復帰する</t>
    <rPh sb="2" eb="4">
      <t>カンリ</t>
    </rPh>
    <rPh sb="17" eb="19">
      <t>フッキ</t>
    </rPh>
    <phoneticPr fontId="1"/>
  </si>
  <si>
    <t>FV管理プライマリをECUリセット復帰してください。</t>
    <rPh sb="2" eb="4">
      <t>カンリ</t>
    </rPh>
    <rPh sb="17" eb="19">
      <t>フッキ</t>
    </rPh>
    <phoneticPr fontId="1"/>
  </si>
  <si>
    <t>FV管理プライマリのトリップカウンタを最大値-1に書き換える</t>
    <rPh sb="2" eb="4">
      <t>カンリ</t>
    </rPh>
    <rPh sb="19" eb="22">
      <t>サイダイチ</t>
    </rPh>
    <rPh sb="25" eb="26">
      <t>カ</t>
    </rPh>
    <rPh sb="27" eb="28">
      <t>カ</t>
    </rPh>
    <phoneticPr fontId="1"/>
  </si>
  <si>
    <t>FV管理プライマリのトリップカウンタを0xFFFEに書き換えてください。</t>
    <rPh sb="2" eb="4">
      <t>カンリ</t>
    </rPh>
    <rPh sb="26" eb="27">
      <t>カ</t>
    </rPh>
    <rPh sb="28" eb="29">
      <t>カ</t>
    </rPh>
    <phoneticPr fontId="1"/>
  </si>
  <si>
    <t>FV管理プライマリの電源をOFFしてください。</t>
    <rPh sb="2" eb="4">
      <t>カンリ</t>
    </rPh>
    <rPh sb="10" eb="12">
      <t>デンゲン</t>
    </rPh>
    <phoneticPr fontId="1"/>
  </si>
  <si>
    <t>FV管理プライマリのリセットカウンタを0xFFFF0に書き換える</t>
    <rPh sb="2" eb="4">
      <t>カンリ</t>
    </rPh>
    <rPh sb="27" eb="28">
      <t>カ</t>
    </rPh>
    <rPh sb="29" eb="30">
      <t>カ</t>
    </rPh>
    <phoneticPr fontId="1"/>
  </si>
  <si>
    <t>FV管理プライマリのリセットカウンタを0xFFFE0に書き換えてください。</t>
    <rPh sb="2" eb="4">
      <t>カンリ</t>
    </rPh>
    <rPh sb="27" eb="28">
      <t>カ</t>
    </rPh>
    <rPh sb="29" eb="30">
      <t>カ</t>
    </rPh>
    <phoneticPr fontId="1"/>
  </si>
  <si>
    <t>試験対象送信セカンダリの電源をONしてください。</t>
    <rPh sb="0" eb="2">
      <t>シケン</t>
    </rPh>
    <rPh sb="2" eb="4">
      <t>タイショウ</t>
    </rPh>
    <phoneticPr fontId="1"/>
  </si>
  <si>
    <t>対向受信セカンダリの電源をONする</t>
    <rPh sb="0" eb="2">
      <t>タイコウ</t>
    </rPh>
    <rPh sb="2" eb="4">
      <t>ジュシン</t>
    </rPh>
    <rPh sb="10" eb="12">
      <t>デンゲン</t>
    </rPh>
    <phoneticPr fontId="1"/>
  </si>
  <si>
    <t>試験対象送信セカンダリの電源をONする</t>
    <rPh sb="0" eb="2">
      <t>シケン</t>
    </rPh>
    <rPh sb="2" eb="4">
      <t>タイショウ</t>
    </rPh>
    <rPh sb="4" eb="6">
      <t>ソウシン</t>
    </rPh>
    <rPh sb="12" eb="14">
      <t>デンゲン</t>
    </rPh>
    <phoneticPr fontId="1"/>
  </si>
  <si>
    <t>試験対象送信セカンダリをウェイクアップしてください。</t>
    <rPh sb="0" eb="2">
      <t>シケン</t>
    </rPh>
    <rPh sb="2" eb="4">
      <t>タイショウ</t>
    </rPh>
    <phoneticPr fontId="1"/>
  </si>
  <si>
    <t>試験対象送信セカンダリをウェイクアップする</t>
    <rPh sb="0" eb="2">
      <t>シケン</t>
    </rPh>
    <rPh sb="2" eb="4">
      <t>タイショウ</t>
    </rPh>
    <rPh sb="4" eb="6">
      <t>ソウシン</t>
    </rPh>
    <phoneticPr fontId="1"/>
  </si>
  <si>
    <t>試験対象送信セカンダリをECUリセットする</t>
    <rPh sb="0" eb="2">
      <t>シケン</t>
    </rPh>
    <rPh sb="2" eb="4">
      <t>タイショウ</t>
    </rPh>
    <rPh sb="4" eb="6">
      <t>ソウシン</t>
    </rPh>
    <phoneticPr fontId="1"/>
  </si>
  <si>
    <t>試験対象送信セカンダリをECUリセットしてください。</t>
    <rPh sb="0" eb="2">
      <t>シケン</t>
    </rPh>
    <rPh sb="2" eb="4">
      <t>タイショウ</t>
    </rPh>
    <rPh sb="4" eb="6">
      <t>ソウシン</t>
    </rPh>
    <phoneticPr fontId="1"/>
  </si>
  <si>
    <t>試験対象受信セカンダリの電源をONする</t>
    <rPh sb="0" eb="2">
      <t>シケン</t>
    </rPh>
    <rPh sb="2" eb="4">
      <t>タイショウ</t>
    </rPh>
    <rPh sb="4" eb="6">
      <t>ジュシン</t>
    </rPh>
    <rPh sb="12" eb="14">
      <t>デンゲン</t>
    </rPh>
    <phoneticPr fontId="1"/>
  </si>
  <si>
    <t>試験対象受信セカンダリの電源をONしてください。</t>
    <rPh sb="0" eb="2">
      <t>シケン</t>
    </rPh>
    <rPh sb="2" eb="4">
      <t>タイショウ</t>
    </rPh>
    <rPh sb="4" eb="6">
      <t>ジュシン</t>
    </rPh>
    <rPh sb="12" eb="14">
      <t>デンゲン</t>
    </rPh>
    <phoneticPr fontId="1"/>
  </si>
  <si>
    <t>試験対象受信セカンダリをウェイクアップする</t>
    <rPh sb="0" eb="2">
      <t>シケン</t>
    </rPh>
    <rPh sb="2" eb="4">
      <t>タイショウ</t>
    </rPh>
    <rPh sb="4" eb="6">
      <t>ジュシン</t>
    </rPh>
    <phoneticPr fontId="1"/>
  </si>
  <si>
    <t>試験対象受信セカンダリをウェイクアップしてください。</t>
    <rPh sb="0" eb="2">
      <t>シケン</t>
    </rPh>
    <rPh sb="2" eb="4">
      <t>タイショウ</t>
    </rPh>
    <rPh sb="4" eb="6">
      <t>ジュシン</t>
    </rPh>
    <phoneticPr fontId="1"/>
  </si>
  <si>
    <t>試験対象受信セカンダリをECUリセットする</t>
    <rPh sb="0" eb="2">
      <t>シケン</t>
    </rPh>
    <rPh sb="2" eb="4">
      <t>タイショウ</t>
    </rPh>
    <rPh sb="4" eb="6">
      <t>ジュシン</t>
    </rPh>
    <phoneticPr fontId="1"/>
  </si>
  <si>
    <t>試験対象受信セカンダリをECUリセットしてください。</t>
    <rPh sb="0" eb="2">
      <t>シケン</t>
    </rPh>
    <rPh sb="2" eb="4">
      <t>タイショウ</t>
    </rPh>
    <rPh sb="4" eb="6">
      <t>ジュシン</t>
    </rPh>
    <phoneticPr fontId="1"/>
  </si>
  <si>
    <t>対向受信セカンダリの電源をONする</t>
    <rPh sb="10" eb="12">
      <t>デンゲン</t>
    </rPh>
    <phoneticPr fontId="1"/>
  </si>
  <si>
    <t>対向送信セカンダリの電源をONする</t>
    <rPh sb="10" eb="12">
      <t>デンゲン</t>
    </rPh>
    <phoneticPr fontId="1"/>
  </si>
  <si>
    <t>試験対象受信セカンダリ&amp;試験対象送信セカンダリの電源をONする</t>
    <rPh sb="24" eb="26">
      <t>デンゲン</t>
    </rPh>
    <phoneticPr fontId="1"/>
  </si>
  <si>
    <t>試験対象受信セカンダリと試験対象送信セカンダリの電源をONしてください。</t>
    <rPh sb="24" eb="26">
      <t>デンゲン</t>
    </rPh>
    <phoneticPr fontId="1"/>
  </si>
  <si>
    <t>試験対象受信セカンダリと試験対象送信セカンダリをウェイクアップする</t>
    <phoneticPr fontId="1"/>
  </si>
  <si>
    <t>試験対象受信セカンダリと試験対象送信セカンダリをウェイクアップしてください。</t>
    <phoneticPr fontId="1"/>
  </si>
  <si>
    <t>試験対象受信セカンダリと試験対象送信セカンダリをECUリセットする</t>
    <phoneticPr fontId="1"/>
  </si>
  <si>
    <t>試験対象受信セカンダリと試験対象送信セカンダリをECUリセットしてください。</t>
    <phoneticPr fontId="1"/>
  </si>
  <si>
    <t>評価対象となるECUは、"FVプライマリECU"、"FVセカンダリ・MAC送信ECU"、"FVセカンダリ・MAC受信ECU"の3種類である。</t>
    <rPh sb="0" eb="2">
      <t>ヒョウカ</t>
    </rPh>
    <rPh sb="2" eb="4">
      <t>タイショウ</t>
    </rPh>
    <rPh sb="37" eb="39">
      <t>ソウシン</t>
    </rPh>
    <rPh sb="56" eb="58">
      <t>ジュシン</t>
    </rPh>
    <rPh sb="64" eb="66">
      <t>シュルイ</t>
    </rPh>
    <phoneticPr fontId="3"/>
  </si>
  <si>
    <t>プライマリ、送信セカンダリ、受信セカンダリがフルセットの基本構成となる。各ECUの組み合わせ試験を確認できる。</t>
    <rPh sb="6" eb="8">
      <t>ソウシン</t>
    </rPh>
    <rPh sb="14" eb="16">
      <t>ジュシン</t>
    </rPh>
    <rPh sb="28" eb="30">
      <t>キホン</t>
    </rPh>
    <rPh sb="30" eb="32">
      <t>コウセイ</t>
    </rPh>
    <rPh sb="36" eb="37">
      <t>カク</t>
    </rPh>
    <rPh sb="41" eb="42">
      <t>ク</t>
    </rPh>
    <rPh sb="43" eb="44">
      <t>ア</t>
    </rPh>
    <rPh sb="46" eb="48">
      <t>シケン</t>
    </rPh>
    <rPh sb="49" eb="51">
      <t>カクニン</t>
    </rPh>
    <phoneticPr fontId="1"/>
  </si>
  <si>
    <t>最大値付近のECUの挙動を試験する際の基本構成となる。CANoeでプライマリを模擬する。</t>
    <rPh sb="0" eb="3">
      <t>サイダイチ</t>
    </rPh>
    <rPh sb="3" eb="5">
      <t>フキン</t>
    </rPh>
    <rPh sb="10" eb="12">
      <t>キョドウ</t>
    </rPh>
    <rPh sb="13" eb="15">
      <t>シケン</t>
    </rPh>
    <rPh sb="17" eb="18">
      <t>サイ</t>
    </rPh>
    <rPh sb="19" eb="21">
      <t>キホン</t>
    </rPh>
    <rPh sb="21" eb="23">
      <t>コウセイ</t>
    </rPh>
    <rPh sb="39" eb="41">
      <t>モギ</t>
    </rPh>
    <phoneticPr fontId="1"/>
  </si>
  <si>
    <t>異常系（カウンタのズレなど）を試験する際の構成となる。CANoeでプライマリおよび送信セカンダリを模擬する。必要に応じてダイアグの操作も行う。</t>
    <rPh sb="0" eb="2">
      <t>イジョウ</t>
    </rPh>
    <rPh sb="2" eb="3">
      <t>ケイ</t>
    </rPh>
    <rPh sb="15" eb="17">
      <t>シケン</t>
    </rPh>
    <rPh sb="19" eb="20">
      <t>サイ</t>
    </rPh>
    <rPh sb="21" eb="23">
      <t>コウセイ</t>
    </rPh>
    <rPh sb="41" eb="43">
      <t>ソウシン</t>
    </rPh>
    <rPh sb="49" eb="51">
      <t>モギ</t>
    </rPh>
    <rPh sb="54" eb="56">
      <t>ヒツヨウ</t>
    </rPh>
    <rPh sb="57" eb="58">
      <t>オウ</t>
    </rPh>
    <rPh sb="65" eb="67">
      <t>ソウサ</t>
    </rPh>
    <rPh sb="68" eb="69">
      <t>オコナ</t>
    </rPh>
    <phoneticPr fontId="1"/>
  </si>
  <si>
    <t>プライマリ兼受信セカンダリを試験する際の構成となる。CANoeで送信セカンダリを模擬する。必要に応じてダイアグの操作も行う。</t>
    <rPh sb="5" eb="6">
      <t>ケン</t>
    </rPh>
    <rPh sb="6" eb="8">
      <t>ジュシン</t>
    </rPh>
    <rPh sb="14" eb="16">
      <t>シケン</t>
    </rPh>
    <rPh sb="18" eb="19">
      <t>サイ</t>
    </rPh>
    <rPh sb="20" eb="22">
      <t>コウセイ</t>
    </rPh>
    <rPh sb="32" eb="34">
      <t>ソウシン</t>
    </rPh>
    <rPh sb="40" eb="42">
      <t>モギ</t>
    </rPh>
    <rPh sb="45" eb="47">
      <t>ヒツヨウ</t>
    </rPh>
    <rPh sb="48" eb="49">
      <t>オウ</t>
    </rPh>
    <rPh sb="56" eb="58">
      <t>ソウサ</t>
    </rPh>
    <rPh sb="59" eb="60">
      <t>オコナ</t>
    </rPh>
    <phoneticPr fontId="1"/>
  </si>
  <si>
    <t>プライマリ兼送信セカンダリ：認証子付きメッセージ(送信処理)</t>
    <rPh sb="6" eb="8">
      <t>ソウシン</t>
    </rPh>
    <rPh sb="14" eb="16">
      <t>ニンショウ</t>
    </rPh>
    <rPh sb="16" eb="17">
      <t>シ</t>
    </rPh>
    <rPh sb="17" eb="18">
      <t>ツ</t>
    </rPh>
    <rPh sb="25" eb="27">
      <t>ソウシン</t>
    </rPh>
    <rPh sb="27" eb="29">
      <t>ショリ</t>
    </rPh>
    <phoneticPr fontId="1"/>
  </si>
  <si>
    <t>プライマリ兼受信セカンダリ：認証子付きメッセージ(受信処理)</t>
    <rPh sb="6" eb="8">
      <t>ジュシン</t>
    </rPh>
    <rPh sb="14" eb="16">
      <t>ニンショウ</t>
    </rPh>
    <rPh sb="16" eb="17">
      <t>シ</t>
    </rPh>
    <rPh sb="17" eb="18">
      <t>ツ</t>
    </rPh>
    <rPh sb="25" eb="27">
      <t>ジュシン</t>
    </rPh>
    <rPh sb="27" eb="29">
      <t>ショリ</t>
    </rPh>
    <phoneticPr fontId="1"/>
  </si>
  <si>
    <t>プライマリ兼送受信セカンダリ：同期メッセージ(受信処理)</t>
    <rPh sb="6" eb="9">
      <t>ソウジュシン</t>
    </rPh>
    <rPh sb="15" eb="17">
      <t>ドウキ</t>
    </rPh>
    <rPh sb="23" eb="25">
      <t>ジュシン</t>
    </rPh>
    <rPh sb="25" eb="27">
      <t>ショリ</t>
    </rPh>
    <phoneticPr fontId="1"/>
  </si>
  <si>
    <t>プライマリ兼送信セカンダリの電源をONする</t>
    <rPh sb="6" eb="8">
      <t>ソウシン</t>
    </rPh>
    <rPh sb="14" eb="16">
      <t>デンゲン</t>
    </rPh>
    <phoneticPr fontId="1"/>
  </si>
  <si>
    <t>プライマリ兼送信セカンダリの電源をONしてください。</t>
  </si>
  <si>
    <t>プライマリ兼送信セカンダリをウェイクアップする</t>
    <rPh sb="6" eb="8">
      <t>ソウシン</t>
    </rPh>
    <phoneticPr fontId="1"/>
  </si>
  <si>
    <t>プライマリ兼送信セカンダリをウェイクアップしてください。</t>
  </si>
  <si>
    <t>プライマリ兼送信セカンダリをECUリセットする</t>
    <rPh sb="6" eb="8">
      <t>ソウシン</t>
    </rPh>
    <phoneticPr fontId="1"/>
  </si>
  <si>
    <t>プライマリ兼送信セカンダリをECUリセットしてください。</t>
  </si>
  <si>
    <t>プライマリ兼送信セカンダリの電源OFF→ON</t>
    <rPh sb="6" eb="8">
      <t>ソウシン</t>
    </rPh>
    <rPh sb="14" eb="16">
      <t>デンゲン</t>
    </rPh>
    <phoneticPr fontId="1"/>
  </si>
  <si>
    <t>プライマリ兼送信セカンダリの電源をOFF→ONしてください。</t>
  </si>
  <si>
    <t>プライマリ兼送信セカンダリのリセットカウンタを0xfffe0に設定してください。</t>
    <rPh sb="6" eb="8">
      <t>ソウシン</t>
    </rPh>
    <rPh sb="31" eb="33">
      <t>セッテイ</t>
    </rPh>
    <phoneticPr fontId="1"/>
  </si>
  <si>
    <t>プライマリ兼受信セカンダリの電源をONする</t>
    <rPh sb="6" eb="8">
      <t>ジュシン</t>
    </rPh>
    <rPh sb="14" eb="16">
      <t>デンゲン</t>
    </rPh>
    <phoneticPr fontId="1"/>
  </si>
  <si>
    <t>プライマリ兼受信セカンダリの電源をONしてください。</t>
    <rPh sb="6" eb="8">
      <t>ジュシン</t>
    </rPh>
    <rPh sb="14" eb="16">
      <t>デンゲン</t>
    </rPh>
    <phoneticPr fontId="1"/>
  </si>
  <si>
    <t>プライマリ兼受信セカンダリの電源をONする</t>
    <rPh sb="14" eb="16">
      <t>デンゲン</t>
    </rPh>
    <phoneticPr fontId="1"/>
  </si>
  <si>
    <t>プライマリ兼受信セカンダリの電源をONしてください。</t>
    <rPh sb="14" eb="16">
      <t>デンゲン</t>
    </rPh>
    <phoneticPr fontId="1"/>
  </si>
  <si>
    <t>プライマリ兼受信セカンダリをウェイクアップする</t>
    <rPh sb="6" eb="8">
      <t>ジュシン</t>
    </rPh>
    <phoneticPr fontId="1"/>
  </si>
  <si>
    <t>プライマリ兼受信セカンダリをウェイクアップしてください。</t>
    <rPh sb="6" eb="8">
      <t>ジュシン</t>
    </rPh>
    <phoneticPr fontId="1"/>
  </si>
  <si>
    <t>プライマリ兼受信セカンダリをECUリセットする</t>
    <rPh sb="6" eb="8">
      <t>ジュシン</t>
    </rPh>
    <phoneticPr fontId="1"/>
  </si>
  <si>
    <t>プライマリ兼受信セカンダリをECUリセットしてください</t>
    <rPh sb="6" eb="8">
      <t>ジュシン</t>
    </rPh>
    <phoneticPr fontId="1"/>
  </si>
  <si>
    <t>プライマリ兼受信セカンダリのリセットカウンタを0xffe0にしてください。</t>
    <rPh sb="6" eb="8">
      <t>ジュシン</t>
    </rPh>
    <phoneticPr fontId="1"/>
  </si>
  <si>
    <t>プライマリ兼送信セカンダリの電源をONしてください。</t>
    <rPh sb="6" eb="8">
      <t>ソウシン</t>
    </rPh>
    <rPh sb="14" eb="16">
      <t>デンゲン</t>
    </rPh>
    <phoneticPr fontId="1"/>
  </si>
  <si>
    <t>プライマリ</t>
  </si>
  <si>
    <t>FV管理プライマリが送信可能となった直後に、同期メッセージを送信することを確認する。</t>
  </si>
  <si>
    <t>下記により、同期メッセージ内のトリップカウンタが増加することを確認する。
・FV管理プライマリの起動</t>
  </si>
  <si>
    <t>①下記の条件では、同期メッセージのトリップカウンタ値が1増加していること。
- FV管理プライマリの起動後</t>
  </si>
  <si>
    <t>②①において、不揮発性メモリに記憶されていること。
- FV管理プライマリの起動後</t>
  </si>
  <si>
    <t>①下記の条件では、同期メッセージのトリップカウンタ値が1増加していること。
- FV管理プライマリのウェイクアップ</t>
  </si>
  <si>
    <t>②①において、不揮発性メモリに記憶されていること。
- FV管理プライマリのウェイクアップ</t>
  </si>
  <si>
    <t>①下記の条件では、同期メッセージのトリップカウンタ値が1増加していること。
- FV管理プライマリのECUリセット復帰</t>
    <rPh sb="57" eb="59">
      <t>フッキ</t>
    </rPh>
    <phoneticPr fontId="1"/>
  </si>
  <si>
    <t>①下記の条件では、同期メッセージのトリップカウンタ値が1増加していること。
- FV管理プライマリが電源OFF→ON</t>
    <rPh sb="50" eb="52">
      <t>デンゲン</t>
    </rPh>
    <phoneticPr fontId="1"/>
  </si>
  <si>
    <t>試験対象は、同期メッセージとする。
■合否判定
① 下記の同期メッセージを受信した場合、検証未確定の状態であること。
- 一度もFV管理プライマリからの同期メッセージを受信していない
- 同期メッセージの認証OK回数が3回未満
②下記の同期メッセージを受信した場合、MAC鍵登録未完了状態であること。
- 同期メッセージの認証結果が全てNG
③②において、過去故障(Confirmed)DTC U2400-00をメモリすること。
④下記の同期メッセージを受信した場合、正常終了状態であること。
- 同期メッセージの認証OK回数が3回以上</t>
    <rPh sb="0" eb="2">
      <t>シケン</t>
    </rPh>
    <rPh sb="6" eb="8">
      <t>ドウキジッシゴセイジョウジュシンフッキバアイカココショウカキケンショウケンショウ</t>
    </rPh>
    <rPh sb="26" eb="28">
      <t>カキ</t>
    </rPh>
    <rPh sb="29" eb="31">
      <t>ドウキ</t>
    </rPh>
    <rPh sb="37" eb="39">
      <t>ジュシン</t>
    </rPh>
    <rPh sb="41" eb="43">
      <t>バアイ</t>
    </rPh>
    <rPh sb="44" eb="46">
      <t>ケンショウ</t>
    </rPh>
    <rPh sb="46" eb="49">
      <t>ミカクテイ</t>
    </rPh>
    <rPh sb="50" eb="52">
      <t>ジョウタイ</t>
    </rPh>
    <rPh sb="61" eb="63">
      <t>イチド</t>
    </rPh>
    <rPh sb="66" eb="68">
      <t>カンリ</t>
    </rPh>
    <rPh sb="76" eb="78">
      <t>ドウキ</t>
    </rPh>
    <rPh sb="84" eb="86">
      <t>ジュシン</t>
    </rPh>
    <rPh sb="94" eb="96">
      <t>ドウキ</t>
    </rPh>
    <rPh sb="102" eb="104">
      <t>ニンショウ</t>
    </rPh>
    <rPh sb="106" eb="108">
      <t>カイスウ</t>
    </rPh>
    <rPh sb="110" eb="111">
      <t>カイ</t>
    </rPh>
    <rPh sb="111" eb="113">
      <t>ミマン</t>
    </rPh>
    <rPh sb="115" eb="117">
      <t>カキ</t>
    </rPh>
    <rPh sb="118" eb="120">
      <t>ドウキ</t>
    </rPh>
    <rPh sb="126" eb="128">
      <t>ジュシン</t>
    </rPh>
    <rPh sb="130" eb="132">
      <t>バアイ</t>
    </rPh>
    <rPh sb="136" eb="137">
      <t>カギ</t>
    </rPh>
    <rPh sb="137" eb="139">
      <t>トウロク</t>
    </rPh>
    <rPh sb="139" eb="142">
      <t>ミカンリョウ</t>
    </rPh>
    <rPh sb="142" eb="144">
      <t>ジョウタイ</t>
    </rPh>
    <rPh sb="153" eb="155">
      <t>ドウキ</t>
    </rPh>
    <rPh sb="161" eb="163">
      <t>ニンショウ</t>
    </rPh>
    <rPh sb="163" eb="165">
      <t>ケッカ</t>
    </rPh>
    <rPh sb="166" eb="167">
      <t>スベ</t>
    </rPh>
    <rPh sb="178" eb="180">
      <t>カコ</t>
    </rPh>
    <rPh sb="180" eb="182">
      <t>コショウ</t>
    </rPh>
    <rPh sb="216" eb="218">
      <t>カキ</t>
    </rPh>
    <rPh sb="219" eb="221">
      <t>ドウキ</t>
    </rPh>
    <rPh sb="227" eb="229">
      <t>ジュシン</t>
    </rPh>
    <rPh sb="231" eb="233">
      <t>バアイ</t>
    </rPh>
    <rPh sb="234" eb="236">
      <t>セイジョウ</t>
    </rPh>
    <rPh sb="236" eb="238">
      <t>シュウリョウ</t>
    </rPh>
    <rPh sb="238" eb="240">
      <t>ジョウタイ</t>
    </rPh>
    <rPh sb="249" eb="251">
      <t>ドウキ</t>
    </rPh>
    <rPh sb="257" eb="259">
      <t>ニンショウ</t>
    </rPh>
    <rPh sb="261" eb="263">
      <t>カイスウ</t>
    </rPh>
    <rPh sb="265" eb="266">
      <t>カイ</t>
    </rPh>
    <rPh sb="266" eb="268">
      <t>イジョウ</t>
    </rPh>
    <phoneticPr fontId="1"/>
  </si>
  <si>
    <t>送信セカンダリ</t>
    <rPh sb="0" eb="2">
      <t>ソウシン</t>
    </rPh>
    <phoneticPr fontId="1"/>
  </si>
  <si>
    <t>受信セカンダリ</t>
    <rPh sb="0" eb="2">
      <t>ジュシン</t>
    </rPh>
    <phoneticPr fontId="1"/>
  </si>
  <si>
    <t>送信セカンダリ内の最新値（上位ビット・下位ビットの両方含む）を確認可能。</t>
  </si>
  <si>
    <t>セカンダリのメッセージカウンタが最大値の状態の場合、下記の動作をすることを確認する。
・認証子付きメッセージのメッセージカウンタを最大値で固定する
・メッセージカウンタが最大値に達したことをアプリケーションに通知する</t>
  </si>
  <si>
    <t>セカンダリのリセットカウンタが最大値の状態の場合、認証子付きメッセージのメッセージカウンタが最大値に固定されていることを確認する。</t>
  </si>
  <si>
    <t>・MAC鍵：試作鍵以外
・セカンダリ起動からの経過時間：VerifyStart以上</t>
    <rPh sb="4" eb="5">
      <t>カギ</t>
    </rPh>
    <rPh sb="6" eb="8">
      <t>シサク</t>
    </rPh>
    <rPh sb="8" eb="9">
      <t>カギ</t>
    </rPh>
    <rPh sb="9" eb="11">
      <t>イガイ</t>
    </rPh>
    <rPh sb="18" eb="20">
      <t>キドウ</t>
    </rPh>
    <rPh sb="23" eb="25">
      <t>ケイカ</t>
    </rPh>
    <rPh sb="25" eb="27">
      <t>ジカン</t>
    </rPh>
    <rPh sb="39" eb="41">
      <t>イジョウ</t>
    </rPh>
    <phoneticPr fontId="1"/>
  </si>
  <si>
    <t>セカンダリ起動からの経過時間がVerifyStart未満の場合、下記の認証子付きメッセージを受信した際に、保護対象データを受理し、フレッシュネス値を保持することを確認する。
・送信用認証子：正常
また、セカンダリ起動からの経過時間がVerifyStart未満の場合、下記の認証子付きメッセージを受信した際に、保護対象データを受理し、フレッシュネス値を保持しないことを確認する。
・異常</t>
    <rPh sb="5" eb="7">
      <t>キドウ</t>
    </rPh>
    <rPh sb="10" eb="12">
      <t>ケイカ</t>
    </rPh>
    <rPh sb="12" eb="14">
      <t>ジカン</t>
    </rPh>
    <rPh sb="26" eb="28">
      <t>ミマン</t>
    </rPh>
    <rPh sb="29" eb="31">
      <t>バアイ</t>
    </rPh>
    <rPh sb="32" eb="34">
      <t>カキ</t>
    </rPh>
    <rPh sb="35" eb="37">
      <t>ニンショウ</t>
    </rPh>
    <rPh sb="37" eb="38">
      <t>シ</t>
    </rPh>
    <rPh sb="38" eb="39">
      <t>ツ</t>
    </rPh>
    <rPh sb="46" eb="48">
      <t>ジュシン</t>
    </rPh>
    <rPh sb="50" eb="51">
      <t>サイ</t>
    </rPh>
    <rPh sb="53" eb="55">
      <t>ホゴ</t>
    </rPh>
    <rPh sb="55" eb="57">
      <t>タイショウ</t>
    </rPh>
    <rPh sb="61" eb="63">
      <t>ジュリ</t>
    </rPh>
    <rPh sb="72" eb="73">
      <t>アタイ</t>
    </rPh>
    <rPh sb="74" eb="76">
      <t>ホジ</t>
    </rPh>
    <rPh sb="81" eb="83">
      <t>カクニン</t>
    </rPh>
    <rPh sb="88" eb="90">
      <t>ソウシン</t>
    </rPh>
    <rPh sb="90" eb="91">
      <t>ヨウ</t>
    </rPh>
    <rPh sb="91" eb="93">
      <t>ニンショウ</t>
    </rPh>
    <rPh sb="93" eb="94">
      <t>シ</t>
    </rPh>
    <rPh sb="95" eb="97">
      <t>セイジョウ</t>
    </rPh>
    <rPh sb="128" eb="130">
      <t>ミマン</t>
    </rPh>
    <rPh sb="131" eb="133">
      <t>バアイ</t>
    </rPh>
    <rPh sb="134" eb="136">
      <t>カキ</t>
    </rPh>
    <rPh sb="137" eb="139">
      <t>ニンショウ</t>
    </rPh>
    <rPh sb="139" eb="140">
      <t>シ</t>
    </rPh>
    <rPh sb="140" eb="141">
      <t>ツ</t>
    </rPh>
    <rPh sb="148" eb="150">
      <t>ジュシン</t>
    </rPh>
    <rPh sb="152" eb="153">
      <t>サイ</t>
    </rPh>
    <rPh sb="155" eb="157">
      <t>ホゴ</t>
    </rPh>
    <rPh sb="157" eb="159">
      <t>タイショウ</t>
    </rPh>
    <rPh sb="163" eb="165">
      <t>ジュリ</t>
    </rPh>
    <rPh sb="174" eb="175">
      <t>アタイ</t>
    </rPh>
    <rPh sb="176" eb="178">
      <t>ホジ</t>
    </rPh>
    <rPh sb="184" eb="186">
      <t>カクニン</t>
    </rPh>
    <rPh sb="191" eb="193">
      <t>イジョウ</t>
    </rPh>
    <phoneticPr fontId="1"/>
  </si>
  <si>
    <t>④下記の条件では、認証子付きメッセージが送信されること。(メッセージカウンタが1開始)
- 同期メッセージ受信*2→セカンダリウェイクアップ→送信停止解除後
*2 自身が保持するトリップカウンタおよびリセットカウンタが初期値以外に更新される</t>
    <phoneticPr fontId="1"/>
  </si>
  <si>
    <t>①セカンダリ起動後のトリップカウンタ、リセットカウンタが初期値の状態で、試験対象とするCAN-IDにおいて、1回目に送信される認証子付きメッセージが下記を満たすこと。
- メッセージカウンタ下位：1</t>
    <phoneticPr fontId="1"/>
  </si>
  <si>
    <t>セカンダリ起動からの経過時間がVerifyStart未満の場合、下記の認証子付きメッセージを受信した際に、保護対象データを受理し、フレッシュネス値を保持することを確認する。
・送信用認証子：正常
また、セカンダリ起動からの経過時間がVerifyStart未満の場合、下記の認証子付きメッセージを受信した際に、保護対象データを受理し、フレッシュネス値を保持しないことを確認する。
・異常</t>
  </si>
  <si>
    <t>③下記の条件では、認証子が異常な認証子付きメッセージを受信した場合、認証子付きメッセージの保護対象データを受理すること。
- 同期メッセージ未受信*1、セカンダリ起動からVerifyStart経過前
*1 自身が保持するトリップカウンタまたはリセットカウンタが初期値の状態</t>
    <phoneticPr fontId="1"/>
  </si>
  <si>
    <t>③下記の条件では、認証子が異常な認証子付きメッセージを受信した場合、認証子付きメッセージの保護対象データを受理すること。
- 同期メッセージ受信済み*2、セカンダリ起動からVerifyStart経過前
*2 自身が保持するトリップカウンタおよびリセットカウンタが初期値以外に更新される</t>
    <phoneticPr fontId="1"/>
  </si>
  <si>
    <t>④下記の条件では、認証子が異常な認証子付きメッセージを受信した場合、破棄すること。
- 同期メッセージ未受信*1、セカンダリ起動からVerifyStart経過後
*1 自身が保持するトリップカウンタまたはリセットカウンタが初期値の状態</t>
    <phoneticPr fontId="1"/>
  </si>
  <si>
    <t>④下記の条件では、認証子が異常な認証子付きメッセージを受信した場合、破棄すること。
- 同期メッセージ受信済み*2、セカンダリ起動からVerifyStart経過後
*2 自身が保持するトリップカウンタおよびリセットカウンタが初期値以外に更新される</t>
    <phoneticPr fontId="1"/>
  </si>
  <si>
    <t>⑥下記の条件では、認証子が正常な認証子付きメッセージ(トリップカウンタおよびリセットカウンタが初期値)を受信した場合、認証子付きメッセージの保護対象データを受理すること。(メッセージカウンタは1開始)
- 同期メッセージ受信*2→認証子付きメッセージ受信→セカンダリウェイクアップ→VerifyStart経過後
*2 自身が保持するトリップカウンタおよびリセットカウンタが初期値以外に更新される</t>
    <rPh sb="16" eb="18">
      <t>ニンショウ</t>
    </rPh>
    <rPh sb="18" eb="19">
      <t>シ</t>
    </rPh>
    <phoneticPr fontId="1"/>
  </si>
  <si>
    <t>⑥下記の条件では、認証子が正常な敏捷子付きメッセージ(トリップカウンタおよびリセットカウンタが初期値)を受信した場合、認証子付きメッセージの保護対象データを受理すること。(メッセージカウンタは1開始)
- 同期メッセージ受信*2→認証子付きメッセージ受信→ECUリセット→VerifyStart経過後
*2 自身が保持するトリップカウンタおよびリセットカウンタが初期値以外に更新される</t>
    <phoneticPr fontId="1"/>
  </si>
  <si>
    <t>セカンダリが試作鍵の場合、下記の認証子付きメッセージを受信した際に、保護データを受理し、フレッシュネス値を保持しないことを確認する。
・送信用認証子：異常</t>
    <rPh sb="6" eb="8">
      <t>シサク</t>
    </rPh>
    <rPh sb="8" eb="9">
      <t>カギ</t>
    </rPh>
    <rPh sb="10" eb="12">
      <t>バアイ</t>
    </rPh>
    <rPh sb="13" eb="15">
      <t>カキ</t>
    </rPh>
    <rPh sb="16" eb="20">
      <t>ニンショウシツ</t>
    </rPh>
    <rPh sb="27" eb="29">
      <t>ジュシン</t>
    </rPh>
    <rPh sb="31" eb="32">
      <t>サイ</t>
    </rPh>
    <rPh sb="34" eb="36">
      <t>ホゴ</t>
    </rPh>
    <rPh sb="40" eb="42">
      <t>ジュリ</t>
    </rPh>
    <rPh sb="51" eb="52">
      <t>アタイ</t>
    </rPh>
    <rPh sb="53" eb="55">
      <t>ホジ</t>
    </rPh>
    <rPh sb="61" eb="63">
      <t>カクニン</t>
    </rPh>
    <rPh sb="68" eb="70">
      <t>ソウシン</t>
    </rPh>
    <rPh sb="70" eb="71">
      <t>ヨウ</t>
    </rPh>
    <rPh sb="71" eb="73">
      <t>ニンショウ</t>
    </rPh>
    <rPh sb="73" eb="74">
      <t>シ</t>
    </rPh>
    <rPh sb="75" eb="77">
      <t>イジョウ</t>
    </rPh>
    <phoneticPr fontId="1"/>
  </si>
  <si>
    <t>・セカンダリ起動からの経過時間：VerifyStart以上</t>
  </si>
  <si>
    <t>・MAC鍵：試作鍵以外
・セカンダリ起動からの経過時間：VerifyStart以上</t>
    <rPh sb="4" eb="5">
      <t>カギ</t>
    </rPh>
    <rPh sb="6" eb="8">
      <t>シサク</t>
    </rPh>
    <rPh sb="8" eb="9">
      <t>カギ</t>
    </rPh>
    <rPh sb="9" eb="11">
      <t>イガイ</t>
    </rPh>
    <phoneticPr fontId="1"/>
  </si>
  <si>
    <t>セカンダリのメッセージカウンタが最大値の状態の場合、下記の動作をすることを確認する。
・メッセージカウンタが最大値の認証子付きメッセージの保護対象データを受理すること
・メッセージカウンタが最大値に達したことをアプリケーションを通知する</t>
    <rPh sb="69" eb="71">
      <t>ホゴ</t>
    </rPh>
    <rPh sb="71" eb="73">
      <t>タイショウ</t>
    </rPh>
    <phoneticPr fontId="1"/>
  </si>
  <si>
    <t>・MAC鍵：試作鍵以外
・セカンダリ起動からの経過時間：VerifyStart以上
・試験中は同期メッセージを受信させない</t>
    <rPh sb="4" eb="5">
      <t>カギ</t>
    </rPh>
    <rPh sb="6" eb="8">
      <t>シサク</t>
    </rPh>
    <rPh sb="8" eb="9">
      <t>カギ</t>
    </rPh>
    <rPh sb="9" eb="11">
      <t>イガイ</t>
    </rPh>
    <rPh sb="43" eb="45">
      <t>シケン</t>
    </rPh>
    <rPh sb="45" eb="46">
      <t>チュウ</t>
    </rPh>
    <rPh sb="47" eb="49">
      <t>ドウキ</t>
    </rPh>
    <rPh sb="55" eb="57">
      <t>ジュシン</t>
    </rPh>
    <phoneticPr fontId="1"/>
  </si>
  <si>
    <t>セカンダリのリセットカウンタが最大値の状態の場合、メッセージカウンタが最大値の認証子付きメッセージの保護対象データを受理し、フレッシュネス値を保持することを確認する。</t>
    <rPh sb="50" eb="52">
      <t>ホゴ</t>
    </rPh>
    <rPh sb="52" eb="54">
      <t>タイショウ</t>
    </rPh>
    <rPh sb="69" eb="70">
      <t>アタイ</t>
    </rPh>
    <rPh sb="71" eb="73">
      <t>ホジ</t>
    </rPh>
    <phoneticPr fontId="1"/>
  </si>
  <si>
    <t>① セカンダリ起動時の認証子付きメッセージの検証NG回数が0であること。</t>
    <phoneticPr fontId="1"/>
  </si>
  <si>
    <t>④トリップカウンタが"最大値"の、認証子の正しい同期メッセージのフレッシュネス値を保持すること。
保持する値が初期値以外の場合
※セカンダリにおけるトリップカウンタ値の初期値は0と解釈する</t>
    <rPh sb="58" eb="60">
      <t>イガイ</t>
    </rPh>
    <phoneticPr fontId="1"/>
  </si>
  <si>
    <t>⑦リセットカウンタが"最大値"の、認証子の正しい同期メッセージのフレッシュネス値を保持すること。
保持する値が初期値の場合
※セカンダリにおけるトリップカウンタ値の初期値は0と解釈する</t>
  </si>
  <si>
    <t>⑦リセットカウンタが"最大値"の、認証子の正しい同期メッセージのフレッシュネス値を保持すること。
保持する値が初期値以外の場合
※セカンダリにおけるトリップカウンタ値の初期値は0と解釈する</t>
    <rPh sb="58" eb="60">
      <t>イガイ</t>
    </rPh>
    <phoneticPr fontId="1"/>
  </si>
  <si>
    <t>セカンダリが試作鍵の場合、下記の同期メッセージを受信した際に、フレッシュネス値を保持することを確認する。
・トリップカウンタ/リセットカウンタ：供試品が保持する値(最新値)より大きい
・送信用認証子：異常
また、下記の同期メッセージを受信した際に、フレッシュネス値を保持しないことを確認する。
・トリップカウンタ/リセットカウンタ：供試品が保持する値(最新値)より小さい
・送信用認証子：異常</t>
    <rPh sb="6" eb="8">
      <t>シサク</t>
    </rPh>
    <rPh sb="8" eb="9">
      <t>カギ</t>
    </rPh>
    <rPh sb="10" eb="12">
      <t>バアイ</t>
    </rPh>
    <rPh sb="13" eb="15">
      <t>カキ</t>
    </rPh>
    <rPh sb="16" eb="18">
      <t>ドウキ</t>
    </rPh>
    <rPh sb="24" eb="26">
      <t>ジュシン</t>
    </rPh>
    <rPh sb="28" eb="29">
      <t>サイ</t>
    </rPh>
    <rPh sb="38" eb="39">
      <t>アタイ</t>
    </rPh>
    <rPh sb="40" eb="42">
      <t>ホジ</t>
    </rPh>
    <rPh sb="47" eb="49">
      <t>カクニン</t>
    </rPh>
    <rPh sb="72" eb="74">
      <t>キョウシ</t>
    </rPh>
    <rPh sb="74" eb="75">
      <t>ヒン</t>
    </rPh>
    <rPh sb="76" eb="78">
      <t>ホジ</t>
    </rPh>
    <rPh sb="80" eb="81">
      <t>アタイ</t>
    </rPh>
    <rPh sb="82" eb="84">
      <t>サイシン</t>
    </rPh>
    <rPh sb="84" eb="85">
      <t>アタイ</t>
    </rPh>
    <rPh sb="88" eb="89">
      <t>オオ</t>
    </rPh>
    <rPh sb="93" eb="95">
      <t>ソウシン</t>
    </rPh>
    <rPh sb="95" eb="96">
      <t>ヨウ</t>
    </rPh>
    <rPh sb="96" eb="98">
      <t>ニンショウ</t>
    </rPh>
    <rPh sb="98" eb="99">
      <t>シ</t>
    </rPh>
    <rPh sb="100" eb="102">
      <t>イジョウ</t>
    </rPh>
    <rPh sb="106" eb="108">
      <t>カキ</t>
    </rPh>
    <rPh sb="109" eb="111">
      <t>ドウキ</t>
    </rPh>
    <rPh sb="117" eb="119">
      <t>ジュシン</t>
    </rPh>
    <rPh sb="121" eb="122">
      <t>サイ</t>
    </rPh>
    <rPh sb="131" eb="132">
      <t>アタイ</t>
    </rPh>
    <rPh sb="133" eb="135">
      <t>ホジ</t>
    </rPh>
    <rPh sb="141" eb="143">
      <t>カクニン</t>
    </rPh>
    <rPh sb="182" eb="183">
      <t>チイ</t>
    </rPh>
    <rPh sb="194" eb="196">
      <t>イジョウ</t>
    </rPh>
    <phoneticPr fontId="1"/>
  </si>
  <si>
    <t>セカンダリ起動からの経過時間がVerifyStart未満の場合、下記の同期メッセージを受信した際に、フレッシュネス値を肘しないことを確認する。
・トリップカウンタ/リセットカウンタ：供試品が保持する値(最新値)より大きい
・送信用認証子：異常</t>
    <rPh sb="5" eb="7">
      <t>キドウ</t>
    </rPh>
    <rPh sb="10" eb="12">
      <t>ケイカ</t>
    </rPh>
    <rPh sb="12" eb="14">
      <t>ジカン</t>
    </rPh>
    <rPh sb="26" eb="28">
      <t>ミマン</t>
    </rPh>
    <rPh sb="29" eb="31">
      <t>バアイ</t>
    </rPh>
    <rPh sb="32" eb="34">
      <t>カキ</t>
    </rPh>
    <rPh sb="35" eb="37">
      <t>ドウキ</t>
    </rPh>
    <rPh sb="43" eb="45">
      <t>ジュシン</t>
    </rPh>
    <rPh sb="47" eb="48">
      <t>サイ</t>
    </rPh>
    <rPh sb="57" eb="58">
      <t>アタイ</t>
    </rPh>
    <rPh sb="59" eb="60">
      <t>ヒジ</t>
    </rPh>
    <rPh sb="66" eb="68">
      <t>カクニン</t>
    </rPh>
    <phoneticPr fontId="1"/>
  </si>
  <si>
    <t>試験対象は同期メッセージとする。
■合否判定
①同期メッセージを&lt;&lt;10秒&gt;&gt;間計測し、セカンダリ起動からVerifyStart経過前後のそれぞれ&lt;&lt;3個&gt;&gt;の同期メッセージ全てが下記を満たすこと。
- VerifyStart経過前、経過後ともに、認証子が異常な同期メッセージを受信した場合は同期メッセージのフレッシュネス値を保持しないこと。
②①において、下記を満たすこと。
- アプリケーションにID、認証NGを通知する。</t>
    <rPh sb="146" eb="148">
      <t>ドウキ</t>
    </rPh>
    <rPh sb="161" eb="162">
      <t>アタイ</t>
    </rPh>
    <rPh sb="163" eb="165">
      <t>ホジ</t>
    </rPh>
    <phoneticPr fontId="1"/>
  </si>
  <si>
    <t>①同期メッセージを&lt;&lt;10秒&gt;&gt;間計測し、セカンダリ起動からVerifyStart経過前後のそれぞれ&lt;&lt;3個&gt;&gt;の同期メッセージ全てが下記を満たすこと。
- VerifyStart経過前、経過後ともに、認証子が異常な同期メッセージを受信した場合は同期メッセージのフレッシュネス値を保持しないこと。</t>
  </si>
  <si>
    <t>セカンダリのトリップ・リセットカウンタの初期値が正しいことを確認する。</t>
  </si>
  <si>
    <t>セカンダリのトリップカウンタが規定範囲(最大値付近)の場合、トリップカウンタが初期値の同期メッセージを受信した際に、フレッシュネス値を保持することを確認する。</t>
    <rPh sb="51" eb="53">
      <t>ジュシン</t>
    </rPh>
    <rPh sb="55" eb="56">
      <t>サイ</t>
    </rPh>
    <rPh sb="65" eb="66">
      <t>アタイ</t>
    </rPh>
    <rPh sb="67" eb="69">
      <t>ホジ</t>
    </rPh>
    <rPh sb="74" eb="76">
      <t>カクニン</t>
    </rPh>
    <phoneticPr fontId="1"/>
  </si>
  <si>
    <t>① セカンダリ起動時の同期メッセージの検証NG回数が0であること。</t>
  </si>
  <si>
    <t>②-1下記の条件では、認証子付きメッセージが送信されること。(メッセージカウンタが1開始)
- 送信停止制御解除後、セカンダリ起動からVerifyStart経過前</t>
  </si>
  <si>
    <t>②-1下記の条件では、認証子付きメッセージが送信されること。(メッセージカウンタが1開始)
- 送信停止制御解除後、セカンダリ起動からVerifyStart経過後</t>
  </si>
  <si>
    <t>③下記の条件では、認証子付きメッセージが送信されること。(メッセージカウンタが1開始)
- 同期メッセージ送信→セカンダリウェイクアップ→送信停止解除後</t>
  </si>
  <si>
    <t>③下記の条件では、認証子付きメッセージが送信されること。(メッセージカウンタが1開始)
- 同期メッセージ送信セカンダリECUリセット→送信停止解除後</t>
  </si>
  <si>
    <t>試験対象は、認証子付きメッセージとする。
■合否判定
①セカンダリ起動後の状態で、試験対象とするCAN-IDにおいて、1回目に送信される認証子付きメッセージが下記を満たすこと。
- メッセージカウンタ下位：1
- 送信用認証子：トリップカウンタ、リセットカウンタが初回送信同期メッセージの値と上記を用いて生成された値</t>
    <rPh sb="33" eb="35">
      <t>キドウ</t>
    </rPh>
    <rPh sb="35" eb="36">
      <t>ゴ</t>
    </rPh>
    <rPh sb="37" eb="39">
      <t>ジョウタイ</t>
    </rPh>
    <rPh sb="132" eb="134">
      <t>ショカイ</t>
    </rPh>
    <rPh sb="134" eb="136">
      <t>ソウシン</t>
    </rPh>
    <rPh sb="136" eb="138">
      <t>ドウキ</t>
    </rPh>
    <rPh sb="144" eb="145">
      <t>アタイ</t>
    </rPh>
    <rPh sb="146" eb="148">
      <t>ジョウキ</t>
    </rPh>
    <rPh sb="149" eb="150">
      <t>モチ</t>
    </rPh>
    <rPh sb="152" eb="154">
      <t>セイセイ</t>
    </rPh>
    <rPh sb="157" eb="158">
      <t>アタイ</t>
    </rPh>
    <phoneticPr fontId="1"/>
  </si>
  <si>
    <t>プライマリ兼送信セカンダリ</t>
    <rPh sb="5" eb="6">
      <t>ケン</t>
    </rPh>
    <rPh sb="6" eb="8">
      <t>ソウシン</t>
    </rPh>
    <phoneticPr fontId="1"/>
  </si>
  <si>
    <t>プライマリ兼送信セカンダリ</t>
    <phoneticPr fontId="1"/>
  </si>
  <si>
    <t>プライマリ兼受信セカンダリ</t>
    <rPh sb="5" eb="6">
      <t>ケン</t>
    </rPh>
    <rPh sb="6" eb="8">
      <t>ジュシン</t>
    </rPh>
    <phoneticPr fontId="1"/>
  </si>
  <si>
    <t>プライマリ兼受信セカンダリ</t>
    <phoneticPr fontId="1"/>
  </si>
  <si>
    <t>①下記の条件では、認証子が正常な認証子付きメッセージを受信した場合、認証子付きメッセージの保護対象データを受理すること。(メッセージカウンタは1開始)
- セカンダリ起動からVerifyStart経過前</t>
  </si>
  <si>
    <t>①下記の条件では、認証子が正常な認証子付きメッセージを受信した場合、認証子付きメッセージの保護対象データを受理すること。(メッセージカウンタは1開始)
- セカンダリ起動からVerifyStart経過後</t>
  </si>
  <si>
    <t>③下記の条件では、認証子が異常な認証子付きメッセージを受信した場合、認証子付きメッセージの保護対象データを受理すること。
- セカンダリ起動からVerifyStart経過前</t>
  </si>
  <si>
    <t>④下記の条件では、認証子が異常な認証子付きメッセージを受信した場合、破棄すること。
- セカンダリ起動からVerifyStart経過後</t>
  </si>
  <si>
    <t>① プライマリ兼受信セカンダリ起動直後の状態で、下記の条件の認証子付きメッセージを受信した場合、アプリケーションに検証OKを通知し、フレッシュネス値を保持すること。
- 保護対象データ：任意
- メッセージカウンタ：１
- 送信認証子：トリップカウンタ、リセットカウンタの初期値と上記の値を用いて生成された値</t>
  </si>
  <si>
    <t>プライマリ兼セカンダリが同期メッセージを受信しないことにより、MAC鍵登録未完了状態を検知しないことを確認する。</t>
    <rPh sb="5" eb="6">
      <t>ケン</t>
    </rPh>
    <rPh sb="12" eb="14">
      <t>ドウキ</t>
    </rPh>
    <rPh sb="20" eb="22">
      <t>ジュシン</t>
    </rPh>
    <rPh sb="34" eb="35">
      <t>カギ</t>
    </rPh>
    <rPh sb="35" eb="37">
      <t>トウロク</t>
    </rPh>
    <rPh sb="37" eb="40">
      <t>ミカンリョウ</t>
    </rPh>
    <rPh sb="40" eb="42">
      <t>ジョウタイ</t>
    </rPh>
    <rPh sb="43" eb="45">
      <t>ケンチ</t>
    </rPh>
    <rPh sb="51" eb="53">
      <t>カクニン</t>
    </rPh>
    <phoneticPr fontId="1"/>
  </si>
  <si>
    <t>セカンダリ起動時に、MAC鍵がFV管理プライマリを一致しない状態を検知することを確認する。</t>
    <rPh sb="5" eb="7">
      <t>キドウ</t>
    </rPh>
    <rPh sb="7" eb="8">
      <t>ジ</t>
    </rPh>
    <rPh sb="13" eb="14">
      <t>カギ</t>
    </rPh>
    <rPh sb="17" eb="19">
      <t>カンリ</t>
    </rPh>
    <rPh sb="25" eb="27">
      <t>イッチ</t>
    </rPh>
    <rPh sb="30" eb="32">
      <t>ジョウタイ</t>
    </rPh>
    <rPh sb="33" eb="35">
      <t>ケンチ</t>
    </rPh>
    <rPh sb="40" eb="42">
      <t>カクニン</t>
    </rPh>
    <phoneticPr fontId="1"/>
  </si>
  <si>
    <t>プライマリ</t>
    <phoneticPr fontId="1"/>
  </si>
  <si>
    <t>試験対象は、認証子付きメッセージとする。
■合否判定
①認証子付きメッセージを&lt;&lt;60秒&gt;&gt;間計測し、トリップカウンタ増加前後のそれぞれ&lt;&lt;10個&gt;&gt;の認証子付きメッセージすべてが下記を満たすこと。
- トリップカウンタ増加前は、認証子付きメッセージを送信する度にメッセージカウンタが1増加している。
- トリップカウンタ増加後は、メッセージカウンタが初期値となった後、認証子付きメッセージを送信する度にメッセージカウンタが1増加している。
②認証子付きメッセージを&lt;&lt;60秒&gt;&gt;間計測し、リセットカウンタ増加前後のそれぞれ&lt;&lt;10個&gt;&gt;の同期メッセージすべてが下記を満たすこと。
- リセットカウンタ増加前は、認証子付きメッセージを送信する度にメッセージカウンタが1増加している。
- リセットカウンタ増加後は、メッセージカウンタ初期値となった後、認証子付きメッセージを送信する度にメッセージカウンタが1増加している。</t>
    <phoneticPr fontId="1"/>
  </si>
  <si>
    <t>試験対象は、認証子付きメッセージとする。
■合否判定
① 供試品が保持するリセットカウンタが最大値の場合、下記の条件の認証子付きメッセージを受信した際に、保護対象データを受理し、アプリケーションに検証OKを通知し、フレッシュネス値を保持すること。
- メッセージカウンタ：最大値
② 供試品が保持するリセットカウンタが最大値の場合、下記の条件の認証子付きメッセージを受信した際に、保護対象データを破棄し、アプリケーションにID、検証NGを通知し、フレッシュネス値を保持しないこと。
- メッセージカウンタ：最大値-1
- メッセージカウンタ：初期値
- メッセージカウンタ：最大値-N
※Nは任意の値。</t>
    <phoneticPr fontId="1"/>
  </si>
  <si>
    <t>試験対象は同期メッセージとする。
■合否判定
①供試品が保持するトリップカウンタが"最大値"の場合、下記の条件の同期メッセージを受信した際に、アプリケーションに検証OKを通知し、フレッシュネス値を保持すること。
- 同期メッセージ内のトリップカウンタが"プライマリ初期値"
- 同期メッセージ内のトリップカウンタが"プライマリ初期値+ClearAcceptanceWindow"
②供試品が保持するトリップカウンタが"最大値"の場合、下記の条件の同期メッセージを受信した際に、アプリケーションに検証NGを通知し、フレッシュネス値を保持しないこと。
- 同期メッセージ内のトリップカウンタが”プライマリ初期値+(ClearAcceptanceWindow+1)"
③供試品が保持するトリップカウンタが"最大値-ClearAcceptanceWindow"の場合、下記の条件の同期メッセージを受信した際に、アプリケーションに検証OKを通知し、フレッシュネス値を保持すること。
- 同期メッセージ内のトリップカウンタが"プライマリ初期値"
- 同期メッセージ内のトリップカウンタが"プライマリ初期値+ClearAcceptanceWindow"
④供試品が保持するトリップカウンタが"最大値-ClearAcceptanceWindow"の場合、下記の条件の同期メッセージを受信した際に、アプリケーションにID、検証NGを通知し、フレッシュネス値を保持しないこと。
- 同期メッセージ内のトリップカウンタが”プライマリ初期値+(ClearAcceptanceWindow+1)"
⑤供試品が保持するトリップカウンタが"最大値-(ClearAcceptanceWindow+1)"の場合、下記の条件の同期メッセージを受信した際に、アプリケーションにID、検証NGを通知し、フレッシュネス値を保持しないこと。
- 同期メッセージ内のトリップカウンタが"プライマリ初期値"
- 同期メッセージ内のトリップカウンタが"プライマリ初期値+ClearAcceptanceWindow"
- 同期メッセージ内のトリップカウンタが”プライマリ初期値+(ClearAcceptanceWindow+1)"</t>
    <phoneticPr fontId="1"/>
  </si>
  <si>
    <t>下記により、同期メッセージ内のトリップカウンタが増加することを確認する。
・FV管理プライマリの起動
・FV管理プライマリのウェイクアップ
・FV管理プライマリのECUリセット復帰</t>
    <rPh sb="54" eb="56">
      <t>カンリ</t>
    </rPh>
    <rPh sb="73" eb="75">
      <t>カンリ</t>
    </rPh>
    <rPh sb="88" eb="90">
      <t>フッキ</t>
    </rPh>
    <phoneticPr fontId="1"/>
  </si>
  <si>
    <t>M38-1</t>
    <phoneticPr fontId="1"/>
  </si>
  <si>
    <t>試験対象受信セカンダリの電源をON後、1020m以内に再開してください。</t>
    <rPh sb="0" eb="2">
      <t>シケン</t>
    </rPh>
    <rPh sb="2" eb="4">
      <t>タイショウ</t>
    </rPh>
    <rPh sb="4" eb="6">
      <t>ジュシン</t>
    </rPh>
    <rPh sb="12" eb="14">
      <t>デンゲン</t>
    </rPh>
    <rPh sb="17" eb="18">
      <t>ゴ</t>
    </rPh>
    <rPh sb="24" eb="26">
      <t>イナイ</t>
    </rPh>
    <rPh sb="27" eb="29">
      <t>サイカイ</t>
    </rPh>
    <phoneticPr fontId="1"/>
  </si>
  <si>
    <t>試験対象受信セカンダリの電源をON後、1020ms以内に再開してください。</t>
    <rPh sb="0" eb="2">
      <t>シケン</t>
    </rPh>
    <rPh sb="2" eb="4">
      <t>タイショウ</t>
    </rPh>
    <rPh sb="4" eb="6">
      <t>ジュシン</t>
    </rPh>
    <rPh sb="12" eb="14">
      <t>デンゲン</t>
    </rPh>
    <rPh sb="17" eb="18">
      <t>ゴ</t>
    </rPh>
    <rPh sb="25" eb="27">
      <t>イナイ</t>
    </rPh>
    <rPh sb="28" eb="30">
      <t>サイカイ</t>
    </rPh>
    <phoneticPr fontId="1"/>
  </si>
  <si>
    <t>試験対象受信セカンダリをECUリセット後、1020ms以内に再開してください。</t>
    <rPh sb="0" eb="2">
      <t>シケン</t>
    </rPh>
    <rPh sb="2" eb="4">
      <t>タイショウ</t>
    </rPh>
    <rPh sb="4" eb="6">
      <t>ジュシン</t>
    </rPh>
    <rPh sb="19" eb="20">
      <t>ゴ</t>
    </rPh>
    <rPh sb="27" eb="29">
      <t>イナイ</t>
    </rPh>
    <rPh sb="30" eb="32">
      <t>サイカイ</t>
    </rPh>
    <phoneticPr fontId="1"/>
  </si>
  <si>
    <t>試験対象受信セカンダリをウェイクアップ後、1020ms以内に再開してください。</t>
    <rPh sb="0" eb="2">
      <t>シケン</t>
    </rPh>
    <rPh sb="2" eb="4">
      <t>タイショウ</t>
    </rPh>
    <rPh sb="4" eb="6">
      <t>ジュシン</t>
    </rPh>
    <rPh sb="19" eb="20">
      <t>ゴ</t>
    </rPh>
    <rPh sb="27" eb="29">
      <t>イナイ</t>
    </rPh>
    <rPh sb="30" eb="32">
      <t>サイカイ</t>
    </rPh>
    <phoneticPr fontId="1"/>
  </si>
  <si>
    <t>プライマリ兼受信セカンダリの電源をONしてください。</t>
  </si>
  <si>
    <t>WAIT</t>
    <phoneticPr fontId="1"/>
  </si>
  <si>
    <t>プライマリ兼受信セカンダリをウェイクアップ後、1020ms以内に再開してください。</t>
    <rPh sb="6" eb="8">
      <t>ジュシン</t>
    </rPh>
    <rPh sb="21" eb="22">
      <t>ゴ</t>
    </rPh>
    <rPh sb="29" eb="31">
      <t>イナイ</t>
    </rPh>
    <rPh sb="32" eb="34">
      <t>サイカイ</t>
    </rPh>
    <phoneticPr fontId="1"/>
  </si>
  <si>
    <t>プライマリ兼受信セカンダリをECUリセット後、1020ms以内に再開してください。</t>
    <rPh sb="6" eb="8">
      <t>ジュシン</t>
    </rPh>
    <rPh sb="21" eb="22">
      <t>ゴ</t>
    </rPh>
    <rPh sb="29" eb="31">
      <t>イナイ</t>
    </rPh>
    <rPh sb="32" eb="34">
      <t>サイカイ</t>
    </rPh>
    <phoneticPr fontId="1"/>
  </si>
  <si>
    <t>環境設定</t>
    <rPh sb="0" eb="2">
      <t>カンキョウ</t>
    </rPh>
    <rPh sb="2" eb="4">
      <t>セッテイ</t>
    </rPh>
    <phoneticPr fontId="1"/>
  </si>
  <si>
    <t>認証子付きメッセージを送信する</t>
    <rPh sb="0" eb="2">
      <t>ニンショウ</t>
    </rPh>
    <rPh sb="2" eb="3">
      <t>シ</t>
    </rPh>
    <rPh sb="3" eb="4">
      <t>ツ</t>
    </rPh>
    <phoneticPr fontId="1"/>
  </si>
  <si>
    <t>WAIT</t>
    <phoneticPr fontId="1"/>
  </si>
  <si>
    <t xml:space="preserve">    TESTENV_TYPED,</t>
    <phoneticPr fontId="1"/>
  </si>
  <si>
    <t xml:space="preserve">    TESTENV_TYPEE,</t>
    <phoneticPr fontId="1"/>
  </si>
  <si>
    <t xml:space="preserve">    TESTENV_TYPEF</t>
    <phoneticPr fontId="1"/>
  </si>
  <si>
    <t>TypeE</t>
  </si>
  <si>
    <t>TypeE</t>
    <phoneticPr fontId="1"/>
  </si>
  <si>
    <t>ADD</t>
    <phoneticPr fontId="1"/>
  </si>
  <si>
    <t>JUMPLESS</t>
    <phoneticPr fontId="1"/>
  </si>
  <si>
    <t>試験対象送信セカンダリ以外でACK送信を行わないようにしてください。</t>
    <rPh sb="0" eb="2">
      <t>シケン</t>
    </rPh>
    <rPh sb="2" eb="4">
      <t>タイショウ</t>
    </rPh>
    <rPh sb="4" eb="6">
      <t>ソウシン</t>
    </rPh>
    <rPh sb="11" eb="13">
      <t>イガイ</t>
    </rPh>
    <rPh sb="17" eb="19">
      <t>ソウシン</t>
    </rPh>
    <rPh sb="20" eb="21">
      <t>オコナ</t>
    </rPh>
    <phoneticPr fontId="1"/>
  </si>
  <si>
    <t>試験対象送信セカンダリ以外でACK送信を行わないようにしてください。</t>
    <phoneticPr fontId="1"/>
  </si>
  <si>
    <t xml:space="preserve">    char param1[100];       /* Param1 */</t>
    <phoneticPr fontId="1"/>
  </si>
  <si>
    <t>TypeF</t>
    <phoneticPr fontId="1"/>
  </si>
  <si>
    <t>M39-2B</t>
    <phoneticPr fontId="1"/>
  </si>
  <si>
    <t>60秒後測定を停止する</t>
    <rPh sb="4" eb="6">
      <t>ソクテイ</t>
    </rPh>
    <rPh sb="7" eb="9">
      <t>テイシ</t>
    </rPh>
    <phoneticPr fontId="1"/>
  </si>
  <si>
    <t>M2-1-1</t>
    <phoneticPr fontId="1"/>
  </si>
  <si>
    <t>図2-2. 環境構成(TypeE)</t>
    <rPh sb="0" eb="1">
      <t>ズ</t>
    </rPh>
    <rPh sb="6" eb="8">
      <t>カンキョウ</t>
    </rPh>
    <rPh sb="8" eb="10">
      <t>コウセイ</t>
    </rPh>
    <phoneticPr fontId="3"/>
  </si>
  <si>
    <t>図2-2. 環境構成(TypeF)</t>
    <rPh sb="0" eb="1">
      <t>ズ</t>
    </rPh>
    <rPh sb="6" eb="8">
      <t>カンキョウ</t>
    </rPh>
    <rPh sb="8" eb="10">
      <t>コウセイ</t>
    </rPh>
    <phoneticPr fontId="3"/>
  </si>
  <si>
    <t>TypeD</t>
    <phoneticPr fontId="1"/>
  </si>
  <si>
    <t>異常系（カウンタのズレなど）を試験する際の構成となる。CANoeでプライマリを模擬する。必要に応じてダイアグの操作も行う。</t>
    <phoneticPr fontId="1"/>
  </si>
  <si>
    <t>プライマリ兼送信セカンダリを試験する際の構成となる。必要に応じてダイアグの操作も行う。</t>
    <rPh sb="5" eb="6">
      <t>ケン</t>
    </rPh>
    <rPh sb="6" eb="8">
      <t>ソウシン</t>
    </rPh>
    <rPh sb="14" eb="16">
      <t>シケン</t>
    </rPh>
    <rPh sb="18" eb="19">
      <t>サイ</t>
    </rPh>
    <rPh sb="20" eb="22">
      <t>コウセイ</t>
    </rPh>
    <rPh sb="26" eb="28">
      <t>ヒツヨウ</t>
    </rPh>
    <rPh sb="29" eb="30">
      <t>オウ</t>
    </rPh>
    <rPh sb="37" eb="39">
      <t>ソウサ</t>
    </rPh>
    <rPh sb="40" eb="41">
      <t>オコナ</t>
    </rPh>
    <phoneticPr fontId="1"/>
  </si>
  <si>
    <t>WAIT</t>
    <phoneticPr fontId="1"/>
  </si>
  <si>
    <t>詳細手順書(M38～M45)</t>
    <phoneticPr fontId="1"/>
  </si>
  <si>
    <t>詳細手順書(M46～M54)</t>
    <phoneticPr fontId="1"/>
  </si>
  <si>
    <t>詳細手順書(M55)</t>
    <rPh sb="0" eb="2">
      <t>ショウサイ</t>
    </rPh>
    <rPh sb="2" eb="4">
      <t>テジュン</t>
    </rPh>
    <rPh sb="4" eb="5">
      <t>ショ</t>
    </rPh>
    <phoneticPr fontId="1"/>
  </si>
  <si>
    <t>5L1-19-0072-B</t>
    <phoneticPr fontId="1"/>
  </si>
  <si>
    <t>試験対象受信セカンダリの電源OFF→ON</t>
    <rPh sb="0" eb="2">
      <t>シケン</t>
    </rPh>
    <rPh sb="2" eb="4">
      <t>タイショウ</t>
    </rPh>
    <rPh sb="4" eb="6">
      <t>ジュシン</t>
    </rPh>
    <phoneticPr fontId="1"/>
  </si>
  <si>
    <t>試験対象受信セカンダリと試験対象送信セカンダリの電源をOFF→ONする</t>
    <rPh sb="24" eb="26">
      <t>デンゲン</t>
    </rPh>
    <phoneticPr fontId="1"/>
  </si>
  <si>
    <t>プライマリ兼受信セカンダリの電源OFF→ON</t>
    <rPh sb="6" eb="8">
      <t>ジュシン</t>
    </rPh>
    <rPh sb="14" eb="16">
      <t>デンゲン</t>
    </rPh>
    <phoneticPr fontId="1"/>
  </si>
  <si>
    <t>M47-9</t>
    <phoneticPr fontId="1"/>
  </si>
  <si>
    <t>M47-10</t>
    <phoneticPr fontId="1"/>
  </si>
  <si>
    <t>試験対象送信セカンダリの電源をOFF→ONする。</t>
    <rPh sb="0" eb="2">
      <t>シケン</t>
    </rPh>
    <rPh sb="2" eb="4">
      <t>タイショウ</t>
    </rPh>
    <rPh sb="4" eb="6">
      <t>ソウシン</t>
    </rPh>
    <rPh sb="12" eb="14">
      <t>デンゲン</t>
    </rPh>
    <phoneticPr fontId="1"/>
  </si>
  <si>
    <t>試験対象送信セカンダリの電源をOFF→ONしてください。</t>
    <rPh sb="0" eb="2">
      <t>シケン</t>
    </rPh>
    <rPh sb="2" eb="4">
      <t>タイショウ</t>
    </rPh>
    <rPh sb="4" eb="6">
      <t>ソウシン</t>
    </rPh>
    <rPh sb="12" eb="14">
      <t>デンゲン</t>
    </rPh>
    <phoneticPr fontId="1"/>
  </si>
  <si>
    <t>試験対象受信セカンダリの電源をOFF→ONしてください。</t>
    <rPh sb="0" eb="2">
      <t>シケン</t>
    </rPh>
    <rPh sb="2" eb="4">
      <t>タイショウ</t>
    </rPh>
    <rPh sb="4" eb="6">
      <t>ジュシン</t>
    </rPh>
    <rPh sb="12" eb="14">
      <t>デンゲン</t>
    </rPh>
    <phoneticPr fontId="1"/>
  </si>
  <si>
    <t>試験対象受信セカンダリの電源をOFF→ON後、1020ms以内に再開してください。</t>
    <rPh sb="0" eb="2">
      <t>シケン</t>
    </rPh>
    <rPh sb="2" eb="4">
      <t>タイショウ</t>
    </rPh>
    <rPh sb="4" eb="6">
      <t>ジュシン</t>
    </rPh>
    <rPh sb="12" eb="14">
      <t>デンゲン</t>
    </rPh>
    <rPh sb="21" eb="22">
      <t>ゴ</t>
    </rPh>
    <rPh sb="29" eb="31">
      <t>イナイ</t>
    </rPh>
    <rPh sb="32" eb="34">
      <t>サイカイ</t>
    </rPh>
    <phoneticPr fontId="1"/>
  </si>
  <si>
    <t>プライマリ兼送信セカンダリの電源をOFF→ONしてください。</t>
    <rPh sb="14" eb="16">
      <t>デンゲン</t>
    </rPh>
    <phoneticPr fontId="1"/>
  </si>
  <si>
    <t>試験対象受信セカンダリと試験対象送信セカンダリの電源をOFF→ONしてください。</t>
    <rPh sb="24" eb="26">
      <t>デンゲン</t>
    </rPh>
    <phoneticPr fontId="1"/>
  </si>
  <si>
    <t>プライマリ兼受信セカンダリの電源をOFF→ONしてください。</t>
    <rPh sb="6" eb="8">
      <t>ジュシン</t>
    </rPh>
    <rPh sb="14" eb="16">
      <t>デンゲン</t>
    </rPh>
    <phoneticPr fontId="1"/>
  </si>
  <si>
    <t>プライマリ兼受信セカンダリの電源をOFF→ON後、1020ms以内に再開してください。</t>
    <rPh sb="6" eb="8">
      <t>ジュシン</t>
    </rPh>
    <rPh sb="14" eb="16">
      <t>デンゲン</t>
    </rPh>
    <rPh sb="23" eb="24">
      <t>ゴ</t>
    </rPh>
    <rPh sb="31" eb="33">
      <t>イナイ</t>
    </rPh>
    <rPh sb="34" eb="36">
      <t>サイカイ</t>
    </rPh>
    <phoneticPr fontId="1"/>
  </si>
  <si>
    <t>②-1下記の条件では、認証子付きメッセージが送信されていること。(メッセージカウンタが1開始)
 - 同期メッセージ未受信*1、送信停止制御解除後、セカンダリ起動からVerifyStart経過前
*1 自身が保持するトリップカウンタまたはリセットカウンタが初期値の状態</t>
    <phoneticPr fontId="1"/>
  </si>
  <si>
    <t>②-2下記の条件では、認証子付きメッセージが送信されていること。(メッセージカウンタが1開始)
- 同期メッセージ未受信*1、送信停止制御解除後、VerifyStart経過後
*1 自身が保持するトリップカウンタまたはリセットカウンタが初期値の状態</t>
    <phoneticPr fontId="1"/>
  </si>
  <si>
    <t>③-1下記の条件では、認証子付きメッセージが送信されていること。(メッセージカウンタが1開始)
- 同期メッセージ受信済み*2、送信停止制御解除後、セカンダリ起動からVerifyStart経過前
*2 自身が保持するトリップカウンタおよびリセットカウンタが初期値以外に更新される</t>
    <phoneticPr fontId="1"/>
  </si>
  <si>
    <t>③-2下記の条件では、認証子付きメッセージが送信されていること。(メッセージカウンタが1開始)
 - 同期メッセージ受信済み*2、送信停止制御解除後、セカンダリ起動からVerifyStart経過後
*2 自身が保持するトリップカウンタおよびリセットカウンタが初期値以外に更新される</t>
    <phoneticPr fontId="1"/>
  </si>
  <si>
    <t>試験対象は、認証子付きメッセージとする。
■合否判定
①認証子付きメッセージを&lt;&lt;60秒&gt;&gt;間計測し、試験対象とするCAN-IDにおいて、ランダムに抽出した&lt;&lt;10個&gt;&gt;の認証子付きメッセージすべてが下記を満たすこと。
- 保護対象データと送信用フレッシュネス値の位置および値、送信用認証子の位置が通信規定と一致する。
- 送信用認証子の値が、"要求仕様書"の【要求事項：MASND06】、【要求事項：MASND07】および【要求事項：MASND08】に一致する。</t>
    <rPh sb="85" eb="87">
      <t>ドウキ</t>
    </rPh>
    <rPh sb="92" eb="94">
      <t>ジュシン</t>
    </rPh>
    <rPh sb="94" eb="95">
      <t>ス</t>
    </rPh>
    <rPh sb="99" eb="101">
      <t>ソウシン</t>
    </rPh>
    <rPh sb="101" eb="103">
      <t>テイシ</t>
    </rPh>
    <rPh sb="103" eb="105">
      <t>セイギョ</t>
    </rPh>
    <rPh sb="105" eb="106">
      <t>チュウ</t>
    </rPh>
    <rPh sb="167" eb="169">
      <t>キドウカキジョウケンニンショウシツソウシンドウキジュシンドウキミジュシンソウシンテイシセイギョカイジョゴケイカマエツウシンキドウデンゲンケイカマエフッキゴキョカ</t>
    </rPh>
    <phoneticPr fontId="1"/>
  </si>
  <si>
    <t>①認証子付きメッセージを&lt;&lt;60秒&gt;&gt;間計測し、トリップカウンタ増加前後のそれぞれ&lt;&lt;10個&gt;&gt;の認証子付きメッセージすべてが下記を満たすこと。
- トリップカウンタ増加前は、認証子付きメッセージを送信する度にメッセージカウンタが1増加している。</t>
    <rPh sb="49" eb="51">
      <t>ニンショウ</t>
    </rPh>
    <rPh sb="51" eb="52">
      <t>シ</t>
    </rPh>
    <rPh sb="52" eb="53">
      <t>ツ</t>
    </rPh>
    <phoneticPr fontId="1"/>
  </si>
  <si>
    <t>①認証子付きメッセージを&lt;&lt;60秒&gt;&gt;間計測し、トリップカウンタ増加前後のそれぞれ&lt;&lt;10個&gt;&gt;の認証子付きメッセージすべてが下記を満たすこと。
- トリップカウンタ増加後は、メッセージカウンタが初期値となった後、認証子付きメッセージを送信する度にメッセージカウンタが1増加している。</t>
    <rPh sb="49" eb="51">
      <t>ニンショウ</t>
    </rPh>
    <rPh sb="51" eb="52">
      <t>シ</t>
    </rPh>
    <rPh sb="52" eb="53">
      <t>ツ</t>
    </rPh>
    <phoneticPr fontId="1"/>
  </si>
  <si>
    <t>②認証子付きメッセージを&lt;&lt;60秒&gt;&gt;間計測し、リセットカウンタ増加前後のそれぞれ&lt;&lt;10個&gt;&gt;の認証子付きメッセージすべてが下記を満たすこと。
- リセットカウンタ増加前は、認証子付きメッセージを送信する度にメッセージカウンタが1増加している。</t>
    <rPh sb="49" eb="51">
      <t>ニンショウ</t>
    </rPh>
    <rPh sb="51" eb="52">
      <t>シ</t>
    </rPh>
    <rPh sb="52" eb="53">
      <t>ツ</t>
    </rPh>
    <phoneticPr fontId="1"/>
  </si>
  <si>
    <t>②認証子付きメッセージを&lt;&lt;60秒&gt;&gt;間計測し、リセットカウンタ増加前後のそれぞれ&lt;&lt;10個&gt;&gt;の認証子付きメッセージすべてが下記を満たすこと。
- リセットカウンタ増加後は、メッセージカウンタ初期値となった後、認証子付きメッセージを送信する度にメッセージカウンタが1増加している。</t>
    <rPh sb="49" eb="51">
      <t>ニンショウ</t>
    </rPh>
    <rPh sb="51" eb="52">
      <t>シ</t>
    </rPh>
    <rPh sb="52" eb="53">
      <t>ツ</t>
    </rPh>
    <phoneticPr fontId="1"/>
  </si>
  <si>
    <t>①下記の条件では、認証子が正常な認証子付きメッセージを受信した場合、認証子付きメッセージの保護対象データを受理すること。(メッセージカウンタは1開始)
- 同期メッセージ未受信*1、セカンダリ起動からVerifyStart経過前
*1 自身が保持するトリップカウンタまたはリセットカウンタが初期値の状態</t>
    <phoneticPr fontId="1"/>
  </si>
  <si>
    <t>①下記の条件では、認証子が正常な認証子付きメッセージを受信した場合、認証子付きメッセージの保護対象を受理すること。(メッセージカウンタは1開始)
- 同期メッセージ受信済み*2、セカンダリ起動からVerifyStart経過前
*2 自身が保持するトリップカウンタおよびリセットカウンタが初期値以外に更新される</t>
    <phoneticPr fontId="1"/>
  </si>
  <si>
    <t>①下記の条件では、認証子が正常な認証子付きメッセージを受信した場合、認証子付きメッセージの保護対象データを受理すること。(メッセージカウンタは1開始)
- 同期メッセージ未受信*1、セカンダリ起動からVerifyStart経過後
*1 自身が保持するトリップカウンタまたはリセットカウンタが初期値の状態</t>
    <phoneticPr fontId="1"/>
  </si>
  <si>
    <t>①下記の条件では、認証子が正常な認証子付きメッセージを受信した場合、認証子付きメッセージの保護対象を受理すること。(メッセージカウンタは1開始)
- 同期メッセージ受信済み*2、セカンダリ起動からVerifyStart経過後
*2 自身が保持するトリップカウンタおよびリセットカウンタが初期値以外に更新される</t>
    <phoneticPr fontId="1"/>
  </si>
  <si>
    <t>試験対象は、認証子付きメッセージとする。
■合否判定
① 認証子付きメッセージを一定時間（供試品が保持するメッセージカウンタが最大値になるまで）計測した後に、下記の条件の認証子付きメッセージの保護対象データを受理し、アプリケーションに検証OKを通知することを確認する。
- メッセージカウンタ：最大値
② 供試品が保持するメッセージカウンタが"最大値"の場合、下記の条件の認証子付きメッセージの保護対象データを破棄し、アプリケーションにID、検証NGを通知すること。
- メッセージカウンタ：最大値-1
- メッセージカウンタ：初期値
- メッセージカウンタ：最大値-N
③ ①において、メッセージカウンタが最大値に達した際に、メッセージカウンタが最大値に達したことをアプリケーションに通知すること
※Nは任意の値。</t>
    <rPh sb="0" eb="2">
      <t>シケン</t>
    </rPh>
    <rPh sb="96" eb="98">
      <t>ホゴ</t>
    </rPh>
    <rPh sb="98" eb="100">
      <t>タイショウ</t>
    </rPh>
    <rPh sb="117" eb="119">
      <t>ケンショウ</t>
    </rPh>
    <rPh sb="122" eb="124">
      <t>ツウチ</t>
    </rPh>
    <rPh sb="129" eb="131">
      <t>カクニン</t>
    </rPh>
    <rPh sb="153" eb="156">
      <t>キョウシヒン</t>
    </rPh>
    <rPh sb="157" eb="159">
      <t>ホジ</t>
    </rPh>
    <rPh sb="172" eb="175">
      <t>サイダイチ</t>
    </rPh>
    <rPh sb="177" eb="179">
      <t>バアイ</t>
    </rPh>
    <rPh sb="197" eb="199">
      <t>ホゴ</t>
    </rPh>
    <rPh sb="199" eb="201">
      <t>タイショウ</t>
    </rPh>
    <rPh sb="221" eb="223">
      <t>ケンショウ</t>
    </rPh>
    <rPh sb="226" eb="228">
      <t>ツウチ</t>
    </rPh>
    <rPh sb="353" eb="355">
      <t>ニンイ</t>
    </rPh>
    <rPh sb="356" eb="357">
      <t>アタイ</t>
    </rPh>
    <phoneticPr fontId="1"/>
  </si>
  <si>
    <t>試験対象は、認証子付きメッセージとする。
■合否判定
① 供試品が保持するリセットカウンタが最大値の場合、下記の条件の認証子付きメッセージを受信した際に、保護対象データを受理し、アプリケーションに検証OKを通知し、フレッシュネス値を保持すること。
- メッセージカウンタ：最大値
② 供試品が保持するリセットカウンタが最大値の場合、下記の条件の認証子付きメッセージを受信した際に、保護対象データを破棄し、アプリケーションにID、検証NGを通知し、フレッシュネス値を保持しないこと。
- メッセージカウンタ：最大値-1
- メッセージカウンタ：初期値
- メッセージカウンタ：最大値-N
※Nは任意の値。</t>
    <rPh sb="70" eb="72">
      <t>ジュシン</t>
    </rPh>
    <rPh sb="74" eb="75">
      <t>サイ</t>
    </rPh>
    <rPh sb="77" eb="79">
      <t>ホゴ</t>
    </rPh>
    <rPh sb="79" eb="81">
      <t>タイショウ</t>
    </rPh>
    <rPh sb="85" eb="87">
      <t>ジュリ</t>
    </rPh>
    <rPh sb="98" eb="100">
      <t>ケンショウ</t>
    </rPh>
    <rPh sb="103" eb="105">
      <t>ツウチ</t>
    </rPh>
    <rPh sb="114" eb="115">
      <t>アタイ</t>
    </rPh>
    <rPh sb="116" eb="118">
      <t>ホジ</t>
    </rPh>
    <rPh sb="198" eb="200">
      <t>ハキ</t>
    </rPh>
    <phoneticPr fontId="1"/>
  </si>
  <si>
    <t>⑤④において、認証子付きメッセージの検証NG回数の値が0に初期化されること。</t>
    <phoneticPr fontId="1"/>
  </si>
  <si>
    <t>⑨下記の条件では、次のOperationCycleで正常受信に復帰した場合、過去故障(Confirmed)とすること。
- 現在故障DTC U2401-00がメモリ済み</t>
  </si>
  <si>
    <r>
      <t>試験対象は、同期メッセージとする。
■合否判定
① 初回の起動後、１回目に送信された同期メッセージが下記を満たすこと。
- トリップカウンタ値：初期値</t>
    </r>
    <r>
      <rPr>
        <b/>
        <sz val="11"/>
        <rFont val="Meiryo UI"/>
        <family val="3"/>
        <charset val="128"/>
      </rPr>
      <t xml:space="preserve">
</t>
    </r>
    <r>
      <rPr>
        <sz val="11"/>
        <rFont val="Meiryo UI"/>
        <family val="3"/>
        <charset val="128"/>
      </rPr>
      <t>- リセットカウンタ値：初期値+N
- 送信用認証子：トリップカウンタ、およびリセットカウンタが上記の値がで生成された値
※NはResetCycle時間経過ごとに一つ増加する値を示す。</t>
    </r>
    <rPh sb="29" eb="31">
      <t>キドウ</t>
    </rPh>
    <rPh sb="150" eb="152">
      <t>ジカン</t>
    </rPh>
    <rPh sb="152" eb="154">
      <t>ケイカ</t>
    </rPh>
    <rPh sb="157" eb="158">
      <t>ヒト</t>
    </rPh>
    <rPh sb="159" eb="161">
      <t>ゾウカ</t>
    </rPh>
    <rPh sb="163" eb="164">
      <t>アタイ</t>
    </rPh>
    <rPh sb="165" eb="166">
      <t>シメ</t>
    </rPh>
    <phoneticPr fontId="1"/>
  </si>
  <si>
    <t>①トリップカウンタの読み出しに失敗した後、１回目に送信された同期メッセージが下記のいずれかを満たすこと。
- トリップカウンタ値：ALL1データ
- リセットカウンタ値：ALL1データ
- 送信用認証子：トリップカウンタ、およびリセットカウンタが上記の値で生成された値
[2]
- トリップカウンタ値：フェールセーフ値
- リセットカウンタ値：フェールセーフ値
- 送信用認証子：トリップカウンタ、およびリセットカウンタが上記の値で生成された値</t>
    <phoneticPr fontId="1"/>
  </si>
  <si>
    <t>②①において、不揮発性メモリに記憶されていること。
- FV管理プライマリのECUリセット復帰</t>
    <rPh sb="45" eb="47">
      <t>フッキ</t>
    </rPh>
    <phoneticPr fontId="1"/>
  </si>
  <si>
    <t>②①において、不揮発性メモリに記憶されていること。
- FV管理プライマリが電源OFF→ON</t>
    <rPh sb="38" eb="40">
      <t>デンゲン</t>
    </rPh>
    <phoneticPr fontId="1"/>
  </si>
  <si>
    <t>試験対象は、同期メッセージとする。
■合否判定
①下記の条件では、同期メッセージのトリップカウンタ値が1増加していること。
- FV管理プライマリの起動後
- FV管理プライマリのウェイクアップ
- FV管理プライマリのECUリセット復帰
- FV管理プライマリが電源OFF→ON
②①において、不揮発性メモリに記憶されていること。</t>
    <rPh sb="25" eb="27">
      <t>カキ</t>
    </rPh>
    <rPh sb="28" eb="30">
      <t>ジョウケン</t>
    </rPh>
    <rPh sb="33" eb="35">
      <t>ドウキ</t>
    </rPh>
    <rPh sb="49" eb="50">
      <t>アタイ</t>
    </rPh>
    <rPh sb="52" eb="54">
      <t>ゾウカ</t>
    </rPh>
    <rPh sb="82" eb="84">
      <t>カンリ</t>
    </rPh>
    <rPh sb="102" eb="104">
      <t>カンリ</t>
    </rPh>
    <rPh sb="117" eb="119">
      <t>フッキ</t>
    </rPh>
    <rPh sb="124" eb="126">
      <t>カンリ</t>
    </rPh>
    <rPh sb="132" eb="134">
      <t>デンゲン</t>
    </rPh>
    <rPh sb="148" eb="152">
      <t>フキハツセイ</t>
    </rPh>
    <rPh sb="156" eb="158">
      <t>キオク</t>
    </rPh>
    <phoneticPr fontId="1"/>
  </si>
  <si>
    <t>①-1供試品が保持するトリップカウンタが"最大値"の場合、下記の条件の同期メッセージを受信した際に、フレッシュネス値を保持すること。
- 同期メッセージ内のトリップカウンタが"プライマリ初期値"</t>
    <phoneticPr fontId="1"/>
  </si>
  <si>
    <t>①-2供試品が保持するトリップカウンタが"最大値"の場合、下記の条件の同期メッセージを受信した際に、フレッシュネス値を保持すること。
- 同期メッセージ内のトリップカウンタが"プライマリ初期値+ClearAcceptanceWindow"</t>
    <phoneticPr fontId="1"/>
  </si>
  <si>
    <t>②供試品が保持するトリップカウンタが"最大値"の場合、下記の条件の同期メッセージを受信した際に、フレッシュネス値を保持しないこと。
- 同期メッセージ内のトリップカウンタが”プライマリ初期値+(ClearAcceptanceWindow+1)"</t>
    <phoneticPr fontId="1"/>
  </si>
  <si>
    <t>③-1供試品が保持するトリップカウンタが"最大値-ClearAcceptanceWindow"の場合、下記の条件の同期メッセージを受信した際に、フレッシュネス値を保持すること。
- 同期メッセージ内のトリップカウンタが"プライマリ初期値"</t>
    <phoneticPr fontId="1"/>
  </si>
  <si>
    <t>③-2供試品が保持するトリップカウンタが"最大値-ClearAcceptanceWindow"の場合、下記の条件の同期メッセージを受信した際に、フレッシュネス値を保持すること。
- 同期メッセージ内のトリップカウンタが"プライマリ初期値+ClearAcceptanceWindow"</t>
    <phoneticPr fontId="1"/>
  </si>
  <si>
    <t>④供試品が保持するトリップカウンタが"最大値-ClearAcceptanceWindow"の場合、下記の条件の同期メッセージを受信した際に、フレッシュネス値を保持しないこと。
- 同期メッセージ内のトリップカウンタが”プライマリ初期値+(ClearAcceptanceWindow+1)"</t>
    <phoneticPr fontId="1"/>
  </si>
  <si>
    <t>⑤-1供試品が保持するトリップカウンタが"最大値-(ClearAcceptanceWindow+1)"の場合、下記の条件の同期メッセージを受信した際に、レッシュネス値を保持しないこと。
- 同期メッセージ内のトリップカウンタが"プライマリ初期値"</t>
    <phoneticPr fontId="1"/>
  </si>
  <si>
    <t>⑦⑥において、同期メッセージの検証NG回数の値が0に初期化されること。</t>
    <phoneticPr fontId="1"/>
  </si>
  <si>
    <t>試験対象は、認証子付きメッセージとする。
■合否判定
①認証子付きメッセージを&lt;&lt;60秒&gt;&gt;間計測し、トリップカウンタ増加前後のそれぞれ&lt;&lt;10個&gt;&gt;の認証子付きメッセージすべてが下記を満たすこと。
- トリップカウンタ増加前は、認証子付きメッセージを送信する度にメッセージカウンタが1増加している。
- トリップカウンタ増加後は、メッセージカウンタが初期値となった後、認証子付きメッセージを送信する度にメッセージカウンタが1増加している。
②認証子付きメッセージを&lt;&lt;60秒&gt;&gt;間計測し、リセットカウンタ増加前後のそれぞれ&lt;&lt;10個&gt;&gt;の同期メッセージすべてが下記を満たすこと。
- リセットカウンタ増加前は、認証子付きメッセージを送信する度にメッセージカウンタが1増加している。
- リセットカウンタ増加後は、メッセージカウンタ初期値となった後、認証子付きメッセージを送信する度にメッセージカウンタが1増加している。</t>
    <rPh sb="76" eb="78">
      <t>ニンショウ</t>
    </rPh>
    <rPh sb="78" eb="79">
      <t>シ</t>
    </rPh>
    <rPh sb="79" eb="80">
      <t>ツ</t>
    </rPh>
    <phoneticPr fontId="1"/>
  </si>
  <si>
    <t>試験対象は、認証子付きメッセージとする。
■合否判定
① 認証子付きメッセージを一定時間（供試品が保持するメッセージカウンタが最大値になるまで）計測した後に、下記の条件の認証子付きメッセージの保護対象データを受理し、アプリケーションに検証OKを通知することを確認する。
- メッセージカウンタ：最大値
② 供試品が保持するメッセージカウンタが"最大値"の場合、下記の条件の認証子付きメッセージの保護対象データを破棄し、アプリケーションにID、検証NGを通知すること。
- メッセージカウンタ：最大値-1
- メッセージカウンタ：初期値
- メッセージカウンタ：最大値-N
③ ①において、メッセージカウンタが最大値に達した際に、メッセージカウンタが最大値に達したことをアプリケーションに通知すること
※Nは任意の値。</t>
    <rPh sb="0" eb="2">
      <t>シケン</t>
    </rPh>
    <rPh sb="96" eb="98">
      <t>ホゴ</t>
    </rPh>
    <rPh sb="98" eb="100">
      <t>タイショウ</t>
    </rPh>
    <rPh sb="117" eb="119">
      <t>ケンショウ</t>
    </rPh>
    <rPh sb="122" eb="124">
      <t>ツウチ</t>
    </rPh>
    <rPh sb="129" eb="131">
      <t>カクニン</t>
    </rPh>
    <rPh sb="153" eb="156">
      <t>キョウシヒン</t>
    </rPh>
    <rPh sb="157" eb="159">
      <t>ホジ</t>
    </rPh>
    <rPh sb="172" eb="175">
      <t>サイダイチ</t>
    </rPh>
    <rPh sb="177" eb="179">
      <t>バアイ</t>
    </rPh>
    <rPh sb="197" eb="199">
      <t>ホゴ</t>
    </rPh>
    <rPh sb="199" eb="201">
      <t>タイショウ</t>
    </rPh>
    <rPh sb="221" eb="223">
      <t>ケンショウ</t>
    </rPh>
    <rPh sb="226" eb="228">
      <t>ツウチ</t>
    </rPh>
    <rPh sb="280" eb="283">
      <t>サイダイチ</t>
    </rPh>
    <phoneticPr fontId="1"/>
  </si>
  <si>
    <t>⑥下記の条件では、トリップカウンタおよびリセットカウンタが初期値からなる認証子が正常な認証子付きメッセージを受信した場合、認証子付きメッセージの保護対象データを受理すること。(メッセージカウンタは1開始)
- 同期メッセージ送信→認証子付きメッセージ受信→セカンダリウェイクアップ→VerifyStart経過後</t>
    <phoneticPr fontId="1"/>
  </si>
  <si>
    <t>⑥下記の条件では、トリップカウンタおよびリセットカウンタが初期値からなる認証子が正常な認証子付きメッセージを受信した場合、認証子付きメッセージの保護対象データを受理すること。(メッセージカウンタは1開始)
- 同期メッセージ送信→認証子付きメッセー受信→セカンダリECUリセット→VerifyStart経過後</t>
    <phoneticPr fontId="1"/>
  </si>
  <si>
    <t>WAIT</t>
    <phoneticPr fontId="1"/>
  </si>
  <si>
    <t>SET</t>
    <phoneticPr fontId="1"/>
  </si>
  <si>
    <t>_VAR_DWORD1</t>
    <phoneticPr fontId="1"/>
  </si>
  <si>
    <t>ADD</t>
    <phoneticPr fontId="1"/>
  </si>
  <si>
    <t>WAIT</t>
    <phoneticPr fontId="1"/>
  </si>
  <si>
    <t>SET</t>
    <phoneticPr fontId="1"/>
  </si>
  <si>
    <t>ADD</t>
    <phoneticPr fontId="1"/>
  </si>
  <si>
    <t>同期メッセージを送信する(FV減少:2回)</t>
    <rPh sb="0" eb="2">
      <t>ドウキ</t>
    </rPh>
    <rPh sb="8" eb="10">
      <t>ソウシン</t>
    </rPh>
    <rPh sb="15" eb="17">
      <t>ゲンショウ</t>
    </rPh>
    <rPh sb="19" eb="20">
      <t>カイ</t>
    </rPh>
    <phoneticPr fontId="1"/>
  </si>
  <si>
    <t>同期メッセージを送信する(MAC異常:3回)</t>
    <rPh sb="0" eb="2">
      <t>ドウキ</t>
    </rPh>
    <rPh sb="8" eb="10">
      <t>ソウシン</t>
    </rPh>
    <rPh sb="16" eb="18">
      <t>イジョウ</t>
    </rPh>
    <rPh sb="20" eb="21">
      <t>カイ</t>
    </rPh>
    <phoneticPr fontId="1"/>
  </si>
  <si>
    <t>検証NG記録データを確認する(検証NG：3)</t>
    <rPh sb="0" eb="2">
      <t>ケンショウ</t>
    </rPh>
    <rPh sb="4" eb="6">
      <t>キロク</t>
    </rPh>
    <rPh sb="10" eb="12">
      <t>カクニン</t>
    </rPh>
    <phoneticPr fontId="1"/>
  </si>
  <si>
    <t>_VAR_DWORD2</t>
    <phoneticPr fontId="1"/>
  </si>
  <si>
    <t>_VAR_DWORD1</t>
    <phoneticPr fontId="1"/>
  </si>
  <si>
    <t>JUMPLESS</t>
    <phoneticPr fontId="1"/>
  </si>
  <si>
    <t>認証子付きメッセージを送信する(MAC異常：2回)</t>
    <rPh sb="0" eb="2">
      <t>ニンショウ</t>
    </rPh>
    <rPh sb="2" eb="3">
      <t>シ</t>
    </rPh>
    <rPh sb="3" eb="4">
      <t>ツ</t>
    </rPh>
    <rPh sb="11" eb="13">
      <t>ソウシン</t>
    </rPh>
    <rPh sb="19" eb="21">
      <t>イジョウ</t>
    </rPh>
    <rPh sb="23" eb="24">
      <t>カイ</t>
    </rPh>
    <phoneticPr fontId="1"/>
  </si>
  <si>
    <t>認証子付きメッセージを送信する(MAC異常：3回)</t>
    <rPh sb="0" eb="2">
      <t>ニンショウ</t>
    </rPh>
    <rPh sb="2" eb="3">
      <t>シ</t>
    </rPh>
    <rPh sb="3" eb="4">
      <t>ツ</t>
    </rPh>
    <rPh sb="11" eb="13">
      <t>ソウシン</t>
    </rPh>
    <rPh sb="19" eb="21">
      <t>イジョウ</t>
    </rPh>
    <rPh sb="23" eb="24">
      <t>カイ</t>
    </rPh>
    <phoneticPr fontId="1"/>
  </si>
  <si>
    <t>同期メッセージを送信する(FV減少：2回)</t>
    <rPh sb="0" eb="2">
      <t>ドウキ</t>
    </rPh>
    <rPh sb="8" eb="10">
      <t>ソウシン</t>
    </rPh>
    <rPh sb="15" eb="17">
      <t>ゲンショウ</t>
    </rPh>
    <rPh sb="19" eb="20">
      <t>カイ</t>
    </rPh>
    <phoneticPr fontId="1"/>
  </si>
  <si>
    <t>同期メッセージを送信する(MAC異常：4回)</t>
    <rPh sb="0" eb="2">
      <t>ドウキ</t>
    </rPh>
    <rPh sb="8" eb="10">
      <t>ソウシン</t>
    </rPh>
    <rPh sb="16" eb="18">
      <t>イジョウ</t>
    </rPh>
    <rPh sb="20" eb="21">
      <t>カイ</t>
    </rPh>
    <phoneticPr fontId="1"/>
  </si>
  <si>
    <t>検証NG記録データを確認する(検証NG：6)</t>
    <rPh sb="0" eb="2">
      <t>ケンショウ</t>
    </rPh>
    <rPh sb="4" eb="6">
      <t>キロク</t>
    </rPh>
    <rPh sb="10" eb="12">
      <t>カクニン</t>
    </rPh>
    <phoneticPr fontId="1"/>
  </si>
  <si>
    <t xml:space="preserve">試験対象は、認証子付きメッセージとする。
■合否判定
①認証子付きメッセージを&lt;&lt;60秒&gt;&gt;間計測し、通信規定の送信周期と一致すること（誤差&lt;&lt;±20%&gt;&gt;以内）。
</t>
    <phoneticPr fontId="1"/>
  </si>
  <si>
    <t xml:space="preserve">⑦下記の条件では、再度現在故障DTC U2401-00をメモリすること。
- 現在故障DTC U2401-00がメモリ済み
- DTCクリア後、DTC U2401-00条件が成立し続けていること。
</t>
    <phoneticPr fontId="1"/>
  </si>
  <si>
    <t xml:space="preserve">⑧下記の条件では、現在故障DTC U2401-00をメモリしないこと。
- 現在故障DTC U2401-00がメモリ済み
- DTCクリア後、DTC U2401-00条件が非成立であること。
</t>
    <phoneticPr fontId="1"/>
  </si>
  <si>
    <t xml:space="preserve">② ①-5において、下記を満たすこと。
- 認証子付きメッセージのフレッシュネス値を保持しない。
</t>
    <phoneticPr fontId="1"/>
  </si>
  <si>
    <t xml:space="preserve">② ①-5において、下記を満たすこと。
- アプリケーションにID、検証NGを通知する。
</t>
    <phoneticPr fontId="1"/>
  </si>
  <si>
    <t xml:space="preserve">②認証子が異常な認証子付きメッセージを検証NGとして破棄した際に、認証子付きメッセージの検証NG回数の値が1増加すること。
</t>
    <phoneticPr fontId="1"/>
  </si>
  <si>
    <t xml:space="preserve">⑨下記の条件では、次のOperationCycleで正常受信に復帰した場合、過去故障(Confirmed)とすること。
- 現在故障DTC U2401-00がメモリ済み
</t>
    <phoneticPr fontId="1"/>
  </si>
  <si>
    <t xml:space="preserve">⑥受信タイムアウト時間以内に認証子が正常な認証子付きメッセージを受信しなかった場合、現在故障DTC U2401-00をメモリすること。
</t>
    <phoneticPr fontId="1"/>
  </si>
  <si>
    <t xml:space="preserve">受信データ(内部情報)確認可能。
</t>
    <rPh sb="0" eb="2">
      <t>ジュシン</t>
    </rPh>
    <rPh sb="6" eb="8">
      <t>ナイブ</t>
    </rPh>
    <rPh sb="8" eb="10">
      <t>ジョウホウ</t>
    </rPh>
    <rPh sb="11" eb="13">
      <t>カクニン</t>
    </rPh>
    <rPh sb="13" eb="15">
      <t>カノウ</t>
    </rPh>
    <phoneticPr fontId="1"/>
  </si>
  <si>
    <t xml:space="preserve">ダイアグ読み出しで正常受信/異常受信のみ確認可能。
</t>
    <rPh sb="4" eb="5">
      <t>ヨ</t>
    </rPh>
    <rPh sb="6" eb="7">
      <t>ダ</t>
    </rPh>
    <rPh sb="9" eb="11">
      <t>セイジョウ</t>
    </rPh>
    <rPh sb="11" eb="13">
      <t>ジュシン</t>
    </rPh>
    <rPh sb="14" eb="16">
      <t>イジョウ</t>
    </rPh>
    <rPh sb="16" eb="18">
      <t>ジュシン</t>
    </rPh>
    <rPh sb="20" eb="22">
      <t>カクニン</t>
    </rPh>
    <rPh sb="22" eb="24">
      <t>カノウ</t>
    </rPh>
    <phoneticPr fontId="1"/>
  </si>
  <si>
    <t>セカンダリ起動からの経過時間がVerifyStart未満の場合、下記の認証子付きメッセージを受信した際に、保護対象データを受理し、フレッシュネス値を保持することを確認する。
・送信用認証子：正常
また、セカンダリ起動からの経過時間がVerifyStart未満の場合、下記の認証子付きメッセージを受信した際に、保護対象データを受理し、フレッシュネス値を保持しないことを確認する。
・異常</t>
    <phoneticPr fontId="1"/>
  </si>
  <si>
    <t xml:space="preserve">試験対象は、認証子付きメッセージとする。
■合否判定
① トリップカウンタ、リセットカウンタが初期値の状態で、下記の条件の認証子付きメッセージを受信した場合、アプリケーションに検証OKを通知し、フレッシュネス値を保持すること。
- 保護対象データ：任意
- メッセージカウンタ：１
- 送信認証子：トリップカウンタ、リセットカウンタの初期値と上記の値を用いて生成された値
</t>
    <rPh sb="47" eb="50">
      <t>ショキチ</t>
    </rPh>
    <rPh sb="51" eb="53">
      <t>ジョウタイ</t>
    </rPh>
    <rPh sb="55" eb="57">
      <t>カキ</t>
    </rPh>
    <rPh sb="58" eb="60">
      <t>ジョウケン</t>
    </rPh>
    <rPh sb="61" eb="63">
      <t>ニンショウ</t>
    </rPh>
    <rPh sb="63" eb="64">
      <t>シ</t>
    </rPh>
    <rPh sb="64" eb="65">
      <t>ツ</t>
    </rPh>
    <rPh sb="72" eb="74">
      <t>ジュシン</t>
    </rPh>
    <rPh sb="76" eb="78">
      <t>バアイ</t>
    </rPh>
    <rPh sb="88" eb="90">
      <t>ケンショウ</t>
    </rPh>
    <rPh sb="93" eb="95">
      <t>ツウチ</t>
    </rPh>
    <rPh sb="104" eb="105">
      <t>アタイ</t>
    </rPh>
    <rPh sb="106" eb="108">
      <t>ホジ</t>
    </rPh>
    <rPh sb="116" eb="118">
      <t>ホゴ</t>
    </rPh>
    <rPh sb="118" eb="120">
      <t>タイショウ</t>
    </rPh>
    <rPh sb="124" eb="126">
      <t>ニンイ</t>
    </rPh>
    <rPh sb="143" eb="145">
      <t>ソウシン</t>
    </rPh>
    <rPh sb="145" eb="147">
      <t>ニンショウ</t>
    </rPh>
    <rPh sb="147" eb="148">
      <t>シ</t>
    </rPh>
    <rPh sb="167" eb="170">
      <t>ショキチ</t>
    </rPh>
    <rPh sb="171" eb="173">
      <t>ジョウキ</t>
    </rPh>
    <rPh sb="174" eb="175">
      <t>アタイ</t>
    </rPh>
    <rPh sb="176" eb="177">
      <t>モチ</t>
    </rPh>
    <rPh sb="179" eb="181">
      <t>セイセイ</t>
    </rPh>
    <rPh sb="184" eb="185">
      <t>アタイ</t>
    </rPh>
    <phoneticPr fontId="1"/>
  </si>
  <si>
    <t xml:space="preserve">試験対象は、同期メッセージとする。
■合否判定
①同期メッセージを&lt;&lt;60秒&gt;&gt;間計測し、ResetCntTxCycle周期（誤差&lt;&lt;±10%&gt;&gt;以内）で送信されていること。
</t>
    <rPh sb="77" eb="79">
      <t>ソウシン</t>
    </rPh>
    <phoneticPr fontId="1"/>
  </si>
  <si>
    <t xml:space="preserve">試験対象は、同期メッセージとする。
■合否判定
①同期メッセージを&lt;&lt;60秒&gt;&gt;間計測し、ランダムに抽出した&lt;&lt;10個&gt;&gt;の同期メッセージ全てが下記を満たすこと。
- トリップカウンタ、リセットカウンタ、送信用認証子の位置および値が"要求仕様書"の【FVMSG01】と一致する。
</t>
    <phoneticPr fontId="1"/>
  </si>
  <si>
    <t xml:space="preserve">試験対象は、同期メッセージとする。
■合否判定
①同期メッセージを&lt;&lt;60秒&gt;&gt;間計測し、トリップカウンタ増加前後のそれぞれ&lt;&lt;10個&gt;&gt;の同期メッセージ全てが下記を満たすこと。
- トリップカウンタ増加前は、ResetCycle経過毎にリセットカウンタが1増加している。
- トリップカウンタ増加後はリセットカウンタが初期値となった後、ResetCycle経過ごとリセットカウンタが1増加している。
</t>
    <phoneticPr fontId="1"/>
  </si>
  <si>
    <t xml:space="preserve">試験対象は、同期メッセージとする。
■合否判定
①同期メッセージを&lt;&lt;60秒&gt;&gt;間計測し、ランダムに抽出した&lt;&lt;10個&gt;&gt;の同期メッセージ全てが下記を満たすこと。
- ResetCycle経過毎にリセットカウンタが1増加している。
</t>
    <phoneticPr fontId="1"/>
  </si>
  <si>
    <t xml:space="preserve">試験対象は、同期メッセージとする。
■合否判定
①同期メッセージを&lt;&lt;60秒&gt;&gt;間計測し、リセットカウンタ最大値に達する前後のそれぞれ&lt;&lt;10個&gt;&gt;の同期メッセージ全てが下記を満たすこと。
- 同期メッセージ内のリセットカウンタが"最大値未満"の場合、ResetCycle経過ごとにリセットカウンタが1増加している。
- 同期メッセージ内のリセットカウンタが"最大値"の場合、以降の同期メッセージもリセットカウンタが"最大値"のままである。
</t>
    <phoneticPr fontId="1"/>
  </si>
  <si>
    <t xml:space="preserve">試験対象は、認証子付きメッセージとする。
■合否判定
① プライマリ兼受信セカンダリ起動直後の状態で、下記の条件の認証子付きメッセージを受信した場合、アプリケーションに検証OKを通知し、フレッシュネス値を保持すること。
- 保護対象データ：任意
- メッセージカウンタ：１
- 送信認証子：トリップカウンタ、リセットカウンタの初期値と上記の値を用いて生成された値
</t>
    <rPh sb="34" eb="35">
      <t>ケン</t>
    </rPh>
    <rPh sb="35" eb="37">
      <t>ジュシン</t>
    </rPh>
    <rPh sb="42" eb="44">
      <t>キドウ</t>
    </rPh>
    <rPh sb="44" eb="46">
      <t>チョクゴ</t>
    </rPh>
    <rPh sb="47" eb="49">
      <t>ジョウタイ</t>
    </rPh>
    <rPh sb="51" eb="53">
      <t>カキ</t>
    </rPh>
    <rPh sb="54" eb="56">
      <t>ジョウケン</t>
    </rPh>
    <rPh sb="57" eb="59">
      <t>ニンショウ</t>
    </rPh>
    <rPh sb="59" eb="60">
      <t>シ</t>
    </rPh>
    <rPh sb="60" eb="61">
      <t>ツ</t>
    </rPh>
    <rPh sb="68" eb="70">
      <t>ジュシン</t>
    </rPh>
    <rPh sb="72" eb="74">
      <t>バアイ</t>
    </rPh>
    <rPh sb="84" eb="86">
      <t>ケンショウ</t>
    </rPh>
    <rPh sb="89" eb="91">
      <t>ツウチ</t>
    </rPh>
    <rPh sb="100" eb="101">
      <t>アタイ</t>
    </rPh>
    <rPh sb="102" eb="104">
      <t>ホジ</t>
    </rPh>
    <rPh sb="112" eb="114">
      <t>ホゴ</t>
    </rPh>
    <rPh sb="114" eb="116">
      <t>タイショウ</t>
    </rPh>
    <rPh sb="120" eb="122">
      <t>ニンイ</t>
    </rPh>
    <rPh sb="139" eb="141">
      <t>ソウシン</t>
    </rPh>
    <rPh sb="141" eb="143">
      <t>ニンショウ</t>
    </rPh>
    <rPh sb="143" eb="144">
      <t>シ</t>
    </rPh>
    <rPh sb="163" eb="166">
      <t>ショキチ</t>
    </rPh>
    <rPh sb="167" eb="169">
      <t>ジョウキ</t>
    </rPh>
    <rPh sb="170" eb="171">
      <t>アタイ</t>
    </rPh>
    <rPh sb="172" eb="173">
      <t>モチ</t>
    </rPh>
    <rPh sb="175" eb="177">
      <t>セイセイ</t>
    </rPh>
    <rPh sb="180" eb="181">
      <t>アタイ</t>
    </rPh>
    <phoneticPr fontId="1"/>
  </si>
  <si>
    <t xml:space="preserve">①認証子付きメッセージを&lt;&lt;60秒&gt;&gt;間計測し、試験対象とするCAN-IDにおいて、ランダムに抽出した&lt;&lt;10個&gt;&gt;の認証子付きメッセージすべてが下記を満たすこと。
- 送信用認証子の値が、"要求仕様書"の【要求事項：MASND06】、【要求事項：MASND07】および【要求事項：MASND08】に一致する。
</t>
    <phoneticPr fontId="1"/>
  </si>
  <si>
    <t xml:space="preserve">同期メッセージを受けて、送信したかどうかの確認のみ可能となる。
</t>
    <rPh sb="0" eb="2">
      <t>ドウキ</t>
    </rPh>
    <rPh sb="8" eb="9">
      <t>ウ</t>
    </rPh>
    <rPh sb="12" eb="14">
      <t>ソウシン</t>
    </rPh>
    <rPh sb="21" eb="23">
      <t>カクニン</t>
    </rPh>
    <rPh sb="25" eb="27">
      <t>カノウ</t>
    </rPh>
    <phoneticPr fontId="1"/>
  </si>
  <si>
    <t xml:space="preserve">厳密な時間による確認が可能となる。
</t>
    <phoneticPr fontId="1"/>
  </si>
  <si>
    <t xml:space="preserve">カウンタの下位ビットの正しさのみ確認可能。
</t>
    <phoneticPr fontId="1"/>
  </si>
  <si>
    <t xml:space="preserve">送信セカンダリ内の最新値（上位ビット・下位ビットの両方含む）を確認可能。
</t>
    <phoneticPr fontId="1"/>
  </si>
  <si>
    <t xml:space="preserve">②①において、下記を満たすこと。
- アプリケーションに検証OKを通知する。
</t>
    <phoneticPr fontId="1"/>
  </si>
  <si>
    <t xml:space="preserve">②①において、下記を満たすこと。
- 認証子付きメッセージを受理した際は、検証用フレッシュネス値を保持する。
</t>
    <phoneticPr fontId="1"/>
  </si>
  <si>
    <t xml:space="preserve">②において、下記を満たすこと。
- アプリケーションに検証OKを通知する。
</t>
    <phoneticPr fontId="1"/>
  </si>
  <si>
    <t xml:space="preserve">厳密な時間による判断が可能。
</t>
    <phoneticPr fontId="1"/>
  </si>
  <si>
    <t xml:space="preserve">②において、下記を満たすこと。
- 認証子付きメッセージのフレッシュネス値を保持する。
</t>
    <rPh sb="18" eb="20">
      <t>ニンショウ</t>
    </rPh>
    <rPh sb="20" eb="21">
      <t>シ</t>
    </rPh>
    <phoneticPr fontId="1"/>
  </si>
  <si>
    <t xml:space="preserve">⑤③において、下記を満たすこと。
- アプリケーションにID、検証NGを通知する。
</t>
    <phoneticPr fontId="1"/>
  </si>
  <si>
    <t xml:space="preserve">⑤③において、下記を満たすこと。
- 認証子付きメッセージのフレッシュネス値を保持しない。
</t>
    <phoneticPr fontId="1"/>
  </si>
  <si>
    <t xml:space="preserve">⑤④において、下記を満たすこと。
- アプリケーションにID、検証NGを通知する。
</t>
    <phoneticPr fontId="1"/>
  </si>
  <si>
    <t xml:space="preserve">⑤④において、下記を満たすこと。
- 認証子付きメッセージのフレッシュネス値を保持しない。
</t>
    <phoneticPr fontId="1"/>
  </si>
  <si>
    <t xml:space="preserve">③ ①において、メッセージカウンタが最大値に達した際に、メッセージカウンタが最大値に達したことをアプリケーションに通知すること。
</t>
    <phoneticPr fontId="1"/>
  </si>
  <si>
    <t xml:space="preserve">② ①-4において、下記を満たすこと。
- 認証子付きメッセージのフレッシュネス値を保持しない。
</t>
    <phoneticPr fontId="1"/>
  </si>
  <si>
    <t xml:space="preserve">② ①-4において、下記を満たすこと。
- アプリケーションにID、検証NGを通知する。
</t>
    <phoneticPr fontId="1"/>
  </si>
  <si>
    <t xml:space="preserve">② ①-3において、下記を満たすこと。
- 認証子付きメッセージのフレッシュネス値を保持しない。
</t>
    <phoneticPr fontId="1"/>
  </si>
  <si>
    <t xml:space="preserve">② ①-3において、下記を満たすこと。
- アプリケーションにID、検証NGを通知する。
</t>
    <phoneticPr fontId="1"/>
  </si>
  <si>
    <t xml:space="preserve">② ①-2において、下記を満たすこと。
- 認証子付きメッセージのフレッシュネス値を保持しない。
</t>
    <phoneticPr fontId="1"/>
  </si>
  <si>
    <t xml:space="preserve">② ①-1において、下記を満たすこと。
- 認証子付きメッセージのフレッシュネス値を保持しない。
</t>
    <phoneticPr fontId="1"/>
  </si>
  <si>
    <t xml:space="preserve">② ①-1において、下記を満たすこと。
- アプリケーションにID、検証NGを通知する。
</t>
    <phoneticPr fontId="1"/>
  </si>
  <si>
    <t xml:space="preserve">②①-2において、下記を満たすこと。
- 認証子付きメッセージのフレッシュネス値を保持しない。
</t>
    <phoneticPr fontId="1"/>
  </si>
  <si>
    <t xml:space="preserve">②①-2において、下記を満たすこと。
- アプリケーションにID、検証NGを通知する。
</t>
    <phoneticPr fontId="1"/>
  </si>
  <si>
    <t xml:space="preserve">②①-1において、下記を満たすこと。
- 認証子付きメッセージのフレッシュネス値を保持しない。
</t>
    <phoneticPr fontId="1"/>
  </si>
  <si>
    <t xml:space="preserve">②①-1において、下記を満たすこと。
- アプリケーションにID、検証NGを通知する。
</t>
    <phoneticPr fontId="1"/>
  </si>
  <si>
    <t xml:space="preserve">②①において、下記を満たすこと。
- 認証子付きメッセージのフレッシュネス値を保持しない。
</t>
    <phoneticPr fontId="1"/>
  </si>
  <si>
    <t xml:space="preserve">②①において、下記を満たすこと。
- アプリケーションにID、検証NGを通知する。
</t>
    <phoneticPr fontId="1"/>
  </si>
  <si>
    <t xml:space="preserve">② ①-2において、下記を満たすこと。
- アプリケーションにID、検証NGを通知する。
</t>
    <phoneticPr fontId="1"/>
  </si>
  <si>
    <t xml:space="preserve">⑧⑦実施後、DTCクリアを実行し故障要因の発生が、現在故障DTC U2401-00をメモリしないこと。
- 現在故障DTC U2401-00がメモリ済み
- DTCクリア後、DTC U2401-00条件が非成立であること。
</t>
    <phoneticPr fontId="1"/>
  </si>
  <si>
    <t xml:space="preserve">②供試品が保持する値と比べて、トリップカウンタが1増加した、認証子の正しい同期メッセージのフレッシュネス値を保持すること。
保持する値が初期値の場合
※セカンダリにおけるトリップカウンタ値の初期値は0と解釈する
</t>
    <rPh sb="62" eb="64">
      <t>ホジ</t>
    </rPh>
    <rPh sb="66" eb="67">
      <t>アタイ</t>
    </rPh>
    <rPh sb="68" eb="71">
      <t>ショキチ</t>
    </rPh>
    <rPh sb="72" eb="74">
      <t>バアイ</t>
    </rPh>
    <phoneticPr fontId="1"/>
  </si>
  <si>
    <t xml:space="preserve">③供試品が保持する値と比べて、トリップカウンタが2増加した、認証子の正しい同期メッセージのフレッシュネス値を保持すること。
保持する値が初期値の場合
※セカンダリにおけるトリップカウンタ値の初期値は0と解釈する
</t>
    <phoneticPr fontId="1"/>
  </si>
  <si>
    <t xml:space="preserve">④トリップカウンタが"最大値"の、認証子の正しい同期メッセージのフレッシュネス値を保持すること。
保持する値が初期値の場合
※セカンダリにおけるトリップカウンタ値の初期値は0と解釈する
</t>
    <phoneticPr fontId="1"/>
  </si>
  <si>
    <t xml:space="preserve">②供試品が保持する値と比べて、トリップカウンタが1増加した、認証子の正しい同期メッセージのフレッシュネス値を保持すること。
保持する値が初期値以外の場合
※セカンダリにおけるトリップカウンタ値の初期値は0と解釈する
</t>
    <phoneticPr fontId="1"/>
  </si>
  <si>
    <t xml:space="preserve">③供試品が保持する値と比べて、トリップカウンタが2増加した、認証子の正しい同期メッセージのフレッシュネス値を保持すること。
保持する値が初期値以外の場合
※セカンダリにおけるトリップカウンタ値の初期値は0と解釈する
</t>
    <rPh sb="71" eb="73">
      <t>イガイ</t>
    </rPh>
    <phoneticPr fontId="1"/>
  </si>
  <si>
    <t xml:space="preserve">④トリップカウンタが"最大値"の、認証子の正しい同期メッセージのフレッシュネス値を保持すること。
保持する値が初期値以外の場合
※セカンダリにおけるトリップカウンタ値の初期値は0と解釈する
</t>
    <rPh sb="58" eb="60">
      <t>イガイ</t>
    </rPh>
    <phoneticPr fontId="1"/>
  </si>
  <si>
    <t xml:space="preserve">⑤供試品が保持する値と比べて、リセットカウンタが1増加した、認証子の正しい同期メッセージのフレッシュネス値を保持すること。
保持する値が初期値の場合
※セカンダリにおけるトリップカウンタ値の初期値は0と解釈する
</t>
    <phoneticPr fontId="1"/>
  </si>
  <si>
    <t xml:space="preserve">⑥供試品が保持する値と比べて、リセットカウンタが2増加した、認証子の正しい同期メッセージのフレッシュネス値を保持すること。
保持する値が初期値の場合
※セカンダリにおけるトリップカウンタ値の初期値は0と解釈する
</t>
    <phoneticPr fontId="1"/>
  </si>
  <si>
    <t xml:space="preserve">⑦リセットカウンタが"最大値"の、認証子の正しい同期メッセージのフレッシュネス値を保持すること。
保持する値が初期値の場合
※セカンダリにおけるトリップカウンタ値の初期値は0と解釈する
</t>
    <phoneticPr fontId="1"/>
  </si>
  <si>
    <t xml:space="preserve">⑤供試品が保持する値と比べて、リセットカウンタが1増加した、認証子の正しい同期メッセージのフレッシュネス値を保持すること。
保持する値が初期値以外の場合
※セカンダリにおけるトリップカウンタ値の初期値は0と解釈する
</t>
    <rPh sb="71" eb="73">
      <t>イガイ</t>
    </rPh>
    <phoneticPr fontId="1"/>
  </si>
  <si>
    <t xml:space="preserve">⑥供試品が保持する値と比べて、リセットカウンタが2増加した、認証子の正しい同期メッセージのフレッシュネス値を保持すること。
保持する値が初期値以外の場合
※セカンダリにおけるトリップカウンタ値の初期値は0と解釈する
</t>
    <rPh sb="71" eb="73">
      <t>イガイ</t>
    </rPh>
    <phoneticPr fontId="1"/>
  </si>
  <si>
    <t xml:space="preserve">⑦リセットカウンタが"最大値"の、認証子の正しい同期メッセージのフレッシュネス値を保持すること。
保持する値が初期値以外の場合
※セカンダリにおけるトリップカウンタ値の初期値は0と解釈する
</t>
    <rPh sb="58" eb="60">
      <t>イガイ</t>
    </rPh>
    <phoneticPr fontId="1"/>
  </si>
  <si>
    <t xml:space="preserve">①下記の同期メッセージのフレッシュネス値を保持すること。
- トリップカウンタ・リセットカウンタ：供試品が保持する値より大きい
- 送信用認証子：異常
</t>
    <phoneticPr fontId="1"/>
  </si>
  <si>
    <t xml:space="preserve">②下記の同期メッセージのフレッシュネス値を保持しないこと。
- トリップカウンタ・リセットカウンタ：供試品が保持する値より小さい
- 送信用認証子：異常
</t>
    <phoneticPr fontId="1"/>
  </si>
  <si>
    <t xml:space="preserve">①セカンダリ起動後の1回目に受信した同期メッセージが下記の場合に、フレッシュネス値を保持すること。
- トリップカウンタ：１
- リセットカウンタ：１
- 送信用認証子：トリップカウンタおよび、リセットカウンタが上記の値で生成された値
</t>
    <phoneticPr fontId="1"/>
  </si>
  <si>
    <t xml:space="preserve">②セカンダリ起動後の1回目に受信した同期メッセージが下記の場合に、フレッシュネス値を保持すること。
- トリップカウンタ：0
- リセットカウンタ：１
- 送信用認証子：トリップカウンタおよび、リセットカウンタが上記の値で生成された値
</t>
    <phoneticPr fontId="1"/>
  </si>
  <si>
    <t xml:space="preserve">③セカンダリ起動後の1回目に受信した同期メッセージが下記の場合に、フレッシュネス値を保持すること。
- トリップカウンタ：1
- リセットカウンタ：0
- 送信用認証子：トリップカウンタおよび、リセットカウンタが上記の値で生成された値
</t>
    <phoneticPr fontId="1"/>
  </si>
  <si>
    <t xml:space="preserve">④セカンダリ起動後の1回目に受信した同期メッセージが下記の場合に、フレッシュネス値を保持しないこと。
- トリップカウンタ：0
- リセットカウンタ：0
- 送信用認証子：トリップカウンタおよび、リセットカウンタが上記の値で生成された値
</t>
    <phoneticPr fontId="1"/>
  </si>
  <si>
    <t xml:space="preserve">⑤①を実施し、ウェイクアップ後の１回目に受信した同期メッセージが下記の場合に、アプリケーションに検証OKを通知し、フレッシュネス値を保持すること。
- トリップカウンタ：1
- リセットカウンタ：0
- 送信用認証子：トリップカウンタおよび、リセットカウンタが上記の値で生成された値
</t>
    <phoneticPr fontId="1"/>
  </si>
  <si>
    <t xml:space="preserve">⑦①を実施し、ECUリセット復帰後の１回目に受信した同期メッセージが下記の場合に、アプリケーションに検証OKを通知し、フレッシュネス値を保持すること。
- トリップカウンタ：1
- リセットカウンタ：0
- 送信用認証子：トリップカウンタおよび、リセットカウンタが上記の値で生成された値
</t>
    <phoneticPr fontId="1"/>
  </si>
  <si>
    <t xml:space="preserve">⑦①を実施し、ECUリセット復帰後の１回目に受信した同期メッセージが下記の場合に、フレッシュネス値を保持すること。
- トリップカウンタ：1
- リセットカウンタ：0
- 送信用認証子：トリップカウンタおよび、リセットカウンタが上記の値で生成された値
</t>
    <phoneticPr fontId="1"/>
  </si>
  <si>
    <t xml:space="preserve">①-1供試品が保持するトリップカウンタが"最大値"の場合、下記の条件の同期メッセージを受信した際に、フレッシュネス値を保持すること。
- 同期メッセージ内のトリップカウンタが"プライマリ初期値"
</t>
    <phoneticPr fontId="1"/>
  </si>
  <si>
    <t xml:space="preserve">①-2供試品が保持するトリップカウンタが"最大値"の場合、下記の条件の同期メッセージを受信した際に、フレッシュネス値を保持すること。
- 同期メッセージ内のトリップカウンタが"プライマリ初期値+ClearAcceptanceWindow"
</t>
    <phoneticPr fontId="1"/>
  </si>
  <si>
    <t xml:space="preserve">②供試品が保持するトリップカウンタが"最大値"の場合、下記の条件の同期メッセージを受信した際に、フレッシュネス値を保持しないこと。
- 同期メッセージ内のトリップカウンタが”プライマリ初期値+(ClearAcceptanceWindow+1)"
</t>
    <phoneticPr fontId="1"/>
  </si>
  <si>
    <t xml:space="preserve">③-1供試品が保持するトリップカウンタが"最大値-ClearAcceptanceWindow"の場合、下記の条件の同期メッセージを受信した際に、フレッシュネス値を保持すること。
- 同期メッセージ内のトリップカウンタが"プライマリ初期値"
</t>
    <phoneticPr fontId="1"/>
  </si>
  <si>
    <t xml:space="preserve">③-2供試品が保持するトリップカウンタが"最大値-ClearAcceptanceWindow"の場合、下記の条件の同期メッセージを受信した際に、フレッシュネス値を保持すること。
- 同期メッセージ内のトリップカウンタが"プライマリ初期値+ClearAcceptanceWindow"
</t>
    <phoneticPr fontId="1"/>
  </si>
  <si>
    <t xml:space="preserve">④供試品が保持するトリップカウンタが"最大値-ClearAcceptanceWindow"の場合、下記の条件の同期メッセージを受信した際に、フレッシュネス値を保持しないこと。
- 同期メッセージ内のトリップカウンタが”プライマリ初期値+(ClearAcceptanceWindow+1)"
</t>
    <phoneticPr fontId="1"/>
  </si>
  <si>
    <t xml:space="preserve">⑤-1供試品が保持するトリップカウンタが"最大値-(ClearAcceptanceWindow+1)"の場合、下記の条件の同期メッセージを受信した際に、レッシュネス値を保持しないこと。
- 同期メッセージ内のトリップカウンタが"プライマリ初期値"
</t>
    <phoneticPr fontId="1"/>
  </si>
  <si>
    <t xml:space="preserve">⑤-2供試品が保持するトリップカウンタが"最大値-(ClearAcceptanceWindow+1)"の場合、下記の条件の同期メッセージを受信した際に、フレッシュネス値を保持しないこと。
- 同期メッセージ内のトリップカウンタが"プライマリ初期値+ClearAcceptanceWindow"
</t>
    <phoneticPr fontId="1"/>
  </si>
  <si>
    <t xml:space="preserve">⑤-3供試品が保持するトリップカウンタが"最大値-(ClearAcceptanceWindow+1)"の場合、下記の条件の同期メッセージを受信した際に、フレッシュネス値を保持しないこと。
- 同期メッセージ内のトリップカウンタが”プライマリ初期値+(ClearAcceptanceWindow+1)"
</t>
    <phoneticPr fontId="1"/>
  </si>
  <si>
    <t xml:space="preserve">②FV減少なし(保持値と等しい)同期メッセージを検証NGとして破棄した際に、同期メッセージの検証NG回数が増加しないこと。
</t>
    <phoneticPr fontId="1"/>
  </si>
  <si>
    <t xml:space="preserve">④認証子が異常な同期メッセージを検証NGとして破棄した際に、同期メッセージの検証NG回数の値が1増加すること。
</t>
    <phoneticPr fontId="1"/>
  </si>
  <si>
    <t xml:space="preserve">④認証子が異常な同期メッセージを検証NGとして破棄した際に、同期メッセージの検証NG回数の値が1増加すること。
</t>
    <phoneticPr fontId="1"/>
  </si>
  <si>
    <t xml:space="preserve">⑨下記の条件では、再度現在故障DTC U2401-00をメモリすること。
- 現在故障DTC U2401-00がメモリ済み
- DTCクリア後、DTC U2401-00条件が成立し続けていること。
</t>
    <phoneticPr fontId="1"/>
  </si>
  <si>
    <t xml:space="preserve">⑩下記の条件では、現在故障DTC U2401-00をメモリしないこと。
- 現在故障DTC U2401-00がメモリ済み
- DTCクリア後、DTC U2401-00条件が非成立であること。
</t>
    <phoneticPr fontId="1"/>
  </si>
  <si>
    <t xml:space="preserve">①-4下記の同期メッセージのフレッシュネス値を保持しないこと。
- 同期メッセージ内のリセットカウンタ値：M、認証子生成に使用したリセットカウンタ値：M+1。
※Mは、供試品が保持する値より大きい値を設定すること。
</t>
    <phoneticPr fontId="1"/>
  </si>
  <si>
    <t xml:space="preserve">①-3下記の同期メッセージのフレッシュネス値を保持しないこと。
- 同期メッセージ内のリセットカウンタ値：M、認証子生成に使用したリセットカウンタ値：M-1。
※Mは、供試品が保持する値より大きい値を設定すること。
</t>
    <phoneticPr fontId="1"/>
  </si>
  <si>
    <t xml:space="preserve">①-2下記の同期メッセージのフレッシュネス値を保持しないこと。
- 同期メッセージ内のトリップカウンタ値：N、認証子生成に使用したトリップカウンタ値：N+1。
※Nは、供試品が保持する値より大きい値を設定すること。
</t>
    <phoneticPr fontId="1"/>
  </si>
  <si>
    <t xml:space="preserve">①-1下記の同期メッセージのフレッシュネス値を保持しないこと。
- 同期メッセージ内のトリップカウンタ値：N、認証子生成に使用したトリップカウンタ値：N-1。
※Nは、供試品が保持する値より大きい値を設定すること。
</t>
    <phoneticPr fontId="1"/>
  </si>
  <si>
    <t xml:space="preserve">①-1下記の同期メッセージのフレッシュネス値を保持しないこと。
- 同期メッセージ内のトリップカウンタ値：N、認証子生成に使用したトリップカウンタ値：N-1。
</t>
    <phoneticPr fontId="1"/>
  </si>
  <si>
    <t xml:space="preserve">⑧リセットカウンタが"初期値"の、認証子の正しい同期メッセージのフレッシュネス値を保持しないこと。
供試品が保持するリセットカウンタ値が最大値未満の場合
</t>
    <rPh sb="71" eb="73">
      <t>ミマン</t>
    </rPh>
    <phoneticPr fontId="1"/>
  </si>
  <si>
    <t xml:space="preserve">⑦供試品が保持する値と比べて、リセットカウンタが2減少している、認証子の正しい同期メッセージのフレッシュネス値を保持しないこと。
供試品が保持するリセットカウンタ値が最大値未満の場合
</t>
    <rPh sb="86" eb="88">
      <t>ミマン</t>
    </rPh>
    <phoneticPr fontId="1"/>
  </si>
  <si>
    <t xml:space="preserve">①セカンダリ起動後の状態で、試験対象とするCAN-IDにおいて、1回目に送信される認証子付きメッセージが下記を満たすこと。
- メッセージカウンタ下位：1
</t>
    <phoneticPr fontId="1"/>
  </si>
  <si>
    <t xml:space="preserve">①セカンダリ起動後の状態で、試験対象とするCAN-IDにおいて、1回目に送信される認証子付きメッセージが下記を満たすこと。
- 送信用認証子：トリップカウンタ、リセットカウンタが初回送信同期メッセージの値と上記を用いて生成された値
</t>
    <phoneticPr fontId="1"/>
  </si>
  <si>
    <t xml:space="preserve">⑨③において、下記を満たすこと。
- アプリケーションにID、認証NGを通知する。
</t>
    <rPh sb="7" eb="9">
      <t>カキ</t>
    </rPh>
    <rPh sb="10" eb="11">
      <t>ミ</t>
    </rPh>
    <phoneticPr fontId="1"/>
  </si>
  <si>
    <t xml:space="preserve">⑨④において、下記を満たすこと。
- アプリケーションにID、認証NGを通知する。
</t>
    <rPh sb="7" eb="9">
      <t>カキ</t>
    </rPh>
    <rPh sb="10" eb="11">
      <t>ミ</t>
    </rPh>
    <phoneticPr fontId="1"/>
  </si>
  <si>
    <t xml:space="preserve">⑨⑥において、下記を満たすこと。
- アプリケーションにID、認証NGを通知する。
</t>
    <phoneticPr fontId="1"/>
  </si>
  <si>
    <t xml:space="preserve">⑨⑦において、下記を満たすこと。
- アプリケーションにID、認証NGを通知する。
</t>
    <phoneticPr fontId="1"/>
  </si>
  <si>
    <t xml:space="preserve">⑧リセットカウンタが"初期値"の、認証子の正しい同期メッセージのフレッシュネス値を保持しないこと。
供試品が保持するリセットカウンタ値が最大値の場合
</t>
    <phoneticPr fontId="1"/>
  </si>
  <si>
    <t xml:space="preserve">④トリップカウンタが"初期値"の、認証子の正しい同期メッセージのフレッシュネス値を保持しないこと。
供試品が保持するトリップカウンタ値が"最大値-ClearAcceptanceWindow未満（任意）の場合"で確認する。
</t>
    <phoneticPr fontId="1"/>
  </si>
  <si>
    <t xml:space="preserve">⑨⑧において、下記を満たすこと。
- アプリケーションにID、認証NGを通知する。
</t>
    <phoneticPr fontId="1"/>
  </si>
  <si>
    <t xml:space="preserve">②①-1において、下記を満たすこと。
- 検証回数は1回（再検証はしない）。
</t>
    <phoneticPr fontId="1"/>
  </si>
  <si>
    <t xml:space="preserve">②①-1において、下記を満たすこと。
- アプリケーションにID、認証NGを通知する。
</t>
    <phoneticPr fontId="1"/>
  </si>
  <si>
    <t xml:space="preserve">②①-2において、下記を満たすこと。
- 検証回数は1回（再検証はしない）。
</t>
    <phoneticPr fontId="1"/>
  </si>
  <si>
    <t xml:space="preserve">②①-2において、下記を満たすこと。
- アプリケーションにID、認証NGを通知する。
</t>
    <phoneticPr fontId="1"/>
  </si>
  <si>
    <t xml:space="preserve">②①-3において、下記を満たすこと。
- 検証回数は1回（再検証はしない）。
</t>
    <phoneticPr fontId="1"/>
  </si>
  <si>
    <t xml:space="preserve">②①-3において、下記を満たすこと。
- アプリケーションにID、認証NGを通知する。
</t>
    <phoneticPr fontId="1"/>
  </si>
  <si>
    <t xml:space="preserve">②①-4において、下記を満たすこと。
- 検証回数は1回（再検証はしない）。
</t>
    <phoneticPr fontId="1"/>
  </si>
  <si>
    <t xml:space="preserve">②①-4において、下記を満たすこと。
- アプリケーションにID、認証NGを通知する。
</t>
    <phoneticPr fontId="1"/>
  </si>
  <si>
    <t xml:space="preserve">②①において、下記を満たすこと。
- アプリケーションにID、認証NGを通知する。
</t>
    <phoneticPr fontId="1"/>
  </si>
  <si>
    <t xml:space="preserve">⑧受信タイムアウト時間以内に認証子が正常な同期メッセージを受信しなかった場合、現在故障DTC U2401-00をメモリすること。
</t>
    <phoneticPr fontId="1"/>
  </si>
  <si>
    <t xml:space="preserve">⑪下記の条件では、次のOperationCycleで正常受信に復帰した場合、過去故障(Confirmed)とすること。
- 現在故障DTC U2401-00がメモリ済み
</t>
    <phoneticPr fontId="1"/>
  </si>
  <si>
    <t xml:space="preserve">①-1 下記の同期メッセージを受信した場合、検証未確定の状態であること。
- 一度もFV管理プライマリからの同期メッセージを受信していない
</t>
    <phoneticPr fontId="1"/>
  </si>
  <si>
    <t xml:space="preserve">① 下記の同期メッセージを受信した場合、検証未確定の状態であること。
- 同期メッセージの認証OK回数が3回未満
</t>
    <phoneticPr fontId="1"/>
  </si>
  <si>
    <t xml:space="preserve">②下記の同期メッセージを受信した場合、MAC鍵登録未完了状態であること。
- 同期メッセージの認証結果が全てNG
</t>
    <phoneticPr fontId="1"/>
  </si>
  <si>
    <t xml:space="preserve">④下記の同期メッセージを受信した場合、正常終了状態であること。
- 同期メッセージの認証OK回数が3回以上
</t>
    <phoneticPr fontId="1"/>
  </si>
  <si>
    <t xml:space="preserve">④③において、認証子生成に使用されるトリップカウンタ・リセットカウンタは送信停止解除後に送信される同期メッセージの値であること。
</t>
    <phoneticPr fontId="1"/>
  </si>
  <si>
    <t xml:space="preserve">①認証子付きメッセージを&lt;&lt;60秒&gt;&gt;間計測し、試験対象とするCAN-IDにおいて、ランダムに抽出した&lt;&lt;10個&gt;&gt;の認証子付きメッセージすべてが下記を満たすこと。
- 保護対象データと送信用フレッシュネス値の位置および値、送信用認証子の位置が通信規定と一致する。
</t>
    <phoneticPr fontId="1"/>
  </si>
  <si>
    <t xml:space="preserve">②①において、供試品が保持するメッセージカウンタが最大値に達した際に、メッセージカウンタが最大値に達したことをアプリケーションに通知する。
</t>
    <phoneticPr fontId="1"/>
  </si>
  <si>
    <t xml:space="preserve">②①において、下記を満たすこと。
- 認証子付きメッセージのフレッシュネス値を保持する。
</t>
    <phoneticPr fontId="1"/>
  </si>
  <si>
    <t>同期メッセージを期送信する</t>
    <rPh sb="0" eb="2">
      <t>ドウキ</t>
    </rPh>
    <rPh sb="8" eb="9">
      <t>キ</t>
    </rPh>
    <rPh sb="9" eb="11">
      <t>ソウシン</t>
    </rPh>
    <phoneticPr fontId="1"/>
  </si>
  <si>
    <t>WAIT</t>
    <phoneticPr fontId="1"/>
  </si>
  <si>
    <t>0x02</t>
    <phoneticPr fontId="1"/>
  </si>
  <si>
    <t>WAIT</t>
    <phoneticPr fontId="1"/>
  </si>
  <si>
    <t>WAIT</t>
    <phoneticPr fontId="1"/>
  </si>
  <si>
    <t>Verified</t>
    <phoneticPr fontId="1"/>
  </si>
  <si>
    <t>Prepared</t>
    <phoneticPr fontId="1"/>
  </si>
  <si>
    <t>5L1-20-1011</t>
    <phoneticPr fontId="31"/>
  </si>
  <si>
    <t>B</t>
    <phoneticPr fontId="1"/>
  </si>
  <si>
    <t>2021/3/19</t>
    <phoneticPr fontId="1"/>
  </si>
  <si>
    <t>「はじめに」シート：1-1 適用仕様書のRev変更　5L1-19-0071-D
「機能評価項目（集計）」シート：「機能評価項目（全件）」シート修正に伴い件数変更
「機能評価項目（全件）」シート：5L1-19-0071-D参照に伴う項目修正（「変更履歴」シート参照）
「評価手順書（Mx）」シート：「機能評価項目（全件）」シート修正に伴い該当項目部分を修正</t>
    <rPh sb="14" eb="16">
      <t>テキヨウ</t>
    </rPh>
    <rPh sb="16" eb="19">
      <t>シヨウショ</t>
    </rPh>
    <rPh sb="23" eb="25">
      <t>ヘンコウ</t>
    </rPh>
    <rPh sb="41" eb="43">
      <t>キノウ</t>
    </rPh>
    <rPh sb="43" eb="45">
      <t>ヒョウカ</t>
    </rPh>
    <rPh sb="45" eb="47">
      <t>コウモク</t>
    </rPh>
    <rPh sb="48" eb="50">
      <t>シュウケイ</t>
    </rPh>
    <rPh sb="71" eb="73">
      <t>シュウセイ</t>
    </rPh>
    <rPh sb="74" eb="75">
      <t>トモナ</t>
    </rPh>
    <rPh sb="76" eb="78">
      <t>ケンスウ</t>
    </rPh>
    <rPh sb="78" eb="80">
      <t>ヘンコウ</t>
    </rPh>
    <rPh sb="82" eb="84">
      <t>キノウ</t>
    </rPh>
    <rPh sb="84" eb="86">
      <t>ヒョウカ</t>
    </rPh>
    <rPh sb="86" eb="88">
      <t>コウモク</t>
    </rPh>
    <rPh sb="89" eb="90">
      <t>ゼン</t>
    </rPh>
    <rPh sb="90" eb="91">
      <t>ケン</t>
    </rPh>
    <rPh sb="110" eb="112">
      <t>サンショウ</t>
    </rPh>
    <rPh sb="113" eb="114">
      <t>トモナ</t>
    </rPh>
    <rPh sb="115" eb="117">
      <t>コウモク</t>
    </rPh>
    <rPh sb="117" eb="119">
      <t>シュウセイ</t>
    </rPh>
    <rPh sb="121" eb="123">
      <t>ヘンコウ</t>
    </rPh>
    <rPh sb="123" eb="125">
      <t>リレキ</t>
    </rPh>
    <rPh sb="129" eb="131">
      <t>サンショウ</t>
    </rPh>
    <rPh sb="134" eb="136">
      <t>ヒョウカ</t>
    </rPh>
    <rPh sb="136" eb="139">
      <t>テジュンショ</t>
    </rPh>
    <rPh sb="163" eb="165">
      <t>シュウセイ</t>
    </rPh>
    <rPh sb="166" eb="167">
      <t>トモナ</t>
    </rPh>
    <rPh sb="168" eb="170">
      <t>ガイトウ</t>
    </rPh>
    <rPh sb="170" eb="172">
      <t>コウモク</t>
    </rPh>
    <rPh sb="172" eb="174">
      <t>ブブン</t>
    </rPh>
    <rPh sb="175" eb="177">
      <t>シュウセイ</t>
    </rPh>
    <phoneticPr fontId="1"/>
  </si>
  <si>
    <t>楠木</t>
    <rPh sb="0" eb="2">
      <t>クスキ</t>
    </rPh>
    <phoneticPr fontId="1"/>
  </si>
  <si>
    <t>柏島</t>
    <rPh sb="0" eb="2">
      <t>カシワジマ</t>
    </rPh>
    <phoneticPr fontId="1"/>
  </si>
  <si>
    <t>渡邊
門内</t>
    <rPh sb="0" eb="2">
      <t>ワタナベ</t>
    </rPh>
    <rPh sb="3" eb="5">
      <t>カドウチ</t>
    </rPh>
    <phoneticPr fontId="31"/>
  </si>
  <si>
    <t>2020/12/4</t>
    <phoneticPr fontId="31"/>
  </si>
  <si>
    <t>柏島</t>
    <rPh sb="0" eb="1">
      <t>カシワ</t>
    </rPh>
    <rPh sb="1" eb="2">
      <t>ジマ</t>
    </rPh>
    <phoneticPr fontId="1"/>
  </si>
  <si>
    <t>5L1-19-0071-D</t>
    <phoneticPr fontId="1"/>
  </si>
  <si>
    <t>1-2. MAZDA 受け入れ検査環境での結果判定について</t>
    <rPh sb="11" eb="12">
      <t>ウ</t>
    </rPh>
    <rPh sb="13" eb="14">
      <t>イ</t>
    </rPh>
    <rPh sb="15" eb="17">
      <t>ケンサ</t>
    </rPh>
    <rPh sb="17" eb="19">
      <t>カンキョウ</t>
    </rPh>
    <rPh sb="21" eb="23">
      <t>ケッカ</t>
    </rPh>
    <rPh sb="23" eb="25">
      <t>ハンテイ</t>
    </rPh>
    <phoneticPr fontId="3"/>
  </si>
  <si>
    <t>"機能評価項目(全件)”シートのR列="〇"となっている項目については、MAZDA受け入れ検査環境において</t>
    <rPh sb="17" eb="18">
      <t>レツ</t>
    </rPh>
    <rPh sb="28" eb="30">
      <t>コウモク</t>
    </rPh>
    <rPh sb="41" eb="42">
      <t>ウ</t>
    </rPh>
    <rPh sb="43" eb="44">
      <t>イ</t>
    </rPh>
    <rPh sb="45" eb="47">
      <t>ケンサ</t>
    </rPh>
    <rPh sb="47" eb="49">
      <t>カンキョウ</t>
    </rPh>
    <phoneticPr fontId="1"/>
  </si>
  <si>
    <t>エミュレーション実施・結果判定が可能である。</t>
    <rPh sb="8" eb="10">
      <t>ジッシ</t>
    </rPh>
    <rPh sb="11" eb="13">
      <t>ケッカ</t>
    </rPh>
    <rPh sb="13" eb="15">
      <t>ハンテイ</t>
    </rPh>
    <rPh sb="16" eb="18">
      <t>カノウ</t>
    </rPh>
    <phoneticPr fontId="1"/>
  </si>
  <si>
    <t>"機能評価項目(全件)”シートのR列="×"となっている項目は、MAZDA受け入れ検査環境において結果判定は実施できない</t>
    <rPh sb="17" eb="18">
      <t>レツ</t>
    </rPh>
    <rPh sb="28" eb="30">
      <t>コウモク</t>
    </rPh>
    <rPh sb="37" eb="38">
      <t>ウ</t>
    </rPh>
    <rPh sb="39" eb="40">
      <t>イ</t>
    </rPh>
    <rPh sb="41" eb="43">
      <t>ケンサ</t>
    </rPh>
    <rPh sb="43" eb="45">
      <t>カンキョウ</t>
    </rPh>
    <rPh sb="49" eb="51">
      <t>ケッカ</t>
    </rPh>
    <rPh sb="51" eb="53">
      <t>ハンテイ</t>
    </rPh>
    <rPh sb="54" eb="56">
      <t>ジッシ</t>
    </rPh>
    <phoneticPr fontId="1"/>
  </si>
  <si>
    <t>（CAN情報のみでは合否判定できない）ため、デバッガ使用してマイコン内データモニタする等して検査を行う必要がある。</t>
    <rPh sb="4" eb="6">
      <t>ジョウホウ</t>
    </rPh>
    <rPh sb="10" eb="12">
      <t>ゴウヒ</t>
    </rPh>
    <rPh sb="12" eb="14">
      <t>ハンテイ</t>
    </rPh>
    <rPh sb="26" eb="28">
      <t>シヨウ</t>
    </rPh>
    <rPh sb="34" eb="35">
      <t>ナイ</t>
    </rPh>
    <rPh sb="43" eb="44">
      <t>ナド</t>
    </rPh>
    <rPh sb="46" eb="48">
      <t>ケンサ</t>
    </rPh>
    <rPh sb="49" eb="50">
      <t>オコナ</t>
    </rPh>
    <rPh sb="51" eb="53">
      <t>ヒツヨウ</t>
    </rPh>
    <phoneticPr fontId="1"/>
  </si>
  <si>
    <r>
      <t>試験対象は、認証子付きメッセージとする
■合否判定
①下記の条件では、認証子付きメッセージが送信されていないこと。
 - 同期メッセージ未受信*1、送信停止制御中
 - 同期メッセージ受信済み*2、送信停止制御中
②下記の条件では、認証子付きメッセージが送信されること。(メッセージカウンタが1開始)
- 同期メッセージ未受信*1、送信停止制御解除後、セカンダリ起動からVerifyStart経過前
- 同期メッセージ未受信*1、送信停止制御解除後、セカンダリ起動からVerifyStart経過後
③下記の条件では、認証子付きメッセージが送信されること。(メッセージカウンタが1開始)
 - 同期メッセージ受信済み*2、送信停止制御解除後、セカンダリ起動からVerifyStart経過前
 - 同期メッセージ受信済み*2、送信停止制御解除後、セカンダリ起動からVerifyStart経過後
④下記の条件では、認証子付きメッセージが送信されること。(メッセージカウンタが1開始)
- 同期メッセージ受信*2→セカンダリウェイクアップ→送信停止解除後
- 同期メッセージ受信*2→セカンダリ</t>
    </r>
    <r>
      <rPr>
        <sz val="11"/>
        <rFont val="Meiryo UI"/>
        <family val="3"/>
        <charset val="128"/>
      </rPr>
      <t>電源OFF/ON→送信停止解除後
- 同期メッセージ受信*2→セカンダリECUリセット→送信停止解除後
⑤④において、認証子生成に使用されるトリップカウンタ・リセットカウンタは初期値であること。</t>
    </r>
    <r>
      <rPr>
        <sz val="11"/>
        <rFont val="Meiryo UI"/>
        <family val="3"/>
        <charset val="128"/>
      </rPr>
      <t xml:space="preserve">
*1 自身が保持するトリップカウンタまたはリセットカウンタが初期値の状態
*2 自身が保持するトリップカウンタおよびリセットカウンタが初期値以外に更新される</t>
    </r>
    <phoneticPr fontId="1"/>
  </si>
  <si>
    <r>
      <t>④下記の条件では、認証子付きメッセージが送信されること。(メッセージカウンタが1開始)
- 同期メッセージ受信*2→セカンダリ</t>
    </r>
    <r>
      <rPr>
        <sz val="11"/>
        <rFont val="Meiryo UI"/>
        <family val="3"/>
        <charset val="128"/>
      </rPr>
      <t>電源OFF/ON→送信停止解除後
*2 自身が保持するトリップカウンタおよびリセットカウンタが初期値以外に更新される</t>
    </r>
    <phoneticPr fontId="1"/>
  </si>
  <si>
    <t>試験対象は、認証子付きメッセージとする。
■合否判定
①セカンダリ起動後のトリップカウンタ、リセットカウンタが初期値の状態で、試験対象とするCAN-IDにおいて、1回目に送信される認証子付きメッセージが下記を満たすこと。
- メッセージカウンタ下位：1
- 送信用認証子：トリップカウンタ、リセットカウンタの初期値と上記の値を用いて生成された値</t>
    <phoneticPr fontId="1"/>
  </si>
  <si>
    <t xml:space="preserve">①セカンダリ起動後のトリップカウンタ、リセットカウンタが初期値の状態で、試験対象とするCAN-IDにおいて、1回目に送信される認証子付きメッセージが下記を満たすこと。
- 送信用認証子：トリップカウンタ、リセットカウンタの初期値と上記の値を用いて生成された値
</t>
    <rPh sb="128" eb="129">
      <t>アタイ</t>
    </rPh>
    <phoneticPr fontId="1"/>
  </si>
  <si>
    <t>試験対象は、認証子付きメッセージとする。
■合否判定
①下記の条件では、認証子が正常な認証子付きメッセージを受信した場合、認証子付きメッセージの保護対象データを受理すること。(メッセージカウンタは1開始)
- 同期メッセージ未受信*1、セカンダリ起動からVerifyStart経過前
- 同期メッセージ受信済み*2、セカンダリ起動からVerifyStart経過前
- 同期メッセージ未受信*1、セカンダリ起動からVerifyStart経過後
- 同期メッセージ受信済み*2、セカンダリ起動からVerifyStart経過後
②①において、下記を満たすこと。
- アプリケーションに検証OKを通知する。
- 認証子付きメッセージのフレッシュネス値を保持する。
③下記の条件では、認証子が異常な認証子付きメッセージを受信した場合、認証子付きメッセージの保護対象データを受理すること。
- 同期メッセージ未受信*1、セカンダリ起動からVerifyStart経過前
- 同期メッセージ受信済み*2、セカンダリ起動からVerifyStart経過前
④下記の条件では、認証子が異常な認証子付きメッセージを受信した場合、認証子付きメッセージの保護対象データを破棄すること。
- 同期メッセージ未受信*1、セカンダリ起動からVerifyStart経過後
- 同期メッセージ受信済み*2、セカンダリ起動からVerifyStart経過後
⑤③④において、下記を満たすこと。
- アプリケーションにID、検証NGを通知する。
- 認証子付きメッセージのフレッシュネス値を保持しない。
⑥下記の条件では、認証子が正常な認証子付きメッセージ(トリップカウンタおよびリセットカウンタが初期値)を受信した場合、認証子付きメッセージの保護対象データを受理すること。(メッセージカウンタは1開始)
- 同期メッセージ受信*2→認証子付きメッセージ受信→セカンダリウェイクアップ→VerifyStart経過後
- 同期メッセージ受信*2→認証子付きメッセージ受信→セカンダリ電源OFF/ON→VerifyStart経過後
- 同期メッセージ受信*2→認証子付きメッセー受信→セカンダリECUリセット→VerifyStart経過後
⑦⑥において、下記を満たすこと。
- アプリケーションに検証OKを通知する。
- 認証子付きメッセージのフレッシュネス値を保持する。
⑧下記の条件では、認証子が異常な認証子付きメッセージを受信した場合、認証子付きメッセージの保護対象データを受理すること。
- 同期メッセージ未受信*1、セカンダリウェイクアップからVerifyStart経過前
- 同期メッセージ未受信*1、セカンダリ電源ONからVerifyStart経過前
- 同期メッセージ未受信*1、セカンダリECUリセットからVerifyStart経過前
⑨⑧において、下記を満たすこと。
- アプリケーションにID、検証NGを通知する。
- 認証子付きメッセージのフレッシュネス値を保持しない。
*1 自身が保持するトリップカウンタまたはリセットカウンタが初期値の状態
*2 自身が保持するトリップカウンタおよびリセットカウンタが初期値以外に更新される</t>
    <phoneticPr fontId="1"/>
  </si>
  <si>
    <t xml:space="preserve">⑦⑥において、下記を満たすこと。
- アプリケーションに検証OKを通知する。
</t>
    <phoneticPr fontId="1"/>
  </si>
  <si>
    <t xml:space="preserve">⑦⑥において、下記を満たすこと。
- 認証子付きメッセージのフレッシュネス値を保持する。
</t>
    <phoneticPr fontId="1"/>
  </si>
  <si>
    <t>⑥下記の条件では、認証子が正常な敏捷子付きメッセージ(トリップカウンタおよびリセットカウンタが初期値)を受信した場合、認証子付きメッセージの保護対象データを受理すること。(メッセージカウンタは1開始)
- 同期メッセージ受信*2→認証子付きメッセージ受信→電源OFF/ON→VerifyStart経過後
*2 自身が保持するトリップカウンタおよびリセットカウンタが初期値以外に更新される</t>
    <phoneticPr fontId="1"/>
  </si>
  <si>
    <t>⑧下記の条件では、認証子が異常な認証子付きメッセージを受信した場合、認証子付きメッセージの保護対象データを受理すること。
- 同期メッセージ未受信*1→セカンダリウェイクアップ→VerifyStart経過前
*1 自身が保持するトリップカウンタまたはリセットカウンタが初期値の状態</t>
    <phoneticPr fontId="1"/>
  </si>
  <si>
    <t>M10-12-2</t>
    <phoneticPr fontId="1"/>
  </si>
  <si>
    <t xml:space="preserve">⑨⑧において、下記を満たすこと。
- アプリケーションにID、検証NGを通知する。
</t>
    <phoneticPr fontId="1"/>
  </si>
  <si>
    <t>M10-12-3</t>
    <phoneticPr fontId="1"/>
  </si>
  <si>
    <t xml:space="preserve">⑨⑧において、下記を満たすこと。
- 認証子付きメッセージのフレッシュネス値を保持しない。
</t>
    <phoneticPr fontId="1"/>
  </si>
  <si>
    <t>M10-13-1A</t>
    <phoneticPr fontId="1"/>
  </si>
  <si>
    <t>⑧下記の条件では、認証子が異常な認証子付きメッセージを受信した場合、認証子付きメッセージの保護対象データを受理すること。
- 同期メッセージ未受信*1→セカンダリ電源OFF/ON→VerifyStart経過前
*1 自身が保持するトリップカウンタまたはリセットカウンタが初期値の状態</t>
    <phoneticPr fontId="1"/>
  </si>
  <si>
    <t>M10-13-1B</t>
    <phoneticPr fontId="1"/>
  </si>
  <si>
    <t>M10-13-2</t>
    <phoneticPr fontId="1"/>
  </si>
  <si>
    <t>M10-13-3</t>
    <phoneticPr fontId="1"/>
  </si>
  <si>
    <t>M10-14-1A</t>
    <phoneticPr fontId="1"/>
  </si>
  <si>
    <t>⑧下記の条件では、認証子が異常な認証子付きメッセージを受信した場合、認証子付きメッセージの保護対象データを受理すること。
- 同期メッセージ未受信*1→セカンダリECUリセット→VerifyStart経過前
*1 自身が保持するトリップカウンタまたはリセットカウンタが初期値の状態</t>
    <phoneticPr fontId="1"/>
  </si>
  <si>
    <t>M10-14-1B</t>
    <phoneticPr fontId="1"/>
  </si>
  <si>
    <t>M10-14-2</t>
    <phoneticPr fontId="1"/>
  </si>
  <si>
    <t>M10-14-3</t>
    <phoneticPr fontId="1"/>
  </si>
  <si>
    <t>試験対象は、認証子付きメッセージとする。
■合否判定
① セカンダリ起動時の認証子付きメッセージの検証NG回数が0であること。
②認証子が異常な認証子付きメッセージを検証NGとして破棄した際に、認証子付きメッセージの検証NG回数の値が1増加すること。
③受信タイムアウト時間以内に正常受信に復帰した際、認証子付きメッセージの検証NG回数が0になること。
④認証子が異常な認証子付きメッセージを3回受信後、受信タイムアウト時間以内に認証子が正常な認証子付きメッセージを受信しなかった場合、下記データをメモリすること。
- 認証子付きメッセージのCAN-ID
- 認証子メッセージの検証NG回数
- GlobalRealTime
⑤④において、認証子付きメッセージの検証NG回数の値が0に初期化されること。
⑥受信タイムアウト時間以内に認証子が正常な認証子付きメッセージを受信しなかった場合、現在故障DTC U2401-00をメモリすること。
⑦下記の条件では、再度現在故障DTC U2401-00をメモリすること。
- 現在故障DTC U2401-00がメモリ済み
- DTCクリア後、DTC U2401-00条件が成立し続けていること。
⑧下記の条件では、現在故障DTC U2401-00をメモリしないこと。
- 現在故障DTC U2401-00がメモリ済み
- DTCクリア後、DTC U2401-00条件が非成立であること。
⑨下記の条件では、次のOperationCycleで正常受信に復帰した場合、過去故障(Confirmed)とすること。
- 現在故障DTC U2401-00がメモリ済み</t>
    <rPh sb="197" eb="198">
      <t>カイ</t>
    </rPh>
    <rPh sb="198" eb="200">
      <t>ジュシン</t>
    </rPh>
    <rPh sb="200" eb="201">
      <t>ゴ</t>
    </rPh>
    <rPh sb="504" eb="506">
      <t>ジョウケン</t>
    </rPh>
    <rPh sb="507" eb="509">
      <t>セイリツ</t>
    </rPh>
    <rPh sb="510" eb="511">
      <t>ツヅ</t>
    </rPh>
    <rPh sb="520" eb="522">
      <t>カキ</t>
    </rPh>
    <rPh sb="523" eb="525">
      <t>ジョウケン</t>
    </rPh>
    <rPh sb="602" eb="604">
      <t>ジョウケン</t>
    </rPh>
    <rPh sb="605" eb="606">
      <t>ヒ</t>
    </rPh>
    <rPh sb="606" eb="608">
      <t>セイリツ</t>
    </rPh>
    <rPh sb="616" eb="618">
      <t>カキ</t>
    </rPh>
    <rPh sb="619" eb="621">
      <t>ジョウケン</t>
    </rPh>
    <phoneticPr fontId="1"/>
  </si>
  <si>
    <t xml:space="preserve">④認証子が異常な認証子付きメッセージを3回受信後、受信タイムアウト時間以内に認証子が正常な認証子付きメッセージを受信しなかった場合、下記データをメモリすること。
- 認証子付きメッセージのCAN-ID
- 認証子メッセージの検証NG回数
- GlobalRealTime
</t>
    <phoneticPr fontId="1"/>
  </si>
  <si>
    <t>試験対象は同期メッセージとする。
■合否判定
①セカンダリ起動後の1回目に受信した同期メッセージが下記の場合に、アプリケーションに検証OKを通知し、フレッシュネス値を保持すること。
- トリップカウンタ：１
- リセットカウンタ：１
- 送信用認証子：トリップカウンタおよび、リセットカウンタが上記の値で生成された値
②セカンダリ起動後の1回目に受信した同期メッセージが下記の場合に、アプリケーションに検証OKを通知し、フレッシュネス値を保持すること。
- トリップカウンタ：0
- リセットカウンタ：１
- 送信用認証子：トリップカウンタおよび、リセットカウンタが上記の値で生成された値
③セカンダリ起動後の1回目に受信した同期メッセージが下記の場合に、アプリケーションに検証OKを通知し、フレッシュネス値を保持すること。
- トリップカウンタ：1
- リセットカウンタ：0
- 送信用認証子：トリップカウンタおよび、リセットカウンタが上記の値で生成された値
④セカンダリ起動後の1回目に受信した同期メッセージが下記の場合に、アプリケーションに検証NGを通知せず、フレッシュネス値を保持しないこと。
- トリップカウンタ：0
- リセットカウンタ：0
- 送信用認証子：トリップカウンタおよび、リセットカウンタが上記の値で生成された値
⑤①を実施し、ウェイクアップ後の１回目に受信した同期メッセージが下記の場合に、アプリケーションに検証OKを通知し、フレッシュネス値を保持すること。
- トリップカウンタ：1
- リセットカウンタ：0
- 送信用認証子：トリップカウンタおよび、リセットカウンタが上記の値で生成された値
⑥①を実施し、電源ON後の１回目に受信した同期メッセージが下記の場合に、アプリケーションに検証OKを通知し、フレッシュネス値を保持すること。
- トリップカウンタ：1
- リセットカウンタ：0
- 送信用認証子：トリップカウンタおよび、リセットカウンタが上記の値で生成された値
⑦①を実施し、ECUリセット復帰後の１回目に受信した同期メッセージが下記の場合に、アプリケーションに検証OKを通知し、フレッシュネス値を保持すること。
- トリップカウンタ：1
- リセットカウンタ：0
- 送信用認証子：トリップカウンタおよび、リセットカウンタが上記の値で生成された値
⑧セカンダリ起動後の1回目に受信した同期メッセージが下記のいずれかの場合に、に受信した同期メッセージが下記の場合に、アプリケーションに検証OKを通知し、フレッシュネス値を保持すること
[1]
- トリップカウンタ：フェールセーフ
- リセットカウンタ：フェールセーフ
- 送信用認証子：トリップカウンタおよび、リセットカウンタが上記の値で生成された値
[2]
- トリップカウンタ：ALL 1
- リセットカウンタ：ALL 1
- 送信用認証子：トリップカウンタおよび、リセットカウンタが上記の値で生成された値</t>
    <phoneticPr fontId="1"/>
  </si>
  <si>
    <r>
      <t>⑥①を実施し、</t>
    </r>
    <r>
      <rPr>
        <sz val="11"/>
        <rFont val="Meiryo UI"/>
        <family val="3"/>
        <charset val="128"/>
      </rPr>
      <t xml:space="preserve">電源ON後の１回目に受信した同期メッセージが下記の場合に、アプリケーションに検証OKを通知し、フレッシュネス値を保持すること。
- トリップカウンタ：1
- リセットカウンタ：0
- 送信用認証子：トリップカウンタおよび、リセットカウンタが上記の値で生成された値
</t>
    </r>
    <phoneticPr fontId="1"/>
  </si>
  <si>
    <t xml:space="preserve">⑧セカンダリ起動後の1回目に受信した同期メッセージが下記のいずれかの場合に、に受信した同期メッセージが下記の場合に、アプリケーションに検証OKを通知し、フレッシュネス値を保持すること
[1]
- トリップカウンタ：フェールセーフ
- リセットカウンタ：フェールセーフ
- 送信用認証子：トリップカウンタおよび、リセットカウンタが上記の値で生成された値
[2]
- トリップカウンタ：ALL 1
- リセットカウンタ：ALL 1
- 送信用認証子：トリップカウンタおよび、リセットカウンタが上記の値で生成された値
</t>
    <phoneticPr fontId="1"/>
  </si>
  <si>
    <t>M34-8-2</t>
    <phoneticPr fontId="1"/>
  </si>
  <si>
    <t>M34-8-3</t>
    <phoneticPr fontId="1"/>
  </si>
  <si>
    <t>上記⑧の場合、アプリケーションに検証OKを通知すること。</t>
    <phoneticPr fontId="1"/>
  </si>
  <si>
    <t>M34-8-4</t>
    <phoneticPr fontId="1"/>
  </si>
  <si>
    <t>上記⑧の場合、アプリケーションに検証OKを通知すること。</t>
    <rPh sb="0" eb="2">
      <t>ジョウキ</t>
    </rPh>
    <rPh sb="4" eb="6">
      <t>バアイ</t>
    </rPh>
    <rPh sb="16" eb="18">
      <t>ケンショウ</t>
    </rPh>
    <rPh sb="21" eb="23">
      <t>ツウチ</t>
    </rPh>
    <phoneticPr fontId="1"/>
  </si>
  <si>
    <t>・セカンダリ起動からの経過時間：VerifyStart以上
・MAC鍵：試作鍵以外</t>
    <phoneticPr fontId="1"/>
  </si>
  <si>
    <t>試験対象は、同期メッセージとする。
■合否判定
①セカンダリ起動時の同期メッセージの検証NG回数が0であること。
②FV減少なし(保持値と等しい)同期メッセージを検証NGとして破棄した際に、同期メッセージの検証NG回数が増加しないこと。
③FV減少した同期メッセージを検証NGとして破棄した際に、同期メッセージの検証NG回数の値が1増加すること。
④認証子が異常な同期メッセージを検証NGとして破棄した際に、同期メッセージの検証NG回数の値が1増加すること。
⑤受信タイムアウト時間以内に正常受信に復帰した際、同期メッセージの検証NG回数が0になること。
⑥認証子が異常な同期メッセージを３回受信後、受信タイムアウト時間以内に認証子が正常な同期メッセージを受信しなかった場合、下記データをメモリすること。
- 同期メッセージのCAN-ID
- 同期メッセージの検証NG回数
- GlobalRealTime
⑦⑥において、同期メッセージの検証NG回数の値が0に初期化されること。
⑧受信タイムアウト時間以内に認証子が正常な同期メッセージを受信しなかった場合、現在故障DTC U2401-00をメモリすること。
⑨下記の条件では、再度現在故障DTC U2401-00をメモリすること。
- 現在故障DTC U2401-00がメモリ済み
- DTCクリア後、DTC U2401-00条件が成立し続けていること。
⑩下記の条件では、現在故障DTC U2401-00をメモリしないこと。
- 現在故障DTC U2401-00がメモリ済み
- DTCクリア後、DTC U2401-00条件が非成立であること。
⑪下記の条件では、次のOperationCycleで正常受信に復帰した場合、過去故障(Confirmed)とすること。
- 現在故障DTC U2401-00がメモリ済み</t>
    <phoneticPr fontId="1"/>
  </si>
  <si>
    <t xml:space="preserve">⑥認証子が異常な同期メッセージを３回受信後、受信タイムアウト時間以内に認証子が正常な同期メッセージを受信しなかった場合、下記データをメモリすること。
- 同期メッセージのCAN-ID
- 同期メッセージの検証NG回数
- GlobalRealTime
</t>
    <phoneticPr fontId="1"/>
  </si>
  <si>
    <t>・IG-ONからの経過時間：KeyValueVerifyTime未満
・MAC鍵：試作鍵以外</t>
    <rPh sb="9" eb="11">
      <t>ケイカ</t>
    </rPh>
    <rPh sb="11" eb="13">
      <t>ジカン</t>
    </rPh>
    <rPh sb="32" eb="34">
      <t>ミマン</t>
    </rPh>
    <phoneticPr fontId="1"/>
  </si>
  <si>
    <r>
      <t>試験対象は、認証子付きメッセージとする
■合否判定
①下記の条件では、認証子付きメッセージが送信されていないこと。
 - 送信停止制御中
②下記の条件では、認証子付きメッセージが送信されること。(メッセージカウンタが1開始)
- 送信停止制御解除後、VerifyStart経過前
- 送信停止制御解除後、VerifyStart経過後
③下記の条件では、認証子付きメッセージが送信されること。(メッセージカウンタが1開始)
- 同期メッセージ送信→セカンダリウェイクアップ→送信停止解除後
- 同期メッセージ送信→セカンダリ</t>
    </r>
    <r>
      <rPr>
        <sz val="11"/>
        <rFont val="Meiryo UI"/>
        <family val="3"/>
        <charset val="128"/>
      </rPr>
      <t>電源OFF/ON→送信停止解除後
- 同期メッセージ送信セカンダリECUリセット→送信停止解除後
④③において、認証子生成に使用されるトリップカウンタ・リセットカウンタは送信停止解除後に送信される同期メッセージの値であること。</t>
    </r>
    <phoneticPr fontId="1"/>
  </si>
  <si>
    <r>
      <t>③下記の条件では、認証子付きメッセージが送信されること。(メッセージカウンタが1開始)
- 同期メッセージ送信→セカンダリ</t>
    </r>
    <r>
      <rPr>
        <sz val="11"/>
        <rFont val="Meiryo UI"/>
        <family val="3"/>
        <charset val="128"/>
      </rPr>
      <t>電源OFF/ON→送信停止解除後</t>
    </r>
    <phoneticPr fontId="1"/>
  </si>
  <si>
    <t>試験対象は、認証子付きメッセージとする。
■合否判定
①下記の条件では、認証子が正常な認証子付きメッセージを受信した場合、認証子付きメッセージの保護対象データを受理すること。(メッセージカウンタは1開始)
- セカンダリ起動からVerifyStart経過前
- セカンダリ起動からVerifyStart経過後
②①において、下記を満たすこと。
- アプリケーションに検証OKを通知する。
- 認証子付きメッセージのフレッシュネス値を保持する。
③下記の条件では、認証子が異常な認証子付きメッセージを受信した場合、認証子付きメッセージの保護対象データを受理すること。
- セカンダリ起動からVerifyStart経過前
④下記の条件では、認証子が異常な認証子付きメッセージを受信した場合、破棄すること。
- セカンダリ起動からVerifyStart経過後
⑤③④において、下記を満たすこと。
- アプリケーションにID、検証NGを通知する。
- 認証子付きメッセージのフレッシュネス値を保持しない。
⑥下記の条件では、トリップカウンタおよびリセットカウンタが初期値からなる認証子が正常な認証子付きメッセージを受信した場合、認証子付きメッセージの保護対象データを受理すること。(メッセージカウンタは1開始)
- 同期メッセージ送信→認証子付きメッセージ受信→セカンダリウェイクアップ→VerifyStart経過後
- 同期メッセージ送信→認証子付きメッセージ受信→セカンダリ電源OFF/ON→VerifyStart経過後
- 同期メッセージ送信→認証子付きメッセー受信→セカンダリECUリセット→VerifyStart経過後
⑦⑥において、下記を満たすこと。
- アプリケーションに検証OKを通知する。
- 認証子付きメッセージのフレッシュネス値を保持する。
⑧下記の条件では、認証子が異常な認証子付きメッセージを受信した場合、認証子付きメッセージの保護対象データを受理すること。
- セカンダリウェイクアップからVerifyStart経過前
- セカンダリ電源ONからVerifyStart経過前
- セカンダリECUリセットからVerifyStart経過前
⑨⑧において、下記を満たすこと。
- アプリケーションにID、検証NGを通知する。
- 認証子付きメッセージのフレッシュネス値を保持しない。</t>
    <phoneticPr fontId="1"/>
  </si>
  <si>
    <r>
      <t>⑥下記の条件では、トリップカウンタおよびリセットカウンタが初期値からなる認証子が正常な認証子付きメッセージを受信した場合、認証子付きメッセージの保護対象データを受理すること。(メッセージカウンタは1開始)
- 同期メッセージ送信→認証子付きメッセージ受信→セカンダリ</t>
    </r>
    <r>
      <rPr>
        <sz val="11"/>
        <rFont val="Meiryo UI"/>
        <family val="3"/>
        <charset val="128"/>
      </rPr>
      <t>電源OFF/ON→VerifyStart経過後</t>
    </r>
    <phoneticPr fontId="1"/>
  </si>
  <si>
    <t>⑧下記の条件では、認証子が異常な認証子付きメッセージを受信した場合、認証子付きメッセージの保護対象データを受理すること。
- セカンダリウェイクアップからVerifyStart経過前</t>
    <phoneticPr fontId="1"/>
  </si>
  <si>
    <t>M47-8-2</t>
    <phoneticPr fontId="1"/>
  </si>
  <si>
    <t>M47-8-3</t>
    <phoneticPr fontId="1"/>
  </si>
  <si>
    <t>M47-9-1A</t>
    <phoneticPr fontId="1"/>
  </si>
  <si>
    <t>⑧下記の条件では、認証子が異常な認証子付きメッセージを受信した場合、認証子付きメッセージの保護対象データを受理すること。
- セカンダリ電源ONからVerifyStart経過前</t>
    <rPh sb="68" eb="70">
      <t>デンゲン</t>
    </rPh>
    <phoneticPr fontId="1"/>
  </si>
  <si>
    <t>M47-9-1B</t>
    <phoneticPr fontId="1"/>
  </si>
  <si>
    <t>M47-9-2</t>
    <phoneticPr fontId="1"/>
  </si>
  <si>
    <t>M47-9-3</t>
    <phoneticPr fontId="1"/>
  </si>
  <si>
    <t>M47-10-1A</t>
    <phoneticPr fontId="1"/>
  </si>
  <si>
    <t>⑧下記の条件では、認証子が異常な認証子付きメッセージを受信した場合、認証子付きメッセージの保護対象データを受理すること。
- ECUリセットからVerifyStart経過前</t>
    <phoneticPr fontId="1"/>
  </si>
  <si>
    <t>M47-10-1B</t>
    <phoneticPr fontId="1"/>
  </si>
  <si>
    <t>M47-10-2</t>
    <phoneticPr fontId="1"/>
  </si>
  <si>
    <t>M47-10-3</t>
    <phoneticPr fontId="1"/>
  </si>
  <si>
    <t>試験対象は、認証子付きメッセージとする。
■合否判定
① セカンダリ起動時の認証子付きメッセージの検証NG回数が0であること。
②認証子が異常な認証子付きメッセージを検証NGとして破棄した際に、認証子付きメッセージの検証NG回数の値が1増加すること。
③受信タイムアウト時間以内に正常受信に復帰した際、認証子付きメッセージの検証NG回数が0になること。
④認証子が異常な認証子付きメッセージを3回受信後、受信タイムアウト時間以内に認証子が正常な認証子付きメッセージを受信しなかった場合、下記データをメモリすること。
- 認証子付きメッセージのCAN-ID
- 認証子メッセージの検証NG回数
- GlobalRealTime
⑤④において、認証子付きメッセージの検証NG回数の値が0に初期化されること。
⑥受信タイムアウト時間以内に認証子が正常な認証子付きメッセージを受信しなかった場合、現在故障DTC U2401-00をメモリすること。
⑦下記の条件では、再度現在故障DTC U2401-00をメモリすること。
- 現在故障DTC U2401-00がメモリ済み
- DTCクリア後、DTC U2401-00条件が成立し続けていること。
⑧下記の条件では、現在故障DTC U2401-00をメモリしないこと。
- 現在故障DTC U2401-00がメモリ済み
- DTCクリア後、DTC U2401-00条件が非成立であること。
⑨下記の条件では、次のOperationCycleで正常受信に復帰した場合、過去故障(Confirmed)とすること。
- 現在故障DTC U2401-00がメモリ済み</t>
    <rPh sb="197" eb="198">
      <t>カイ</t>
    </rPh>
    <rPh sb="198" eb="200">
      <t>ジュシン</t>
    </rPh>
    <rPh sb="200" eb="201">
      <t>ゴ</t>
    </rPh>
    <phoneticPr fontId="1"/>
  </si>
  <si>
    <t>12. 変更履歴</t>
    <rPh sb="4" eb="6">
      <t>ヘンコウ</t>
    </rPh>
    <rPh sb="6" eb="8">
      <t>リレキ</t>
    </rPh>
    <phoneticPr fontId="3"/>
  </si>
  <si>
    <t>改暦</t>
    <rPh sb="0" eb="2">
      <t>カイレキ</t>
    </rPh>
    <phoneticPr fontId="1"/>
  </si>
  <si>
    <t>変更シート</t>
    <rPh sb="0" eb="2">
      <t>ヘンコウ</t>
    </rPh>
    <phoneticPr fontId="1"/>
  </si>
  <si>
    <t>変更理由</t>
    <rPh sb="0" eb="2">
      <t>ヘンコウ</t>
    </rPh>
    <rPh sb="2" eb="4">
      <t>リユウ</t>
    </rPh>
    <phoneticPr fontId="1"/>
  </si>
  <si>
    <t>変更項目</t>
    <rPh sb="0" eb="2">
      <t>ヘンコウ</t>
    </rPh>
    <rPh sb="2" eb="4">
      <t>コウモク</t>
    </rPh>
    <phoneticPr fontId="1"/>
  </si>
  <si>
    <t>変更内容</t>
    <rPh sb="0" eb="2">
      <t>ヘンコウ</t>
    </rPh>
    <rPh sb="2" eb="4">
      <t>ナイヨウ</t>
    </rPh>
    <phoneticPr fontId="1"/>
  </si>
  <si>
    <t>A</t>
    <phoneticPr fontId="1"/>
  </si>
  <si>
    <t>全体</t>
    <rPh sb="0" eb="2">
      <t>ゼンタイ</t>
    </rPh>
    <phoneticPr fontId="1"/>
  </si>
  <si>
    <t>初版作成</t>
    <rPh sb="0" eb="2">
      <t>ショハン</t>
    </rPh>
    <rPh sb="2" eb="4">
      <t>サクセイ</t>
    </rPh>
    <phoneticPr fontId="1"/>
  </si>
  <si>
    <t>はじめに</t>
    <phoneticPr fontId="1"/>
  </si>
  <si>
    <t>最新仕様参照</t>
    <rPh sb="0" eb="2">
      <t>サイシン</t>
    </rPh>
    <rPh sb="2" eb="4">
      <t>シヨウ</t>
    </rPh>
    <rPh sb="4" eb="6">
      <t>サンショウ</t>
    </rPh>
    <phoneticPr fontId="1"/>
  </si>
  <si>
    <t>1-1.関連文書</t>
    <rPh sb="4" eb="6">
      <t>カンレン</t>
    </rPh>
    <rPh sb="6" eb="8">
      <t>ブンショ</t>
    </rPh>
    <phoneticPr fontId="1"/>
  </si>
  <si>
    <t>修正</t>
    <rPh sb="0" eb="2">
      <t>シュウセイ</t>
    </rPh>
    <phoneticPr fontId="1"/>
  </si>
  <si>
    <t>メッセージ認証要求仕様書　5L1-19-0071-D 参照に変更</t>
    <rPh sb="5" eb="7">
      <t>ニンショウ</t>
    </rPh>
    <rPh sb="7" eb="9">
      <t>ヨウキュウ</t>
    </rPh>
    <rPh sb="9" eb="12">
      <t>シヨウショ</t>
    </rPh>
    <rPh sb="27" eb="29">
      <t>サンショウ</t>
    </rPh>
    <rPh sb="30" eb="32">
      <t>ヘンコウ</t>
    </rPh>
    <phoneticPr fontId="1"/>
  </si>
  <si>
    <t>機能評価項目(集計)</t>
    <phoneticPr fontId="1"/>
  </si>
  <si>
    <t>機能評価項目(全件)シート内容変更に伴う修正</t>
    <rPh sb="13" eb="15">
      <t>ナイヨウ</t>
    </rPh>
    <rPh sb="15" eb="17">
      <t>ヘンコウ</t>
    </rPh>
    <rPh sb="18" eb="19">
      <t>トモナ</t>
    </rPh>
    <rPh sb="20" eb="22">
      <t>シュウセイ</t>
    </rPh>
    <phoneticPr fontId="1"/>
  </si>
  <si>
    <t>総試験件数</t>
    <rPh sb="0" eb="1">
      <t>ソウ</t>
    </rPh>
    <rPh sb="1" eb="3">
      <t>シケン</t>
    </rPh>
    <rPh sb="3" eb="4">
      <t>ケン</t>
    </rPh>
    <rPh sb="4" eb="5">
      <t>スウ</t>
    </rPh>
    <phoneticPr fontId="1"/>
  </si>
  <si>
    <t>693⇒667件　（26件減）</t>
    <rPh sb="7" eb="8">
      <t>ケン</t>
    </rPh>
    <rPh sb="12" eb="13">
      <t>ケン</t>
    </rPh>
    <rPh sb="13" eb="14">
      <t>ゲン</t>
    </rPh>
    <phoneticPr fontId="1"/>
  </si>
  <si>
    <t>24⇒21件　（3件減）</t>
    <rPh sb="5" eb="6">
      <t>ケン</t>
    </rPh>
    <rPh sb="9" eb="10">
      <t>ケン</t>
    </rPh>
    <rPh sb="10" eb="11">
      <t>ゲン</t>
    </rPh>
    <phoneticPr fontId="1"/>
  </si>
  <si>
    <t>64⇒56件　（8件減）</t>
    <rPh sb="5" eb="6">
      <t>ケン</t>
    </rPh>
    <rPh sb="9" eb="10">
      <t>ケン</t>
    </rPh>
    <rPh sb="10" eb="11">
      <t>ゲン</t>
    </rPh>
    <phoneticPr fontId="1"/>
  </si>
  <si>
    <t>M34</t>
    <phoneticPr fontId="1"/>
  </si>
  <si>
    <t>36⇒32件　（4件減）</t>
    <rPh sb="5" eb="6">
      <t>ケン</t>
    </rPh>
    <rPh sb="9" eb="10">
      <t>ケン</t>
    </rPh>
    <rPh sb="10" eb="11">
      <t>ゲン</t>
    </rPh>
    <phoneticPr fontId="1"/>
  </si>
  <si>
    <t>18⇒15件　（3件減）</t>
    <rPh sb="5" eb="6">
      <t>ケン</t>
    </rPh>
    <rPh sb="9" eb="10">
      <t>ケン</t>
    </rPh>
    <rPh sb="10" eb="11">
      <t>ゲン</t>
    </rPh>
    <phoneticPr fontId="1"/>
  </si>
  <si>
    <t>48⇒40件　（8件減）</t>
    <rPh sb="5" eb="6">
      <t>ケン</t>
    </rPh>
    <rPh sb="9" eb="10">
      <t>ケン</t>
    </rPh>
    <rPh sb="10" eb="11">
      <t>ゲン</t>
    </rPh>
    <phoneticPr fontId="1"/>
  </si>
  <si>
    <t>機能評価項目(全件)</t>
    <phoneticPr fontId="1"/>
  </si>
  <si>
    <t>5L1-19-0071-Dを反映：通信起動・通信許可電源関連部分を修正</t>
    <phoneticPr fontId="1"/>
  </si>
  <si>
    <r>
      <t>④ 同期メッセージ受信*2→セカンダリ</t>
    </r>
    <r>
      <rPr>
        <strike/>
        <sz val="10"/>
        <color rgb="FFFF0000"/>
        <rFont val="Meiryo UI"/>
        <family val="3"/>
        <charset val="128"/>
      </rPr>
      <t>通信起動</t>
    </r>
    <r>
      <rPr>
        <sz val="10"/>
        <color theme="1"/>
        <rFont val="Meiryo UI"/>
        <family val="3"/>
        <charset val="128"/>
      </rPr>
      <t>電源OFF/ON→送信停止解除後</t>
    </r>
    <phoneticPr fontId="1"/>
  </si>
  <si>
    <t>⑥⑦</t>
    <phoneticPr fontId="1"/>
  </si>
  <si>
    <t>M2-6-1A
M2-6-1B</t>
    <phoneticPr fontId="1"/>
  </si>
  <si>
    <t>試験項目</t>
    <rPh sb="0" eb="2">
      <t>シケン</t>
    </rPh>
    <rPh sb="2" eb="4">
      <t>コウモク</t>
    </rPh>
    <phoneticPr fontId="1"/>
  </si>
  <si>
    <t>項目削除</t>
    <rPh sb="0" eb="2">
      <t>コウモク</t>
    </rPh>
    <rPh sb="2" eb="4">
      <t>サクジョ</t>
    </rPh>
    <phoneticPr fontId="1"/>
  </si>
  <si>
    <t>M2-8-2</t>
    <phoneticPr fontId="1"/>
  </si>
  <si>
    <r>
      <t>⑥ 同期メッセージ受信*2→認証子付きメッセージ受信→セカンダリ</t>
    </r>
    <r>
      <rPr>
        <strike/>
        <sz val="10"/>
        <color rgb="FFFF0000"/>
        <rFont val="Meiryo UI"/>
        <family val="3"/>
        <charset val="128"/>
      </rPr>
      <t>通信起動</t>
    </r>
    <r>
      <rPr>
        <sz val="10"/>
        <color theme="1"/>
        <rFont val="Meiryo UI"/>
        <family val="3"/>
        <charset val="128"/>
      </rPr>
      <t>電源OFF/ON→VerifyStart経過後
⑧⇒⑦に修正
⑨⇒⑧に修正
- 同期メッセージ未受信*1、セカンダリ</t>
    </r>
    <r>
      <rPr>
        <strike/>
        <sz val="10"/>
        <color rgb="FFFF0000"/>
        <rFont val="Meiryo UI"/>
        <family val="3"/>
        <charset val="128"/>
      </rPr>
      <t>通信起動</t>
    </r>
    <r>
      <rPr>
        <sz val="10"/>
        <color theme="1"/>
        <rFont val="Meiryo UI"/>
        <family val="3"/>
        <charset val="128"/>
      </rPr>
      <t xml:space="preserve">電源ONからVerifyStart経過前
</t>
    </r>
    <r>
      <rPr>
        <strike/>
        <sz val="10"/>
        <color rgb="FFFF0000"/>
        <rFont val="Meiryo UI"/>
        <family val="3"/>
        <charset val="128"/>
      </rPr>
      <t>- 同期メッセージ未受信*1、セカンダリ通信許可電源ONからVerifyStart経過前</t>
    </r>
    <r>
      <rPr>
        <strike/>
        <sz val="10"/>
        <color theme="1"/>
        <rFont val="Meiryo UI"/>
        <family val="3"/>
        <charset val="128"/>
      </rPr>
      <t xml:space="preserve">
</t>
    </r>
    <r>
      <rPr>
        <sz val="10"/>
        <rFont val="Meiryo UI"/>
        <family val="3"/>
        <charset val="128"/>
      </rPr>
      <t>⑩⇒⑨に修正</t>
    </r>
    <rPh sb="64" eb="66">
      <t>シュウセイ</t>
    </rPh>
    <rPh sb="71" eb="73">
      <t>シュウセイ</t>
    </rPh>
    <rPh sb="168" eb="170">
      <t>シュウセイ</t>
    </rPh>
    <phoneticPr fontId="1"/>
  </si>
  <si>
    <t>⑦</t>
    <phoneticPr fontId="1"/>
  </si>
  <si>
    <t>M10-9-2</t>
    <phoneticPr fontId="1"/>
  </si>
  <si>
    <t>⑧⇒⑦に修正</t>
    <phoneticPr fontId="1"/>
  </si>
  <si>
    <t>M10-9-3</t>
    <phoneticPr fontId="1"/>
  </si>
  <si>
    <t>M10-10-1A
M10-10-1B</t>
    <phoneticPr fontId="1"/>
  </si>
  <si>
    <r>
      <t>⑥ 同期メッセージ受信*2→認証子付きメッセージ受信→セカンダリ</t>
    </r>
    <r>
      <rPr>
        <strike/>
        <sz val="10"/>
        <color rgb="FFFF0000"/>
        <rFont val="Meiryo UI"/>
        <family val="3"/>
        <charset val="128"/>
      </rPr>
      <t>通信起動</t>
    </r>
    <r>
      <rPr>
        <sz val="10"/>
        <color theme="1"/>
        <rFont val="Meiryo UI"/>
        <family val="3"/>
        <charset val="128"/>
      </rPr>
      <t>電源OFF/ON→VerifyStart経過後</t>
    </r>
    <phoneticPr fontId="1"/>
  </si>
  <si>
    <t>M10-10-2</t>
    <phoneticPr fontId="1"/>
  </si>
  <si>
    <t>M10-10-3</t>
    <phoneticPr fontId="1"/>
  </si>
  <si>
    <t>M10-11-2</t>
    <phoneticPr fontId="1"/>
  </si>
  <si>
    <t>M10-11-3</t>
    <phoneticPr fontId="1"/>
  </si>
  <si>
    <t>M10-12-1A
M10-12-1B</t>
    <phoneticPr fontId="1"/>
  </si>
  <si>
    <t>M10-13-1A
M10-13-1B
M10-13-2
M10-13-3</t>
    <phoneticPr fontId="1"/>
  </si>
  <si>
    <t>・M10-12　項目削除に伴う修正
M10-12-1A
M10-12-1B
M10-12-2
M10-12-3</t>
    <rPh sb="15" eb="17">
      <t>シュウセイ</t>
    </rPh>
    <phoneticPr fontId="1"/>
  </si>
  <si>
    <t>新M10-12-1A
新M10-12-1B</t>
    <rPh sb="0" eb="1">
      <t>シン</t>
    </rPh>
    <rPh sb="11" eb="12">
      <t>シン</t>
    </rPh>
    <phoneticPr fontId="1"/>
  </si>
  <si>
    <t>⑨⇒⑧に修正</t>
    <rPh sb="4" eb="6">
      <t>シュウセイ</t>
    </rPh>
    <phoneticPr fontId="1"/>
  </si>
  <si>
    <t>新M10-12-2</t>
    <rPh sb="0" eb="1">
      <t>シン</t>
    </rPh>
    <phoneticPr fontId="1"/>
  </si>
  <si>
    <t>⑨⇒⑧に修正
⑩⇒⑨に修正</t>
    <rPh sb="11" eb="13">
      <t>シュウセイ</t>
    </rPh>
    <phoneticPr fontId="1"/>
  </si>
  <si>
    <t>新M10-12-3</t>
    <phoneticPr fontId="1"/>
  </si>
  <si>
    <t>M10-14-1A
M10-14-1B
M10-14-2
M10-14-3</t>
    <phoneticPr fontId="1"/>
  </si>
  <si>
    <t>・M10-12　項目削除に伴う修正
M10-13-1A
M10-13-1B
M10-13-2
M10-13-3</t>
    <rPh sb="15" eb="17">
      <t>シュウセイ</t>
    </rPh>
    <phoneticPr fontId="1"/>
  </si>
  <si>
    <t>新M10-13-1A
新M10-13-1B</t>
    <rPh sb="0" eb="1">
      <t>シン</t>
    </rPh>
    <rPh sb="11" eb="12">
      <t>シン</t>
    </rPh>
    <phoneticPr fontId="1"/>
  </si>
  <si>
    <r>
      <t>⑨⇒⑧に修正
- 同期メッセージ未受信*1、セカンダリ</t>
    </r>
    <r>
      <rPr>
        <strike/>
        <sz val="10"/>
        <color rgb="FFFF0000"/>
        <rFont val="Meiryo UI"/>
        <family val="3"/>
        <charset val="128"/>
      </rPr>
      <t>通信起動</t>
    </r>
    <r>
      <rPr>
        <sz val="10"/>
        <color theme="1"/>
        <rFont val="Meiryo UI"/>
        <family val="3"/>
        <charset val="128"/>
      </rPr>
      <t>電源ON⇒VerifyStart経過前</t>
    </r>
    <rPh sb="4" eb="6">
      <t>シュウセイ</t>
    </rPh>
    <phoneticPr fontId="1"/>
  </si>
  <si>
    <t>新M10-13-2</t>
    <rPh sb="0" eb="1">
      <t>シン</t>
    </rPh>
    <phoneticPr fontId="1"/>
  </si>
  <si>
    <t>新M10-13-3</t>
    <phoneticPr fontId="1"/>
  </si>
  <si>
    <t>M10-15-1A
M10-15-1B
M10-15-2
M10-15-3</t>
    <phoneticPr fontId="1"/>
  </si>
  <si>
    <t>・M10-12　項目削除に伴う修正
M10-14-1A
M10-14-1B
M10-14-2
M10-14-3</t>
    <phoneticPr fontId="1"/>
  </si>
  <si>
    <t>新M10-14-1A
新M10-14-1B</t>
    <rPh sb="0" eb="1">
      <t>シン</t>
    </rPh>
    <rPh sb="11" eb="12">
      <t>シン</t>
    </rPh>
    <phoneticPr fontId="1"/>
  </si>
  <si>
    <t>新M10-14-2</t>
    <rPh sb="0" eb="1">
      <t>シン</t>
    </rPh>
    <phoneticPr fontId="1"/>
  </si>
  <si>
    <t>新M10-14-3</t>
    <phoneticPr fontId="1"/>
  </si>
  <si>
    <t>M10-16-1A
M10-16-1B</t>
    <phoneticPr fontId="1"/>
  </si>
  <si>
    <t>M10-16-2</t>
    <phoneticPr fontId="1"/>
  </si>
  <si>
    <t>M10-16-3</t>
    <phoneticPr fontId="1"/>
  </si>
  <si>
    <r>
      <t>⑥①を実施し、</t>
    </r>
    <r>
      <rPr>
        <strike/>
        <sz val="10"/>
        <color rgb="FFFF0000"/>
        <rFont val="Meiryo UI"/>
        <family val="3"/>
        <charset val="128"/>
      </rPr>
      <t>通信起動</t>
    </r>
    <r>
      <rPr>
        <sz val="10"/>
        <color theme="1"/>
        <rFont val="Meiryo UI"/>
        <family val="3"/>
        <charset val="128"/>
      </rPr>
      <t>電源ON後の…
⑨⇒⑧に修正</t>
    </r>
    <rPh sb="3" eb="5">
      <t>ジッシ</t>
    </rPh>
    <rPh sb="7" eb="9">
      <t>ツウシン</t>
    </rPh>
    <rPh sb="9" eb="11">
      <t>キドウ</t>
    </rPh>
    <rPh sb="11" eb="13">
      <t>デンゲン</t>
    </rPh>
    <rPh sb="15" eb="16">
      <t>ゴ</t>
    </rPh>
    <rPh sb="23" eb="25">
      <t>シュウセイ</t>
    </rPh>
    <phoneticPr fontId="1"/>
  </si>
  <si>
    <t>⑧削除</t>
    <phoneticPr fontId="1"/>
  </si>
  <si>
    <r>
      <t>⑥①を実施し、</t>
    </r>
    <r>
      <rPr>
        <strike/>
        <sz val="10"/>
        <color rgb="FFFF0000"/>
        <rFont val="Meiryo UI"/>
        <family val="3"/>
        <charset val="128"/>
      </rPr>
      <t>通信起動</t>
    </r>
    <r>
      <rPr>
        <sz val="10"/>
        <color theme="1"/>
        <rFont val="Meiryo UI"/>
        <family val="3"/>
        <charset val="128"/>
      </rPr>
      <t>電源ON後の…</t>
    </r>
    <rPh sb="3" eb="5">
      <t>ジッシ</t>
    </rPh>
    <rPh sb="7" eb="9">
      <t>ツウシン</t>
    </rPh>
    <rPh sb="9" eb="11">
      <t>キドウ</t>
    </rPh>
    <rPh sb="11" eb="13">
      <t>デンゲン</t>
    </rPh>
    <rPh sb="15" eb="16">
      <t>ゴ</t>
    </rPh>
    <phoneticPr fontId="1"/>
  </si>
  <si>
    <t>M34-6-2</t>
    <phoneticPr fontId="1"/>
  </si>
  <si>
    <t>M34-9-1
M34-9-2
M34-9-3
M34-9-4</t>
    <phoneticPr fontId="1"/>
  </si>
  <si>
    <t>・M34-8-x　項目削除に伴う修正
M34-8-1
M34-8-2
M34-8-3
M34-8-4</t>
    <rPh sb="16" eb="18">
      <t>シュウセイ</t>
    </rPh>
    <phoneticPr fontId="1"/>
  </si>
  <si>
    <t>新M34-8-1</t>
    <rPh sb="0" eb="1">
      <t>シン</t>
    </rPh>
    <phoneticPr fontId="1"/>
  </si>
  <si>
    <t>新M34-8-2</t>
    <rPh sb="0" eb="1">
      <t>シン</t>
    </rPh>
    <phoneticPr fontId="1"/>
  </si>
  <si>
    <t>新M34-8-3</t>
    <rPh sb="0" eb="1">
      <t>シン</t>
    </rPh>
    <phoneticPr fontId="1"/>
  </si>
  <si>
    <t>新M34-8-4</t>
    <rPh sb="0" eb="1">
      <t>シン</t>
    </rPh>
    <phoneticPr fontId="1"/>
  </si>
  <si>
    <r>
      <t>③- 同期メッセージ送信→セカンダリ</t>
    </r>
    <r>
      <rPr>
        <strike/>
        <sz val="10"/>
        <color rgb="FFFF0000"/>
        <rFont val="Meiryo UI"/>
        <family val="3"/>
        <charset val="128"/>
      </rPr>
      <t>通信起動</t>
    </r>
    <r>
      <rPr>
        <sz val="10"/>
        <color theme="1"/>
        <rFont val="Meiryo UI"/>
        <family val="3"/>
        <charset val="128"/>
      </rPr>
      <t>電源OFF/ON→送信停止解除後</t>
    </r>
    <phoneticPr fontId="1"/>
  </si>
  <si>
    <t>⑤削除
⑥削除</t>
    <phoneticPr fontId="1"/>
  </si>
  <si>
    <t>M39-4-1A
M39-4-1B</t>
    <phoneticPr fontId="1"/>
  </si>
  <si>
    <t>項目削除</t>
    <rPh sb="0" eb="2">
      <t>コウモク</t>
    </rPh>
    <rPh sb="1" eb="2">
      <t>メ</t>
    </rPh>
    <rPh sb="2" eb="4">
      <t>サクジョ</t>
    </rPh>
    <phoneticPr fontId="1"/>
  </si>
  <si>
    <r>
      <t>⑥- 同期メッセージ送信→認証子付きメッセージ受信→セカンダリ</t>
    </r>
    <r>
      <rPr>
        <strike/>
        <sz val="10"/>
        <color rgb="FFFF0000"/>
        <rFont val="Meiryo UI"/>
        <family val="3"/>
        <charset val="128"/>
      </rPr>
      <t>通信起動</t>
    </r>
    <r>
      <rPr>
        <sz val="10"/>
        <color theme="1"/>
        <rFont val="Meiryo UI"/>
        <family val="3"/>
        <charset val="128"/>
      </rPr>
      <t>電源OFF/ON→VerifyStart経過後
⑧⇒⑦に修正
⑨⇒⑧に修正
新⑧　
- セカンダリ</t>
    </r>
    <r>
      <rPr>
        <strike/>
        <sz val="10"/>
        <color rgb="FFFF0000"/>
        <rFont val="Meiryo UI"/>
        <family val="3"/>
        <charset val="128"/>
      </rPr>
      <t>通信起動</t>
    </r>
    <r>
      <rPr>
        <sz val="10"/>
        <color theme="1"/>
        <rFont val="Meiryo UI"/>
        <family val="3"/>
        <charset val="128"/>
      </rPr>
      <t>電源ONからVerifyStart経過前</t>
    </r>
    <r>
      <rPr>
        <strike/>
        <sz val="10"/>
        <color rgb="FFFF0000"/>
        <rFont val="Meiryo UI"/>
        <family val="3"/>
        <charset val="128"/>
      </rPr>
      <t xml:space="preserve">
- セカンダリ通信許可電源ONからVerifyStart経過前
</t>
    </r>
    <r>
      <rPr>
        <sz val="10"/>
        <rFont val="Meiryo UI"/>
        <family val="3"/>
        <charset val="128"/>
      </rPr>
      <t>⑩⇒⑨に修正</t>
    </r>
    <rPh sb="63" eb="65">
      <t>シュウセイ</t>
    </rPh>
    <rPh sb="70" eb="72">
      <t>シュウセイ</t>
    </rPh>
    <rPh sb="73" eb="74">
      <t>シン</t>
    </rPh>
    <rPh sb="145" eb="147">
      <t>シュウセイ</t>
    </rPh>
    <phoneticPr fontId="1"/>
  </si>
  <si>
    <t>⑦削除</t>
    <phoneticPr fontId="1"/>
  </si>
  <si>
    <t>M47-5-2</t>
    <phoneticPr fontId="1"/>
  </si>
  <si>
    <t>M47-5-3</t>
    <phoneticPr fontId="1"/>
  </si>
  <si>
    <t>M47-6-1A
M47-6-1B</t>
    <phoneticPr fontId="1"/>
  </si>
  <si>
    <r>
      <t>⑥- 同期メッセージ送信→認証子付きメッセージ受信→セカンダリ</t>
    </r>
    <r>
      <rPr>
        <strike/>
        <sz val="10"/>
        <color rgb="FFFF0000"/>
        <rFont val="Meiryo UI"/>
        <family val="3"/>
        <charset val="128"/>
      </rPr>
      <t>通信起動</t>
    </r>
    <r>
      <rPr>
        <sz val="10"/>
        <color theme="1"/>
        <rFont val="Meiryo UI"/>
        <family val="3"/>
        <charset val="128"/>
      </rPr>
      <t>電源OFF/ON→VerifyStart経過後</t>
    </r>
    <phoneticPr fontId="1"/>
  </si>
  <si>
    <t>M47-6-2</t>
    <phoneticPr fontId="1"/>
  </si>
  <si>
    <t>M47-6-3</t>
    <phoneticPr fontId="1"/>
  </si>
  <si>
    <t>M47-7-2</t>
    <phoneticPr fontId="1"/>
  </si>
  <si>
    <t>M47-7-3</t>
    <phoneticPr fontId="1"/>
  </si>
  <si>
    <t>M47-8-1A
M47-8-1B
M47-8-2
M47-8-3</t>
    <phoneticPr fontId="1"/>
  </si>
  <si>
    <t>・項目削除</t>
    <rPh sb="1" eb="3">
      <t>コウモク</t>
    </rPh>
    <rPh sb="3" eb="5">
      <t>サクジョ</t>
    </rPh>
    <phoneticPr fontId="1"/>
  </si>
  <si>
    <t>M47-9-1A
M47-9-1B
M47-9-2
M47-9-3</t>
    <phoneticPr fontId="1"/>
  </si>
  <si>
    <t>・M47-8-x削除に伴う修正
M47-8-1A
M47-8-1B
M47-8-2
M47-8-3</t>
    <rPh sb="8" eb="10">
      <t>サクジョ</t>
    </rPh>
    <rPh sb="11" eb="12">
      <t>トモナ</t>
    </rPh>
    <rPh sb="13" eb="15">
      <t>シュウセイ</t>
    </rPh>
    <phoneticPr fontId="1"/>
  </si>
  <si>
    <t>新M47-8-1A
新M47-8-1B</t>
    <rPh sb="0" eb="1">
      <t>シン</t>
    </rPh>
    <rPh sb="10" eb="11">
      <t>シン</t>
    </rPh>
    <phoneticPr fontId="1"/>
  </si>
  <si>
    <t>⑨⇒⑧に修正</t>
    <phoneticPr fontId="1"/>
  </si>
  <si>
    <t>新M47-8-2</t>
    <rPh sb="0" eb="1">
      <t>シン</t>
    </rPh>
    <phoneticPr fontId="1"/>
  </si>
  <si>
    <t>⑨⇒⑧に修正
⑩⇒⑨に修正</t>
    <phoneticPr fontId="1"/>
  </si>
  <si>
    <t>新M47-8-3</t>
    <rPh sb="0" eb="1">
      <t>シン</t>
    </rPh>
    <phoneticPr fontId="1"/>
  </si>
  <si>
    <t>M47-10-1A
M47-10-1B
M47-10-2
M47-10-3</t>
    <phoneticPr fontId="1"/>
  </si>
  <si>
    <t>・M47-8-x　項目削除に伴う修正
M47-9-1A
M47-9-1B
M47-9-2
M47-9-3</t>
    <rPh sb="16" eb="18">
      <t>シュウセイ</t>
    </rPh>
    <phoneticPr fontId="1"/>
  </si>
  <si>
    <t>新M47-9-1A
新M47-9-1B</t>
    <rPh sb="0" eb="1">
      <t>シン</t>
    </rPh>
    <rPh sb="10" eb="11">
      <t>シン</t>
    </rPh>
    <phoneticPr fontId="1"/>
  </si>
  <si>
    <r>
      <t>⑨⇒⑧に修正
- セカンダリ</t>
    </r>
    <r>
      <rPr>
        <strike/>
        <sz val="10"/>
        <color rgb="FFFF0000"/>
        <rFont val="Meiryo UI"/>
        <family val="3"/>
        <charset val="128"/>
      </rPr>
      <t>通信起動</t>
    </r>
    <r>
      <rPr>
        <sz val="10"/>
        <color theme="1"/>
        <rFont val="Meiryo UI"/>
        <family val="3"/>
        <charset val="128"/>
      </rPr>
      <t>電源ONからVerifyStart経過前</t>
    </r>
    <phoneticPr fontId="1"/>
  </si>
  <si>
    <t>新M47-9-2</t>
    <rPh sb="0" eb="1">
      <t>シン</t>
    </rPh>
    <phoneticPr fontId="1"/>
  </si>
  <si>
    <t>新M47-9-3</t>
    <rPh sb="0" eb="1">
      <t>シン</t>
    </rPh>
    <phoneticPr fontId="1"/>
  </si>
  <si>
    <t>M47-11-1A
M47-11-1B
M47-11-2
M47-11-3</t>
    <phoneticPr fontId="1"/>
  </si>
  <si>
    <t>・M47-8-x　項目削除に伴う修正
M47-10-1A
M47-10-1B
M47-10-2
M47-10-3</t>
    <rPh sb="16" eb="18">
      <t>シュウセイ</t>
    </rPh>
    <phoneticPr fontId="1"/>
  </si>
  <si>
    <t>新M47-10-1A
新M47-10-1B</t>
    <rPh sb="0" eb="1">
      <t>シン</t>
    </rPh>
    <rPh sb="11" eb="12">
      <t>シン</t>
    </rPh>
    <phoneticPr fontId="1"/>
  </si>
  <si>
    <t>新M47-10-2</t>
    <rPh sb="0" eb="1">
      <t>シン</t>
    </rPh>
    <phoneticPr fontId="1"/>
  </si>
  <si>
    <t>新M47-10-3</t>
    <rPh sb="0" eb="1">
      <t>シン</t>
    </rPh>
    <phoneticPr fontId="1"/>
  </si>
  <si>
    <t>M47-12-1A
M47-12-1B
M47-12-2
M47-12-3</t>
    <phoneticPr fontId="1"/>
  </si>
  <si>
    <t>試験内容の明確化</t>
    <rPh sb="0" eb="2">
      <t>シケン</t>
    </rPh>
    <rPh sb="2" eb="4">
      <t>ナイヨウ</t>
    </rPh>
    <rPh sb="5" eb="8">
      <t>メイカクカ</t>
    </rPh>
    <phoneticPr fontId="1"/>
  </si>
  <si>
    <t>M4</t>
    <phoneticPr fontId="1"/>
  </si>
  <si>
    <r>
      <t>　- 送信用認証子:トリップカウンタ,リセットカウンタの初期値と上記の値を用いて生成された</t>
    </r>
    <r>
      <rPr>
        <sz val="10"/>
        <color rgb="FFFF0000"/>
        <rFont val="Meiryo UI"/>
        <family val="3"/>
        <charset val="128"/>
      </rPr>
      <t>値</t>
    </r>
    <phoneticPr fontId="1"/>
  </si>
  <si>
    <t>M17</t>
    <phoneticPr fontId="1"/>
  </si>
  <si>
    <r>
      <t>④</t>
    </r>
    <r>
      <rPr>
        <sz val="10"/>
        <color rgb="FFFF0000"/>
        <rFont val="Meiryo UI"/>
        <family val="3"/>
        <charset val="128"/>
      </rPr>
      <t>認証子が異常な認証子付きメッセージを3回受信後、</t>
    </r>
    <r>
      <rPr>
        <sz val="10"/>
        <color theme="1"/>
        <rFont val="Meiryo UI"/>
        <family val="3"/>
        <charset val="128"/>
      </rPr>
      <t>受信タイムアウト・・・</t>
    </r>
    <rPh sb="1" eb="3">
      <t>ニンショウ</t>
    </rPh>
    <rPh sb="3" eb="4">
      <t>シ</t>
    </rPh>
    <rPh sb="5" eb="7">
      <t>イジョウ</t>
    </rPh>
    <rPh sb="8" eb="10">
      <t>ニンショウ</t>
    </rPh>
    <rPh sb="10" eb="11">
      <t>シ</t>
    </rPh>
    <rPh sb="11" eb="12">
      <t>ツ</t>
    </rPh>
    <rPh sb="20" eb="21">
      <t>カイ</t>
    </rPh>
    <rPh sb="21" eb="23">
      <t>ジュシン</t>
    </rPh>
    <rPh sb="23" eb="24">
      <t>ゴ</t>
    </rPh>
    <rPh sb="25" eb="27">
      <t>ジュシン</t>
    </rPh>
    <phoneticPr fontId="1"/>
  </si>
  <si>
    <t>M36</t>
    <phoneticPr fontId="1"/>
  </si>
  <si>
    <t>「MAC鍵　試作鍵以外」記載を追加</t>
    <rPh sb="4" eb="5">
      <t>カギ</t>
    </rPh>
    <rPh sb="6" eb="8">
      <t>シサク</t>
    </rPh>
    <rPh sb="8" eb="9">
      <t>カギ</t>
    </rPh>
    <rPh sb="9" eb="11">
      <t>イガイ</t>
    </rPh>
    <rPh sb="12" eb="14">
      <t>キサイ</t>
    </rPh>
    <rPh sb="15" eb="17">
      <t>ツイカ</t>
    </rPh>
    <phoneticPr fontId="1"/>
  </si>
  <si>
    <r>
      <t>⑥</t>
    </r>
    <r>
      <rPr>
        <sz val="10"/>
        <color rgb="FFFF0000"/>
        <rFont val="Meiryo UI"/>
        <family val="3"/>
        <charset val="128"/>
      </rPr>
      <t>認証子が異常な同期メッセージを3回受信後、</t>
    </r>
    <r>
      <rPr>
        <sz val="10"/>
        <color theme="1"/>
        <rFont val="Meiryo UI"/>
        <family val="3"/>
        <charset val="128"/>
      </rPr>
      <t>受信タイムアウト・・・</t>
    </r>
    <rPh sb="1" eb="3">
      <t>ニンショウ</t>
    </rPh>
    <rPh sb="3" eb="4">
      <t>シ</t>
    </rPh>
    <rPh sb="5" eb="7">
      <t>イジョウ</t>
    </rPh>
    <rPh sb="8" eb="10">
      <t>ドウキ</t>
    </rPh>
    <rPh sb="17" eb="18">
      <t>カイ</t>
    </rPh>
    <rPh sb="18" eb="20">
      <t>ジュシン</t>
    </rPh>
    <rPh sb="20" eb="21">
      <t>ゴ</t>
    </rPh>
    <rPh sb="22" eb="24">
      <t>ジュシン</t>
    </rPh>
    <phoneticPr fontId="1"/>
  </si>
  <si>
    <t>M36-1-11</t>
    <phoneticPr fontId="1"/>
  </si>
  <si>
    <t>M36-1-12</t>
    <phoneticPr fontId="1"/>
  </si>
  <si>
    <r>
      <t>④</t>
    </r>
    <r>
      <rPr>
        <sz val="10"/>
        <color rgb="FFFF0000"/>
        <rFont val="Meiryo UI"/>
        <family val="3"/>
        <charset val="128"/>
      </rPr>
      <t>認証子が異常な認証子付きメッセージを3回受信後、</t>
    </r>
    <phoneticPr fontId="1"/>
  </si>
  <si>
    <t>詳細手順書(Mxx)</t>
    <rPh sb="0" eb="2">
      <t>ショウサイ</t>
    </rPh>
    <rPh sb="2" eb="5">
      <t>テジュンショ</t>
    </rPh>
    <phoneticPr fontId="1"/>
  </si>
  <si>
    <t>機能評価項目(全件)シートの変更に合わせて修正（詳細は割愛）</t>
    <rPh sb="14" eb="16">
      <t>ヘンコウ</t>
    </rPh>
    <rPh sb="17" eb="18">
      <t>ア</t>
    </rPh>
    <rPh sb="21" eb="23">
      <t>シュウセイ</t>
    </rPh>
    <rPh sb="24" eb="26">
      <t>ショウサイ</t>
    </rPh>
    <rPh sb="27" eb="29">
      <t>カツアイ</t>
    </rPh>
    <phoneticPr fontId="1"/>
  </si>
  <si>
    <t>Sheet Name</t>
  </si>
  <si>
    <t>DetailedManual_M1_M8</t>
  </si>
  <si>
    <t>DetailedManual_M55</t>
  </si>
  <si>
    <t>DetailedManual_M46_M54</t>
  </si>
  <si>
    <t>DetailedManual_M38_M45</t>
  </si>
  <si>
    <t>DetailedManual_M28_M37</t>
  </si>
  <si>
    <t>DetailedManual_M18_M27</t>
  </si>
  <si>
    <t>DetailedManual_M9_M17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</si>
</sst>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quot;¥&quot;#,##0_);[Red]\(&quot;¥&quot;#,##0\)"/>
    <numFmt numFmtId="165" formatCode="&quot;¥&quot;#,##0.00_);[Red]\(&quot;¥&quot;#,##0.00\)"/>
    <numFmt numFmtId="166" formatCode="0_ "/>
    <numFmt numFmtId="167" formatCode="&quot;$&quot;* #,##0_);[Red]&quot;$&quot;* \(#,##0\)"/>
    <numFmt numFmtId="168" formatCode="&quot;$&quot;* #,##0.00_);[Red]&quot;$&quot;* \(#,##0.00\)"/>
    <numFmt numFmtId="169" formatCode="0_)%;\(0\)%"/>
    <numFmt numFmtId="170" formatCode="0.0\ %;\(0.0\)%"/>
    <numFmt numFmtId="171" formatCode="#,##0_);[Red]\ \(#,##0\)"/>
    <numFmt numFmtId="172" formatCode="#,##0;\-#,##0;&quot;-&quot;"/>
    <numFmt numFmtId="173" formatCode="0.0000"/>
    <numFmt numFmtId="174" formatCode="hh:mm\ AM/PM"/>
    <numFmt numFmtId="175" formatCode="\$#,##0.00;[Red]\-\$#,##0.00"/>
    <numFmt numFmtId="176" formatCode="0.0000%"/>
    <numFmt numFmtId="177" formatCode="#,##0.0_);\(#,##0.0\)"/>
    <numFmt numFmtId="178" formatCode="mmmm\ d\,\ yyyy"/>
    <numFmt numFmtId="179" formatCode="mm/dd/yy"/>
    <numFmt numFmtId="180" formatCode="_-* #,##0_-;\-* #,##0_-;_-* &quot;-&quot;_-;_-@_-"/>
    <numFmt numFmtId="181" formatCode="&quot;L&quot;#,##0.00_);[Red]\(&quot;L&quot;#,##0.00\)"/>
    <numFmt numFmtId="182" formatCode="_-* #,##0\ _k_r_-;\-* #,##0\ _k_r_-;_-* &quot;-&quot;\ _k_r_-;_-@_-"/>
    <numFmt numFmtId="183" formatCode="_-* #,##0.00\ _k_r_-;\-* #,##0.00\ _k_r_-;_-* &quot;-&quot;??\ _k_r_-;_-@_-"/>
    <numFmt numFmtId="184" formatCode="_-* #,##0\ &quot;kr&quot;_-;\-* #,##0\ &quot;kr&quot;_-;_-* &quot;-&quot;\ &quot;kr&quot;_-;_-@_-"/>
    <numFmt numFmtId="185" formatCode="_-* #,##0.00\ &quot;kr&quot;_-;\-* #,##0.00\ &quot;kr&quot;_-;_-* &quot;-&quot;??\ &quot;kr&quot;_-;_-@_-"/>
    <numFmt numFmtId="186" formatCode="\A&quot;$&quot;#,##0_);\(&quot;$&quot;#,##0\)"/>
    <numFmt numFmtId="187" formatCode="&quot;L&quot;#,##0.00_);\(&quot;L&quot;#,##0.00\)"/>
    <numFmt numFmtId="188" formatCode="\$\ #,##0;\-\$\ #,##0"/>
    <numFmt numFmtId="189" formatCode="_(&quot;L&quot;* #,##0_);_(&quot;L&quot;* \(#,##0\);_(&quot;L&quot;* &quot;-&quot;_);_(@_)"/>
    <numFmt numFmtId="190" formatCode=";;*__)"/>
    <numFmt numFmtId="191" formatCode="_-&quot;£&quot;* #,##0_-;\-&quot;£&quot;* #,##0_-;_-&quot;£&quot;* &quot;-&quot;_-;_-@_-"/>
    <numFmt numFmtId="192" formatCode="\$#,##0.0;[Red]\-\$#,##0.0"/>
    <numFmt numFmtId="193" formatCode="0.000E+00"/>
    <numFmt numFmtId="194" formatCode="##"/>
  </numFmts>
  <fonts count="76">
    <font>
      <sz val="11"/>
      <color theme="1"/>
      <name val="Calibri"/>
      <family val="2"/>
      <charset val="128"/>
      <scheme val="minor"/>
    </font>
    <font>
      <sz val="6"/>
      <name val="Calibri"/>
      <family val="2"/>
      <charset val="128"/>
      <scheme val="minor"/>
    </font>
    <font>
      <sz val="11"/>
      <name val="ＭＳ Ｐゴシック"/>
      <family val="3"/>
      <charset val="128"/>
    </font>
    <font>
      <sz val="6"/>
      <name val="ＭＳ Ｐゴシック"/>
      <family val="3"/>
      <charset val="128"/>
    </font>
    <font>
      <b/>
      <sz val="11"/>
      <name val="Calibri"/>
      <family val="3"/>
      <charset val="128"/>
      <scheme val="minor"/>
    </font>
    <font>
      <sz val="11"/>
      <name val="Calibri"/>
      <family val="3"/>
      <charset val="128"/>
      <scheme val="minor"/>
    </font>
    <font>
      <sz val="10.5"/>
      <name val="Calibri"/>
      <family val="3"/>
      <charset val="128"/>
      <scheme val="minor"/>
    </font>
    <font>
      <sz val="10"/>
      <name val="Arial"/>
      <family val="2"/>
    </font>
    <font>
      <u/>
      <sz val="11"/>
      <color theme="10"/>
      <name val="Calibri"/>
      <family val="2"/>
      <charset val="128"/>
      <scheme val="minor"/>
    </font>
    <font>
      <sz val="8"/>
      <name val="Calibri"/>
      <family val="3"/>
      <charset val="128"/>
      <scheme val="minor"/>
    </font>
    <font>
      <b/>
      <sz val="11"/>
      <name val="Meiryo UI"/>
      <family val="3"/>
      <charset val="128"/>
    </font>
    <font>
      <sz val="11"/>
      <name val="Meiryo UI"/>
      <family val="3"/>
      <charset val="128"/>
    </font>
    <font>
      <sz val="10.5"/>
      <name val="Meiryo UI"/>
      <family val="3"/>
      <charset val="128"/>
    </font>
    <font>
      <sz val="11"/>
      <color theme="1"/>
      <name val="Meiryo UI"/>
      <family val="3"/>
      <charset val="128"/>
    </font>
    <font>
      <u/>
      <sz val="11"/>
      <color theme="10"/>
      <name val="Meiryo UI"/>
      <family val="3"/>
      <charset val="128"/>
    </font>
    <font>
      <b/>
      <u/>
      <sz val="11"/>
      <name val="Meiryo UI"/>
      <family val="3"/>
      <charset val="128"/>
    </font>
    <font>
      <b/>
      <sz val="12"/>
      <color theme="1"/>
      <name val="Meiryo UI"/>
      <family val="3"/>
      <charset val="128"/>
    </font>
    <font>
      <b/>
      <sz val="12"/>
      <name val="Meiryo UI"/>
      <family val="3"/>
      <charset val="128"/>
    </font>
    <font>
      <b/>
      <sz val="11"/>
      <color theme="1"/>
      <name val="Meiryo UI"/>
      <family val="3"/>
      <charset val="128"/>
    </font>
    <font>
      <b/>
      <sz val="16"/>
      <name val="Meiryo UI"/>
      <family val="3"/>
      <charset val="128"/>
    </font>
    <font>
      <b/>
      <i/>
      <sz val="11"/>
      <color rgb="FF0070C0"/>
      <name val="Meiryo UI"/>
      <family val="3"/>
      <charset val="128"/>
    </font>
    <font>
      <sz val="11"/>
      <color theme="1"/>
      <name val="Calibri"/>
      <family val="2"/>
      <charset val="128"/>
      <scheme val="minor"/>
    </font>
    <font>
      <sz val="11"/>
      <color theme="1"/>
      <name val="Calibri"/>
      <family val="2"/>
      <scheme val="minor"/>
    </font>
    <font>
      <sz val="8.5"/>
      <name val="LinePrinter"/>
      <family val="2"/>
    </font>
    <font>
      <sz val="8"/>
      <name val="Arial"/>
      <family val="2"/>
    </font>
    <font>
      <sz val="8"/>
      <name val="?l?r ?o?S?V?b?N"/>
      <family val="3"/>
    </font>
    <font>
      <sz val="8"/>
      <name val="Times New Roman"/>
      <family val="1"/>
    </font>
    <font>
      <sz val="10"/>
      <color indexed="8"/>
      <name val="Arial"/>
      <family val="2"/>
    </font>
    <font>
      <b/>
      <sz val="10"/>
      <name val="Helv"/>
      <family val="2"/>
    </font>
    <font>
      <sz val="10"/>
      <name val="MS Sans Serif"/>
      <family val="2"/>
    </font>
    <font>
      <sz val="10"/>
      <name val="Times New Roman"/>
      <family val="1"/>
    </font>
    <font>
      <sz val="10"/>
      <name val="Helv"/>
      <family val="2"/>
    </font>
    <font>
      <u/>
      <sz val="7.2"/>
      <color indexed="36"/>
      <name val="MS Sans Serif"/>
      <family val="2"/>
    </font>
    <font>
      <b/>
      <sz val="12"/>
      <name val="Helv"/>
      <family val="2"/>
    </font>
    <font>
      <b/>
      <sz val="12"/>
      <name val="Arial"/>
      <family val="2"/>
    </font>
    <font>
      <b/>
      <sz val="11"/>
      <name val="Helv"/>
      <family val="2"/>
    </font>
    <font>
      <sz val="10"/>
      <color rgb="FF9C6500"/>
      <name val="Arial Unicode MS"/>
      <family val="2"/>
    </font>
    <font>
      <sz val="10"/>
      <color theme="1"/>
      <name val="Arial Unicode MS"/>
      <family val="2"/>
    </font>
    <font>
      <sz val="11"/>
      <name val="‚l‚r –¾’©"/>
      <family val="3"/>
      <charset val="128"/>
    </font>
    <font>
      <sz val="9"/>
      <color indexed="8"/>
      <name val="Arial"/>
      <family val="2"/>
    </font>
    <font>
      <sz val="8"/>
      <name val="MS Sans Serif"/>
      <family val="2"/>
    </font>
    <font>
      <sz val="7"/>
      <name val="Small Fonts"/>
      <family val="2"/>
    </font>
    <font>
      <b/>
      <sz val="10"/>
      <name val="MS Sans Serif"/>
      <family val="2"/>
    </font>
    <font>
      <sz val="8"/>
      <color indexed="8"/>
      <name val="Times New Roman"/>
      <family val="1"/>
    </font>
    <font>
      <b/>
      <sz val="8"/>
      <color indexed="8"/>
      <name val="Times New Roman"/>
      <family val="1"/>
    </font>
    <font>
      <sz val="12"/>
      <color indexed="8"/>
      <name val="Times New Roman"/>
      <family val="1"/>
    </font>
    <font>
      <b/>
      <sz val="10"/>
      <name val="Arial"/>
      <family val="2"/>
    </font>
    <font>
      <u/>
      <sz val="10"/>
      <color indexed="12"/>
      <name val="Arial"/>
      <family val="2"/>
      <charset val="204"/>
    </font>
    <font>
      <sz val="14"/>
      <name val="ＭＳ 明朝"/>
      <family val="1"/>
      <charset val="128"/>
    </font>
    <font>
      <b/>
      <sz val="10"/>
      <color theme="1"/>
      <name val="Meiryo UI"/>
      <family val="3"/>
      <charset val="128"/>
    </font>
    <font>
      <b/>
      <sz val="11"/>
      <color rgb="FF0070C0"/>
      <name val="Meiryo UI"/>
      <family val="3"/>
      <charset val="128"/>
    </font>
    <font>
      <sz val="10"/>
      <color indexed="10"/>
      <name val="ＭＳ Ｐゴシック"/>
      <family val="3"/>
      <charset val="128"/>
    </font>
    <font>
      <sz val="10"/>
      <name val="ＭＳ Ｐゴシック"/>
      <family val="3"/>
      <charset val="128"/>
    </font>
    <font>
      <sz val="9"/>
      <name val="ＭＳ Ｐゴシック"/>
      <family val="3"/>
      <charset val="128"/>
    </font>
    <font>
      <b/>
      <u/>
      <sz val="16"/>
      <name val="Arial"/>
      <family val="2"/>
    </font>
    <font>
      <u/>
      <sz val="10"/>
      <name val="ＭＳ Ｐゴシック"/>
      <family val="3"/>
      <charset val="128"/>
    </font>
    <font>
      <i/>
      <sz val="14"/>
      <name val="HG正楷書体-PRO"/>
      <family val="4"/>
      <charset val="128"/>
    </font>
    <font>
      <sz val="10"/>
      <name val="HG正楷書体-PRO"/>
      <family val="4"/>
      <charset val="128"/>
    </font>
    <font>
      <sz val="10"/>
      <color theme="1"/>
      <name val="ＭＳ Ｐゴシック"/>
      <family val="3"/>
      <charset val="128"/>
    </font>
    <font>
      <sz val="10"/>
      <color theme="1"/>
      <name val="HG正楷書体-PRO"/>
      <family val="4"/>
      <charset val="128"/>
    </font>
    <font>
      <b/>
      <u/>
      <sz val="18"/>
      <name val="ＭＳ Ｐゴシック"/>
      <family val="3"/>
      <charset val="128"/>
    </font>
    <font>
      <sz val="10"/>
      <color theme="1"/>
      <name val="Calibri"/>
      <family val="2"/>
      <charset val="128"/>
      <scheme val="minor"/>
    </font>
    <font>
      <sz val="10"/>
      <color theme="1"/>
      <name val="Calibri"/>
      <family val="3"/>
      <charset val="128"/>
      <scheme val="minor"/>
    </font>
    <font>
      <sz val="11"/>
      <color rgb="FF0070C0"/>
      <name val="Meiryo UI"/>
      <family val="3"/>
      <charset val="128"/>
    </font>
    <font>
      <sz val="11"/>
      <color rgb="FFFF0000"/>
      <name val="Meiryo UI"/>
      <family val="3"/>
      <charset val="128"/>
    </font>
    <font>
      <sz val="12"/>
      <name val="Meiryo UI"/>
      <family val="3"/>
      <charset val="128"/>
    </font>
    <font>
      <strike/>
      <sz val="11"/>
      <name val="Meiryo UI"/>
      <family val="3"/>
      <charset val="128"/>
    </font>
    <font>
      <sz val="11"/>
      <color theme="1"/>
      <name val="ＭＳ ゴシック"/>
      <family val="3"/>
      <charset val="128"/>
    </font>
    <font>
      <u/>
      <sz val="10"/>
      <color theme="10"/>
      <name val="Meiryo UI"/>
      <family val="3"/>
      <charset val="128"/>
    </font>
    <font>
      <sz val="10"/>
      <color theme="1"/>
      <name val="Meiryo UI"/>
      <family val="3"/>
      <charset val="128"/>
    </font>
    <font>
      <b/>
      <sz val="10"/>
      <name val="Meiryo UI"/>
      <family val="3"/>
      <charset val="128"/>
    </font>
    <font>
      <strike/>
      <sz val="10"/>
      <color rgb="FFFF0000"/>
      <name val="Meiryo UI"/>
      <family val="3"/>
      <charset val="128"/>
    </font>
    <font>
      <strike/>
      <sz val="10"/>
      <color theme="1"/>
      <name val="Meiryo UI"/>
      <family val="3"/>
      <charset val="128"/>
    </font>
    <font>
      <sz val="10"/>
      <name val="Meiryo UI"/>
      <family val="3"/>
      <charset val="128"/>
    </font>
    <font>
      <sz val="10"/>
      <color rgb="FFFF0000"/>
      <name val="Meiryo UI"/>
      <family val="3"/>
      <charset val="128"/>
    </font>
    <font>
      <sz val="11"/>
      <color rgb="FF000000"/>
      <name val="ＭＳ Ｐゴシック"/>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66CCFF"/>
        <bgColor indexed="64"/>
      </patternFill>
    </fill>
    <fill>
      <patternFill patternType="solid">
        <fgColor rgb="FF99FF99"/>
        <bgColor indexed="64"/>
      </patternFill>
    </fill>
    <fill>
      <patternFill patternType="solid">
        <fgColor theme="8" tint="0.79998168889431442"/>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EB9C"/>
      </patternFill>
    </fill>
    <fill>
      <patternFill patternType="solid">
        <fgColor indexed="22"/>
        <bgColor indexed="64"/>
      </patternFill>
    </fill>
    <fill>
      <patternFill patternType="solid">
        <fgColor indexed="9"/>
        <bgColor indexed="64"/>
      </patternFill>
    </fill>
    <fill>
      <patternFill patternType="mediumGray">
        <fgColor indexed="22"/>
      </patternFill>
    </fill>
    <fill>
      <patternFill patternType="solid">
        <fgColor theme="8" tint="0.39997558519241921"/>
        <bgColor indexed="64"/>
      </patternFill>
    </fill>
    <fill>
      <patternFill patternType="solid">
        <fgColor rgb="FFF2F2F2"/>
        <bgColor indexed="64"/>
      </patternFill>
    </fill>
    <fill>
      <patternFill patternType="solid">
        <fgColor rgb="FF92CDD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s>
  <borders count="59">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style="medium">
        <color indexed="64"/>
      </bottom>
      <diagonal/>
    </border>
    <border>
      <left/>
      <right/>
      <top/>
      <bottom style="medium">
        <color indexed="64"/>
      </bottom>
      <diagonal/>
    </border>
    <border>
      <left style="thin">
        <color indexed="64"/>
      </left>
      <right/>
      <top style="thin">
        <color indexed="64"/>
      </top>
      <bottom style="hair">
        <color indexed="64"/>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style="thin">
        <color indexed="8"/>
      </left>
      <right style="thin">
        <color indexed="8"/>
      </right>
      <top style="thin">
        <color indexed="8"/>
      </top>
      <bottom style="double">
        <color indexed="8"/>
      </bottom>
      <diagonal/>
    </border>
    <border>
      <left style="thin">
        <color auto="1"/>
      </left>
      <right style="thin">
        <color auto="1"/>
      </right>
      <top/>
      <bottom style="thin">
        <color auto="1"/>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auto="1"/>
      </top>
      <bottom style="thin">
        <color auto="1"/>
      </bottom>
      <diagonal/>
    </border>
    <border>
      <left style="thin">
        <color indexed="64"/>
      </left>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top style="thin">
        <color indexed="64"/>
      </top>
      <bottom/>
      <diagonal/>
    </border>
    <border>
      <left style="thin">
        <color indexed="64"/>
      </left>
      <right style="thin">
        <color indexed="64"/>
      </right>
      <top style="double">
        <color indexed="64"/>
      </top>
      <bottom style="thin">
        <color indexed="64"/>
      </bottom>
      <diagonal/>
    </border>
    <border>
      <left style="medium">
        <color indexed="64"/>
      </left>
      <right/>
      <top/>
      <bottom/>
      <diagonal/>
    </border>
    <border>
      <left/>
      <right style="medium">
        <color indexed="64"/>
      </right>
      <top/>
      <bottom/>
      <diagonal/>
    </border>
    <border>
      <left/>
      <right style="medium">
        <color indexed="64"/>
      </right>
      <top style="thin">
        <color indexed="64"/>
      </top>
      <bottom style="double">
        <color indexed="64"/>
      </bottom>
      <diagonal/>
    </border>
    <border>
      <left/>
      <right style="medium">
        <color indexed="64"/>
      </right>
      <top style="double">
        <color indexed="64"/>
      </top>
      <bottom style="medium">
        <color indexed="64"/>
      </bottom>
      <diagonal/>
    </border>
    <border>
      <left style="thin">
        <color indexed="64"/>
      </left>
      <right style="medium">
        <color indexed="64"/>
      </right>
      <top style="thin">
        <color indexed="64"/>
      </top>
      <bottom/>
      <diagonal/>
    </border>
  </borders>
  <cellStyleXfs count="119">
    <xf numFmtId="0" fontId="0" fillId="0" borderId="0">
      <alignment vertical="center"/>
    </xf>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7" fillId="0" borderId="0"/>
    <xf numFmtId="0" fontId="8" fillId="0" borderId="0" applyNumberFormat="0" applyFill="0" applyBorder="0" applyAlignment="0" applyProtection="0">
      <alignment vertical="center"/>
    </xf>
    <xf numFmtId="0" fontId="22" fillId="0" borderId="0"/>
    <xf numFmtId="0" fontId="21" fillId="0" borderId="0">
      <alignment vertical="center"/>
    </xf>
    <xf numFmtId="167" fontId="23" fillId="0" borderId="0" applyFont="0" applyFill="0" applyBorder="0" applyAlignment="0" applyProtection="0"/>
    <xf numFmtId="0" fontId="24" fillId="0" borderId="0" applyFont="0" applyFill="0" applyBorder="0" applyAlignment="0" applyProtection="0"/>
    <xf numFmtId="168" fontId="23" fillId="0" borderId="0" applyFont="0" applyFill="0" applyBorder="0" applyAlignment="0" applyProtection="0"/>
    <xf numFmtId="169" fontId="23" fillId="0" borderId="0" applyFont="0" applyFill="0" applyBorder="0" applyAlignment="0" applyProtection="0"/>
    <xf numFmtId="170" fontId="23" fillId="0" borderId="0" applyFont="0" applyFill="0" applyBorder="0" applyAlignment="0" applyProtection="0"/>
    <xf numFmtId="165" fontId="25" fillId="0" borderId="0" applyFont="0" applyFill="0" applyBorder="0" applyAlignment="0" applyProtection="0"/>
    <xf numFmtId="164" fontId="25" fillId="0" borderId="0" applyFont="0" applyFill="0" applyBorder="0" applyAlignment="0" applyProtection="0"/>
    <xf numFmtId="171" fontId="23" fillId="0" borderId="0" applyFont="0" applyFill="0" applyBorder="0" applyAlignment="0" applyProtection="0"/>
    <xf numFmtId="0" fontId="24" fillId="0" borderId="0" applyFont="0" applyFill="0" applyBorder="0" applyAlignment="0" applyProtection="0"/>
    <xf numFmtId="40" fontId="23" fillId="0" borderId="0" applyFont="0" applyFill="0" applyBorder="0" applyAlignment="0" applyProtection="0"/>
    <xf numFmtId="0" fontId="26" fillId="0" borderId="0">
      <alignment horizontal="center" wrapText="1"/>
      <protection locked="0"/>
    </xf>
    <xf numFmtId="172" fontId="27" fillId="0" borderId="0" applyFill="0" applyBorder="0" applyAlignment="0"/>
    <xf numFmtId="173" fontId="7" fillId="0" borderId="0" applyFill="0" applyBorder="0" applyAlignment="0"/>
    <xf numFmtId="0" fontId="28" fillId="0" borderId="0"/>
    <xf numFmtId="174" fontId="7" fillId="0" borderId="0" applyFont="0" applyFill="0" applyBorder="0" applyAlignment="0" applyProtection="0"/>
    <xf numFmtId="40" fontId="29" fillId="0" borderId="0" applyFont="0" applyFill="0" applyBorder="0" applyAlignment="0" applyProtection="0"/>
    <xf numFmtId="175" fontId="30" fillId="0" borderId="0">
      <alignment horizontal="center"/>
    </xf>
    <xf numFmtId="173" fontId="7" fillId="0" borderId="0" applyFont="0" applyFill="0" applyBorder="0" applyAlignment="0" applyProtection="0"/>
    <xf numFmtId="176" fontId="7" fillId="0" borderId="0" applyFont="0" applyFill="0" applyBorder="0" applyAlignment="0" applyProtection="0"/>
    <xf numFmtId="177" fontId="7" fillId="10" borderId="0" applyFont="0" applyBorder="0"/>
    <xf numFmtId="178" fontId="29" fillId="0" borderId="0" applyFont="0" applyFill="0" applyBorder="0" applyProtection="0">
      <alignment horizontal="centerContinuous"/>
    </xf>
    <xf numFmtId="14" fontId="27" fillId="0" borderId="0" applyFill="0" applyBorder="0" applyAlignment="0"/>
    <xf numFmtId="179" fontId="29" fillId="0" borderId="10" applyFont="0" applyFill="0" applyBorder="0" applyAlignment="0">
      <alignment horizontal="center"/>
    </xf>
    <xf numFmtId="180" fontId="7" fillId="0" borderId="0" applyFont="0" applyFill="0" applyBorder="0" applyAlignment="0" applyProtection="0"/>
    <xf numFmtId="4" fontId="31" fillId="0" borderId="0" applyFont="0" applyFill="0" applyBorder="0" applyAlignment="0" applyProtection="0"/>
    <xf numFmtId="174" fontId="7" fillId="0" borderId="0" applyFill="0" applyBorder="0" applyAlignment="0"/>
    <xf numFmtId="173" fontId="7" fillId="0" borderId="0" applyFill="0" applyBorder="0" applyAlignment="0"/>
    <xf numFmtId="174" fontId="7" fillId="0" borderId="0" applyFill="0" applyBorder="0" applyAlignment="0"/>
    <xf numFmtId="181" fontId="7" fillId="0" borderId="0" applyFill="0" applyBorder="0" applyAlignment="0"/>
    <xf numFmtId="173" fontId="7" fillId="0" borderId="0" applyFill="0" applyBorder="0" applyAlignment="0"/>
    <xf numFmtId="0" fontId="7" fillId="0" borderId="3" applyFont="0" applyBorder="0" applyAlignment="0"/>
    <xf numFmtId="0" fontId="32" fillId="0" borderId="0" applyNumberFormat="0" applyFill="0" applyBorder="0" applyAlignment="0" applyProtection="0">
      <alignment vertical="top"/>
      <protection locked="0"/>
    </xf>
    <xf numFmtId="38" fontId="24" fillId="11" borderId="0" applyNumberFormat="0" applyBorder="0" applyAlignment="0" applyProtection="0"/>
    <xf numFmtId="0" fontId="33" fillId="0" borderId="0">
      <alignment horizontal="left"/>
    </xf>
    <xf numFmtId="0" fontId="34" fillId="0" borderId="18" applyNumberFormat="0" applyAlignment="0" applyProtection="0">
      <alignment horizontal="left" vertical="center"/>
    </xf>
    <xf numFmtId="0" fontId="34" fillId="0" borderId="6">
      <alignment horizontal="left" vertical="center"/>
    </xf>
    <xf numFmtId="10" fontId="24" fillId="11" borderId="4" applyNumberFormat="0" applyBorder="0" applyAlignment="0" applyProtection="0"/>
    <xf numFmtId="174" fontId="7" fillId="0" borderId="0" applyFill="0" applyBorder="0" applyAlignment="0"/>
    <xf numFmtId="173" fontId="7" fillId="0" borderId="0" applyFill="0" applyBorder="0" applyAlignment="0"/>
    <xf numFmtId="174" fontId="7" fillId="0" borderId="0" applyFill="0" applyBorder="0" applyAlignment="0"/>
    <xf numFmtId="181" fontId="7" fillId="0" borderId="0" applyFill="0" applyBorder="0" applyAlignment="0"/>
    <xf numFmtId="173" fontId="7" fillId="0" borderId="0" applyFill="0" applyBorder="0" applyAlignment="0"/>
    <xf numFmtId="182" fontId="7" fillId="0" borderId="0" applyFont="0" applyFill="0" applyBorder="0" applyAlignment="0" applyProtection="0"/>
    <xf numFmtId="183" fontId="7" fillId="0" borderId="0" applyFont="0" applyFill="0" applyBorder="0" applyAlignment="0" applyProtection="0"/>
    <xf numFmtId="41" fontId="7" fillId="0" borderId="0" applyFont="0" applyFill="0" applyBorder="0" applyAlignment="0" applyProtection="0"/>
    <xf numFmtId="43" fontId="7" fillId="0" borderId="0" applyFont="0" applyFill="0" applyBorder="0" applyAlignment="0" applyProtection="0"/>
    <xf numFmtId="0" fontId="35" fillId="0" borderId="19"/>
    <xf numFmtId="184" fontId="7" fillId="0" borderId="0" applyFont="0" applyFill="0" applyBorder="0" applyAlignment="0" applyProtection="0"/>
    <xf numFmtId="185" fontId="7" fillId="0" borderId="0" applyFont="0" applyFill="0" applyBorder="0" applyAlignment="0" applyProtection="0"/>
    <xf numFmtId="42"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44" fontId="7" fillId="0" borderId="0" applyFont="0" applyFill="0" applyBorder="0" applyAlignment="0" applyProtection="0"/>
    <xf numFmtId="0" fontId="36" fillId="9" borderId="0" applyNumberFormat="0" applyBorder="0" applyAlignment="0" applyProtection="0"/>
    <xf numFmtId="186" fontId="7" fillId="0" borderId="0"/>
    <xf numFmtId="0" fontId="22" fillId="0" borderId="0"/>
    <xf numFmtId="0" fontId="7" fillId="0" borderId="0"/>
    <xf numFmtId="0" fontId="37" fillId="0" borderId="0"/>
    <xf numFmtId="0" fontId="21" fillId="0" borderId="0">
      <alignment vertical="center"/>
    </xf>
    <xf numFmtId="0" fontId="22" fillId="0" borderId="0"/>
    <xf numFmtId="40" fontId="38" fillId="0" borderId="0" applyFont="0" applyFill="0" applyBorder="0" applyAlignment="0" applyProtection="0"/>
    <xf numFmtId="38" fontId="38" fillId="0" borderId="0" applyFont="0" applyFill="0" applyBorder="0" applyAlignment="0" applyProtection="0"/>
    <xf numFmtId="1" fontId="39" fillId="11" borderId="20" applyNumberFormat="0" applyBorder="0" applyAlignment="0">
      <alignment horizontal="left"/>
    </xf>
    <xf numFmtId="14" fontId="26" fillId="0" borderId="0">
      <alignment horizontal="center" wrapText="1"/>
      <protection locked="0"/>
    </xf>
    <xf numFmtId="187" fontId="7" fillId="0" borderId="0" applyFont="0" applyFill="0" applyBorder="0" applyAlignment="0" applyProtection="0"/>
    <xf numFmtId="188" fontId="7" fillId="0" borderId="0" applyFont="0" applyFill="0" applyBorder="0" applyAlignment="0" applyProtection="0"/>
    <xf numFmtId="10" fontId="7" fillId="0" borderId="0" applyFont="0" applyFill="0" applyBorder="0" applyAlignment="0" applyProtection="0"/>
    <xf numFmtId="9" fontId="29" fillId="0" borderId="0" applyFont="0" applyFill="0" applyBorder="0" applyAlignment="0" applyProtection="0"/>
    <xf numFmtId="10" fontId="29" fillId="0" borderId="0" applyFont="0" applyFill="0" applyBorder="0" applyAlignment="0" applyProtection="0"/>
    <xf numFmtId="0" fontId="40" fillId="0" borderId="0">
      <protection locked="0"/>
    </xf>
    <xf numFmtId="0" fontId="41" fillId="1" borderId="3" applyFill="0" applyBorder="0" applyAlignment="0" applyProtection="0"/>
    <xf numFmtId="174" fontId="7" fillId="0" borderId="0" applyFill="0" applyBorder="0" applyAlignment="0"/>
    <xf numFmtId="173" fontId="7" fillId="0" borderId="0" applyFill="0" applyBorder="0" applyAlignment="0"/>
    <xf numFmtId="174" fontId="7" fillId="0" borderId="0" applyFill="0" applyBorder="0" applyAlignment="0"/>
    <xf numFmtId="181" fontId="7" fillId="0" borderId="0" applyFill="0" applyBorder="0" applyAlignment="0"/>
    <xf numFmtId="173" fontId="7" fillId="0" borderId="0" applyFill="0" applyBorder="0" applyAlignment="0"/>
    <xf numFmtId="0" fontId="29" fillId="0" borderId="0" applyNumberFormat="0" applyFont="0" applyFill="0" applyBorder="0" applyAlignment="0" applyProtection="0">
      <alignment horizontal="left"/>
    </xf>
    <xf numFmtId="15" fontId="29" fillId="0" borderId="0" applyFont="0" applyFill="0" applyBorder="0" applyAlignment="0" applyProtection="0"/>
    <xf numFmtId="4" fontId="29" fillId="0" borderId="0" applyFont="0" applyFill="0" applyBorder="0" applyAlignment="0" applyProtection="0"/>
    <xf numFmtId="0" fontId="42" fillId="0" borderId="19">
      <alignment horizontal="center"/>
    </xf>
    <xf numFmtId="3" fontId="29" fillId="0" borderId="0" applyFont="0" applyFill="0" applyBorder="0" applyAlignment="0" applyProtection="0"/>
    <xf numFmtId="0" fontId="29" fillId="12" borderId="0" applyNumberFormat="0" applyFont="0" applyBorder="0" applyAlignment="0" applyProtection="0"/>
    <xf numFmtId="0" fontId="43" fillId="0" borderId="21" applyAlignment="0">
      <alignment vertical="center" wrapText="1"/>
    </xf>
    <xf numFmtId="0" fontId="44" fillId="0" borderId="22">
      <alignment horizontal="center" vertical="center" wrapText="1"/>
    </xf>
    <xf numFmtId="0" fontId="44" fillId="0" borderId="21">
      <alignment horizontal="center" vertical="center" wrapText="1"/>
    </xf>
    <xf numFmtId="0" fontId="45" fillId="0" borderId="0"/>
    <xf numFmtId="187" fontId="7" fillId="0" borderId="0">
      <alignment horizontal="center"/>
    </xf>
    <xf numFmtId="0" fontId="35" fillId="0" borderId="0"/>
    <xf numFmtId="49" fontId="27" fillId="0" borderId="0" applyFill="0" applyBorder="0" applyAlignment="0"/>
    <xf numFmtId="189" fontId="7" fillId="0" borderId="0" applyFill="0" applyBorder="0" applyAlignment="0"/>
    <xf numFmtId="189" fontId="7" fillId="0" borderId="0" applyFill="0" applyBorder="0" applyAlignment="0"/>
    <xf numFmtId="190" fontId="24" fillId="0" borderId="0" applyFont="0" applyFill="0" applyBorder="0" applyAlignment="0" applyProtection="0"/>
    <xf numFmtId="191" fontId="7" fillId="0" borderId="0" applyFont="0" applyFill="0" applyBorder="0" applyAlignment="0" applyProtection="0"/>
    <xf numFmtId="192" fontId="7" fillId="0" borderId="0" applyFont="0" applyFill="0" applyBorder="0" applyAlignment="0" applyProtection="0"/>
    <xf numFmtId="0" fontId="46" fillId="0" borderId="0">
      <alignment horizontal="left"/>
    </xf>
    <xf numFmtId="193" fontId="7" fillId="0" borderId="0" applyFont="0" applyFill="0" applyBorder="0" applyAlignment="0" applyProtection="0"/>
    <xf numFmtId="194" fontId="7" fillId="0" borderId="0" applyFont="0" applyFill="0" applyBorder="0" applyAlignment="0" applyProtection="0"/>
    <xf numFmtId="0" fontId="47" fillId="0" borderId="0" applyNumberFormat="0" applyFill="0" applyBorder="0" applyAlignment="0" applyProtection="0">
      <alignment vertical="top"/>
      <protection locked="0"/>
    </xf>
    <xf numFmtId="9" fontId="2" fillId="0" borderId="0" applyFont="0" applyFill="0" applyBorder="0" applyAlignment="0" applyProtection="0">
      <alignment vertical="center"/>
    </xf>
    <xf numFmtId="0" fontId="22" fillId="0" borderId="0"/>
    <xf numFmtId="0" fontId="2" fillId="0" borderId="0">
      <alignment vertical="center"/>
    </xf>
    <xf numFmtId="0" fontId="48" fillId="0" borderId="0"/>
    <xf numFmtId="0" fontId="21" fillId="0" borderId="0">
      <alignment vertical="center"/>
    </xf>
    <xf numFmtId="0" fontId="7" fillId="0" borderId="25" applyFont="0" applyBorder="0" applyAlignment="0"/>
    <xf numFmtId="0" fontId="34" fillId="0" borderId="24">
      <alignment horizontal="left" vertical="center"/>
    </xf>
    <xf numFmtId="10" fontId="24" fillId="11" borderId="23" applyNumberFormat="0" applyBorder="0" applyAlignment="0" applyProtection="0"/>
    <xf numFmtId="0" fontId="41" fillId="1" borderId="25" applyFill="0" applyBorder="0" applyAlignment="0" applyProtection="0"/>
    <xf numFmtId="0" fontId="44" fillId="0" borderId="26">
      <alignment horizontal="center" vertical="center" wrapText="1"/>
    </xf>
    <xf numFmtId="0" fontId="2" fillId="0" borderId="0"/>
    <xf numFmtId="0" fontId="2" fillId="0" borderId="0"/>
  </cellStyleXfs>
  <cellXfs count="384">
    <xf numFmtId="0" fontId="0" fillId="0" borderId="0" xfId="0">
      <alignment vertical="center"/>
    </xf>
    <xf numFmtId="0" fontId="5" fillId="0" borderId="0" xfId="1" applyFont="1"/>
    <xf numFmtId="0" fontId="6" fillId="0" borderId="0" xfId="1" applyFont="1"/>
    <xf numFmtId="0" fontId="4" fillId="0" borderId="0" xfId="1" applyFont="1"/>
    <xf numFmtId="0" fontId="0" fillId="0" borderId="0" xfId="0">
      <alignment vertical="center"/>
    </xf>
    <xf numFmtId="0" fontId="13" fillId="0" borderId="0" xfId="0" applyFont="1">
      <alignment vertical="center"/>
    </xf>
    <xf numFmtId="0" fontId="10" fillId="0" borderId="0" xfId="1" applyFont="1"/>
    <xf numFmtId="0" fontId="12" fillId="0" borderId="0" xfId="1" applyFont="1"/>
    <xf numFmtId="0" fontId="11" fillId="0" borderId="0" xfId="1" applyFont="1"/>
    <xf numFmtId="0" fontId="15" fillId="0" borderId="0" xfId="1" applyFont="1" applyAlignment="1">
      <alignment horizontal="center"/>
    </xf>
    <xf numFmtId="0" fontId="13" fillId="0" borderId="0" xfId="0" applyFont="1" applyAlignment="1">
      <alignment vertical="center" wrapText="1"/>
    </xf>
    <xf numFmtId="0" fontId="17" fillId="0" borderId="0" xfId="1" applyFont="1" applyAlignment="1">
      <alignment vertical="center"/>
    </xf>
    <xf numFmtId="0" fontId="16" fillId="0" borderId="0" xfId="0" applyFont="1">
      <alignment vertical="center"/>
    </xf>
    <xf numFmtId="0" fontId="18" fillId="0" borderId="0" xfId="0" applyFont="1">
      <alignment vertical="center"/>
    </xf>
    <xf numFmtId="0" fontId="18" fillId="2" borderId="4" xfId="0" applyFont="1" applyFill="1" applyBorder="1" applyAlignment="1">
      <alignment vertical="top"/>
    </xf>
    <xf numFmtId="0" fontId="13" fillId="3" borderId="27" xfId="0" applyFont="1" applyFill="1" applyBorder="1" applyAlignment="1">
      <alignment horizontal="center" vertical="center"/>
    </xf>
    <xf numFmtId="0" fontId="18" fillId="2" borderId="4" xfId="0" applyFont="1" applyFill="1" applyBorder="1" applyAlignment="1">
      <alignment horizontal="center" vertical="center"/>
    </xf>
    <xf numFmtId="0" fontId="14" fillId="3" borderId="11" xfId="6" applyFont="1" applyFill="1" applyBorder="1" applyAlignment="1">
      <alignment vertical="top"/>
    </xf>
    <xf numFmtId="0" fontId="13" fillId="2" borderId="4" xfId="0" applyFont="1" applyFill="1" applyBorder="1" applyAlignment="1">
      <alignment horizontal="center" vertical="center"/>
    </xf>
    <xf numFmtId="0" fontId="14" fillId="3" borderId="32" xfId="6" applyFont="1" applyFill="1" applyBorder="1" applyAlignment="1">
      <alignment vertical="top"/>
    </xf>
    <xf numFmtId="0" fontId="14" fillId="0" borderId="0" xfId="6" applyFont="1" applyAlignment="1"/>
    <xf numFmtId="0" fontId="14" fillId="0" borderId="0" xfId="6" applyFont="1">
      <alignment vertical="center"/>
    </xf>
    <xf numFmtId="0" fontId="49" fillId="2" borderId="4" xfId="0" applyFont="1" applyFill="1" applyBorder="1" applyAlignment="1">
      <alignment horizontal="center" vertical="center"/>
    </xf>
    <xf numFmtId="49" fontId="51" fillId="11" borderId="0" xfId="117" applyNumberFormat="1" applyFont="1" applyFill="1" applyAlignment="1">
      <alignment horizontal="center" vertical="center"/>
    </xf>
    <xf numFmtId="49" fontId="52" fillId="11" borderId="0" xfId="117" applyNumberFormat="1" applyFont="1" applyFill="1" applyAlignment="1">
      <alignment horizontal="center" vertical="center"/>
    </xf>
    <xf numFmtId="0" fontId="53" fillId="11" borderId="0" xfId="118" applyFont="1" applyFill="1" applyBorder="1" applyAlignment="1">
      <alignment horizontal="right"/>
    </xf>
    <xf numFmtId="0" fontId="0" fillId="11" borderId="0" xfId="118" applyFont="1" applyFill="1" applyBorder="1" applyAlignment="1">
      <alignment horizontal="right"/>
    </xf>
    <xf numFmtId="49" fontId="52" fillId="0" borderId="0" xfId="117" applyNumberFormat="1" applyFont="1" applyFill="1" applyAlignment="1">
      <alignment horizontal="center" vertical="center"/>
    </xf>
    <xf numFmtId="49" fontId="54" fillId="11" borderId="0" xfId="117" applyNumberFormat="1" applyFont="1" applyFill="1" applyAlignment="1">
      <alignment horizontal="centerContinuous" vertical="center"/>
    </xf>
    <xf numFmtId="49" fontId="55" fillId="11" borderId="0" xfId="117" applyNumberFormat="1" applyFont="1" applyFill="1" applyAlignment="1">
      <alignment horizontal="centerContinuous" vertical="center"/>
    </xf>
    <xf numFmtId="49" fontId="55" fillId="11" borderId="0" xfId="117" applyNumberFormat="1" applyFont="1" applyFill="1" applyAlignment="1">
      <alignment horizontal="center" vertical="center"/>
    </xf>
    <xf numFmtId="49" fontId="52" fillId="11" borderId="0" xfId="117" applyNumberFormat="1" applyFont="1" applyFill="1" applyBorder="1" applyAlignment="1">
      <alignment horizontal="center" vertical="center"/>
    </xf>
    <xf numFmtId="49" fontId="56" fillId="11" borderId="39" xfId="117" applyNumberFormat="1" applyFont="1" applyFill="1" applyBorder="1" applyAlignment="1">
      <alignment horizontal="center" vertical="center" textRotation="255"/>
    </xf>
    <xf numFmtId="49" fontId="56" fillId="11" borderId="40" xfId="117" applyNumberFormat="1" applyFont="1" applyFill="1" applyBorder="1" applyAlignment="1">
      <alignment horizontal="center" vertical="center" textRotation="255"/>
    </xf>
    <xf numFmtId="49" fontId="56" fillId="11" borderId="41" xfId="117" applyNumberFormat="1" applyFont="1" applyFill="1" applyBorder="1" applyAlignment="1">
      <alignment horizontal="center" vertical="center" textRotation="255"/>
    </xf>
    <xf numFmtId="49" fontId="52" fillId="11" borderId="19" xfId="117" applyNumberFormat="1" applyFont="1" applyFill="1" applyBorder="1" applyAlignment="1">
      <alignment horizontal="center" vertical="center"/>
    </xf>
    <xf numFmtId="49" fontId="52" fillId="11" borderId="44" xfId="117" applyNumberFormat="1" applyFont="1" applyFill="1" applyBorder="1" applyAlignment="1">
      <alignment horizontal="center" vertical="center"/>
    </xf>
    <xf numFmtId="49" fontId="52" fillId="11" borderId="45" xfId="117" quotePrefix="1" applyNumberFormat="1" applyFont="1" applyFill="1" applyBorder="1" applyAlignment="1">
      <alignment horizontal="center" vertical="center"/>
    </xf>
    <xf numFmtId="49" fontId="52" fillId="11" borderId="45" xfId="117" applyNumberFormat="1" applyFont="1" applyFill="1" applyBorder="1" applyAlignment="1">
      <alignment horizontal="center" vertical="center"/>
    </xf>
    <xf numFmtId="49" fontId="52" fillId="11" borderId="46" xfId="117" applyNumberFormat="1" applyFont="1" applyFill="1" applyBorder="1" applyAlignment="1">
      <alignment horizontal="center" vertical="center"/>
    </xf>
    <xf numFmtId="49" fontId="52" fillId="11" borderId="8" xfId="117" applyNumberFormat="1" applyFont="1" applyFill="1" applyBorder="1" applyAlignment="1">
      <alignment horizontal="center" vertical="center"/>
    </xf>
    <xf numFmtId="49" fontId="52" fillId="11" borderId="9" xfId="117" applyNumberFormat="1" applyFont="1" applyFill="1" applyBorder="1" applyAlignment="1">
      <alignment horizontal="center" vertical="center"/>
    </xf>
    <xf numFmtId="0" fontId="52" fillId="11" borderId="0" xfId="117" applyFont="1" applyFill="1" applyAlignment="1">
      <alignment horizontal="center"/>
    </xf>
    <xf numFmtId="0" fontId="52" fillId="0" borderId="0" xfId="117" applyFont="1" applyFill="1" applyAlignment="1">
      <alignment horizontal="center"/>
    </xf>
    <xf numFmtId="49" fontId="57" fillId="11" borderId="9" xfId="117" applyNumberFormat="1" applyFont="1" applyFill="1" applyBorder="1" applyAlignment="1">
      <alignment horizontal="center" vertical="center"/>
    </xf>
    <xf numFmtId="49" fontId="58" fillId="11" borderId="8" xfId="117" applyNumberFormat="1" applyFont="1" applyFill="1" applyBorder="1" applyAlignment="1">
      <alignment horizontal="center" vertical="center"/>
    </xf>
    <xf numFmtId="49" fontId="59" fillId="11" borderId="47" xfId="117" applyNumberFormat="1" applyFont="1" applyFill="1" applyBorder="1" applyAlignment="1">
      <alignment horizontal="center" vertical="center"/>
    </xf>
    <xf numFmtId="49" fontId="59" fillId="11" borderId="9" xfId="117" applyNumberFormat="1" applyFont="1" applyFill="1" applyBorder="1" applyAlignment="1">
      <alignment horizontal="center" vertical="center"/>
    </xf>
    <xf numFmtId="49" fontId="52" fillId="11" borderId="48" xfId="117" applyNumberFormat="1" applyFont="1" applyFill="1" applyBorder="1" applyAlignment="1">
      <alignment horizontal="center" vertical="center"/>
    </xf>
    <xf numFmtId="49" fontId="52" fillId="11" borderId="31" xfId="117" applyNumberFormat="1" applyFont="1" applyFill="1" applyBorder="1" applyAlignment="1">
      <alignment horizontal="center" vertical="center"/>
    </xf>
    <xf numFmtId="0" fontId="53" fillId="0" borderId="0" xfId="118" applyFont="1" applyBorder="1" applyAlignment="1">
      <alignment horizontal="right"/>
    </xf>
    <xf numFmtId="0" fontId="2" fillId="0" borderId="0" xfId="118" applyFont="1" applyBorder="1" applyAlignment="1">
      <alignment horizontal="right"/>
    </xf>
    <xf numFmtId="0" fontId="18" fillId="0" borderId="0" xfId="0" applyFont="1" applyFill="1" applyBorder="1" applyAlignment="1">
      <alignment horizontal="center" vertical="center" wrapText="1"/>
    </xf>
    <xf numFmtId="0" fontId="61" fillId="0" borderId="0" xfId="0" applyFont="1">
      <alignment vertical="center"/>
    </xf>
    <xf numFmtId="0" fontId="61" fillId="0" borderId="4" xfId="0" applyFont="1" applyBorder="1">
      <alignment vertical="center"/>
    </xf>
    <xf numFmtId="0" fontId="0" fillId="0" borderId="0" xfId="0" applyFont="1">
      <alignment vertical="center"/>
    </xf>
    <xf numFmtId="0" fontId="0" fillId="0" borderId="0" xfId="0" applyFont="1" applyAlignment="1">
      <alignment horizontal="center" vertical="center"/>
    </xf>
    <xf numFmtId="0" fontId="61" fillId="0" borderId="0" xfId="0" applyFont="1" applyAlignment="1">
      <alignment horizontal="center" vertical="center"/>
    </xf>
    <xf numFmtId="0" fontId="62" fillId="0" borderId="4" xfId="0" applyFont="1" applyBorder="1" applyAlignment="1">
      <alignment horizontal="center" vertical="center"/>
    </xf>
    <xf numFmtId="0" fontId="62" fillId="0" borderId="4" xfId="0" applyFont="1" applyBorder="1">
      <alignment vertical="center"/>
    </xf>
    <xf numFmtId="0" fontId="13" fillId="0" borderId="4" xfId="0" applyFont="1" applyBorder="1">
      <alignment vertical="center"/>
    </xf>
    <xf numFmtId="0" fontId="63" fillId="6" borderId="4" xfId="0" applyFont="1" applyFill="1" applyBorder="1">
      <alignment vertical="center"/>
    </xf>
    <xf numFmtId="0" fontId="18" fillId="2" borderId="4" xfId="0" applyFont="1" applyFill="1" applyBorder="1" applyAlignment="1">
      <alignment horizontal="center" vertical="center"/>
    </xf>
    <xf numFmtId="0" fontId="20" fillId="2" borderId="4" xfId="0" applyFont="1" applyFill="1" applyBorder="1" applyAlignment="1">
      <alignment horizontal="center" vertical="center"/>
    </xf>
    <xf numFmtId="0" fontId="18" fillId="2" borderId="4" xfId="0" applyFont="1" applyFill="1" applyBorder="1" applyAlignment="1">
      <alignment horizontal="center" vertical="center"/>
    </xf>
    <xf numFmtId="0" fontId="20" fillId="2" borderId="4" xfId="0" applyFont="1" applyFill="1" applyBorder="1" applyAlignment="1">
      <alignment horizontal="center" vertical="center"/>
    </xf>
    <xf numFmtId="0" fontId="63" fillId="0" borderId="0" xfId="0" applyFont="1">
      <alignment vertical="center"/>
    </xf>
    <xf numFmtId="0" fontId="18" fillId="2" borderId="4" xfId="0" applyFont="1" applyFill="1" applyBorder="1" applyAlignment="1">
      <alignment horizontal="center" vertical="center"/>
    </xf>
    <xf numFmtId="0" fontId="20" fillId="2" borderId="4" xfId="0" applyFont="1" applyFill="1" applyBorder="1" applyAlignment="1">
      <alignment horizontal="center" vertical="center"/>
    </xf>
    <xf numFmtId="0" fontId="18" fillId="2" borderId="4" xfId="0" applyFont="1" applyFill="1" applyBorder="1" applyAlignment="1">
      <alignment horizontal="center" vertical="center"/>
    </xf>
    <xf numFmtId="0" fontId="20" fillId="2" borderId="4" xfId="0" applyFont="1" applyFill="1" applyBorder="1" applyAlignment="1">
      <alignment horizontal="center" vertical="center"/>
    </xf>
    <xf numFmtId="0" fontId="13" fillId="0" borderId="4" xfId="0" applyFont="1" applyBorder="1" applyAlignment="1">
      <alignment vertical="center" wrapText="1"/>
    </xf>
    <xf numFmtId="0" fontId="18" fillId="2" borderId="7" xfId="0" applyFont="1" applyFill="1" applyBorder="1" applyAlignment="1">
      <alignment horizontal="center" vertical="center"/>
    </xf>
    <xf numFmtId="0" fontId="10" fillId="2" borderId="27" xfId="0" applyFont="1" applyFill="1" applyBorder="1" applyAlignment="1">
      <alignment vertical="top"/>
    </xf>
    <xf numFmtId="0" fontId="10" fillId="2" borderId="27" xfId="0" applyFont="1" applyFill="1" applyBorder="1" applyAlignment="1">
      <alignment vertical="top" wrapText="1"/>
    </xf>
    <xf numFmtId="0" fontId="11" fillId="8" borderId="4" xfId="0" applyFont="1" applyFill="1" applyBorder="1" applyAlignment="1">
      <alignment vertical="top"/>
    </xf>
    <xf numFmtId="49" fontId="11" fillId="8" borderId="4" xfId="0" applyNumberFormat="1" applyFont="1" applyFill="1" applyBorder="1" applyAlignment="1">
      <alignment vertical="top"/>
    </xf>
    <xf numFmtId="0" fontId="13" fillId="8" borderId="4" xfId="0" applyFont="1" applyFill="1" applyBorder="1" applyAlignment="1">
      <alignment vertical="center"/>
    </xf>
    <xf numFmtId="0" fontId="13" fillId="0" borderId="4" xfId="0" applyFont="1" applyBorder="1" applyAlignment="1">
      <alignment vertical="center"/>
    </xf>
    <xf numFmtId="0" fontId="13" fillId="8" borderId="5" xfId="0" applyFont="1" applyFill="1" applyBorder="1" applyAlignment="1">
      <alignment vertical="center" wrapText="1"/>
    </xf>
    <xf numFmtId="0" fontId="13" fillId="0" borderId="5" xfId="0" applyFont="1" applyBorder="1" applyAlignment="1">
      <alignment vertical="center" wrapText="1"/>
    </xf>
    <xf numFmtId="0" fontId="13" fillId="8" borderId="5" xfId="0" applyFont="1" applyFill="1" applyBorder="1" applyAlignment="1">
      <alignment vertical="center"/>
    </xf>
    <xf numFmtId="0" fontId="13" fillId="0" borderId="5" xfId="0" applyFont="1" applyBorder="1" applyAlignment="1">
      <alignment vertical="center"/>
    </xf>
    <xf numFmtId="0" fontId="18" fillId="2" borderId="7" xfId="0" applyFont="1" applyFill="1" applyBorder="1" applyAlignment="1">
      <alignment horizontal="center" vertical="center" wrapText="1"/>
    </xf>
    <xf numFmtId="0" fontId="50" fillId="6" borderId="4" xfId="0" applyFont="1" applyFill="1" applyBorder="1" applyAlignment="1">
      <alignment horizontal="center" vertical="center"/>
    </xf>
    <xf numFmtId="0" fontId="50" fillId="6" borderId="53" xfId="0" applyFont="1" applyFill="1" applyBorder="1" applyAlignment="1">
      <alignment vertical="center"/>
    </xf>
    <xf numFmtId="0" fontId="50" fillId="6" borderId="4" xfId="0" applyFont="1" applyFill="1" applyBorder="1" applyAlignment="1">
      <alignment vertical="center"/>
    </xf>
    <xf numFmtId="0" fontId="13" fillId="0" borderId="4" xfId="0" applyFont="1" applyFill="1" applyBorder="1" applyAlignment="1">
      <alignment vertical="center" wrapText="1"/>
    </xf>
    <xf numFmtId="0" fontId="13" fillId="0" borderId="4" xfId="0" applyFont="1" applyFill="1" applyBorder="1" applyAlignment="1">
      <alignment vertical="center"/>
    </xf>
    <xf numFmtId="0" fontId="13" fillId="0" borderId="28" xfId="0" applyFont="1" applyBorder="1" applyAlignment="1">
      <alignment vertical="center" wrapText="1"/>
    </xf>
    <xf numFmtId="0" fontId="13" fillId="0" borderId="28" xfId="0" applyFont="1" applyBorder="1" applyAlignment="1">
      <alignment vertical="center"/>
    </xf>
    <xf numFmtId="0" fontId="13" fillId="8" borderId="28" xfId="0" applyFont="1" applyFill="1" applyBorder="1" applyAlignment="1">
      <alignment vertical="center" wrapText="1"/>
    </xf>
    <xf numFmtId="0" fontId="13" fillId="8" borderId="4" xfId="0" applyFont="1" applyFill="1" applyBorder="1" applyAlignment="1">
      <alignment vertical="center" wrapText="1"/>
    </xf>
    <xf numFmtId="0" fontId="13" fillId="8" borderId="28" xfId="0" applyFont="1" applyFill="1" applyBorder="1" applyAlignment="1">
      <alignment vertical="center"/>
    </xf>
    <xf numFmtId="0" fontId="13" fillId="8" borderId="4" xfId="0" applyFont="1" applyFill="1" applyBorder="1" applyAlignment="1">
      <alignment vertical="top"/>
    </xf>
    <xf numFmtId="0" fontId="13" fillId="0" borderId="4" xfId="0" applyFont="1" applyBorder="1" applyAlignment="1">
      <alignment vertical="top" wrapText="1"/>
    </xf>
    <xf numFmtId="0" fontId="13" fillId="0" borderId="4" xfId="0" applyFont="1" applyBorder="1" applyAlignment="1">
      <alignment vertical="top"/>
    </xf>
    <xf numFmtId="49" fontId="13" fillId="8" borderId="4" xfId="0" applyNumberFormat="1" applyFont="1" applyFill="1" applyBorder="1" applyAlignment="1">
      <alignment vertical="top"/>
    </xf>
    <xf numFmtId="0" fontId="11" fillId="8" borderId="4" xfId="0" applyFont="1" applyFill="1" applyBorder="1" applyAlignment="1">
      <alignment vertical="center"/>
    </xf>
    <xf numFmtId="0" fontId="11" fillId="0" borderId="4" xfId="0" applyFont="1" applyFill="1" applyBorder="1" applyAlignment="1">
      <alignment vertical="center" wrapText="1"/>
    </xf>
    <xf numFmtId="0" fontId="13" fillId="0" borderId="0" xfId="0" applyFont="1" applyAlignment="1">
      <alignment vertical="center"/>
    </xf>
    <xf numFmtId="0" fontId="11" fillId="2" borderId="27" xfId="0" applyFont="1" applyFill="1" applyBorder="1" applyAlignment="1">
      <alignment vertical="top"/>
    </xf>
    <xf numFmtId="49" fontId="10" fillId="2" borderId="27" xfId="0" applyNumberFormat="1" applyFont="1" applyFill="1" applyBorder="1" applyAlignment="1">
      <alignment vertical="top"/>
    </xf>
    <xf numFmtId="49" fontId="11" fillId="13" borderId="4" xfId="0" applyNumberFormat="1" applyFont="1" applyFill="1" applyBorder="1" applyAlignment="1">
      <alignment vertical="top"/>
    </xf>
    <xf numFmtId="0" fontId="11" fillId="0" borderId="4" xfId="0" applyFont="1" applyBorder="1" applyAlignment="1">
      <alignment horizontal="left" vertical="top" wrapText="1"/>
    </xf>
    <xf numFmtId="0" fontId="65" fillId="0" borderId="4" xfId="0" applyFont="1" applyBorder="1" applyAlignment="1">
      <alignment horizontal="left" vertical="top" wrapText="1"/>
    </xf>
    <xf numFmtId="0" fontId="11" fillId="0" borderId="4" xfId="0" applyFont="1" applyBorder="1" applyAlignment="1">
      <alignment vertical="top" wrapText="1"/>
    </xf>
    <xf numFmtId="49" fontId="11" fillId="15" borderId="4" xfId="0" applyNumberFormat="1" applyFont="1" applyFill="1" applyBorder="1" applyAlignment="1">
      <alignment vertical="top"/>
    </xf>
    <xf numFmtId="0" fontId="10" fillId="14" borderId="12" xfId="0" applyFont="1" applyFill="1" applyBorder="1" applyAlignment="1">
      <alignment vertical="top" wrapText="1"/>
    </xf>
    <xf numFmtId="0" fontId="10" fillId="14" borderId="27" xfId="0" applyFont="1" applyFill="1" applyBorder="1" applyAlignment="1">
      <alignment vertical="top" wrapText="1"/>
    </xf>
    <xf numFmtId="0" fontId="66" fillId="0" borderId="4" xfId="0" applyFont="1" applyBorder="1" applyAlignment="1">
      <alignment horizontal="left" vertical="top" wrapText="1"/>
    </xf>
    <xf numFmtId="0" fontId="18" fillId="2" borderId="7" xfId="0" applyFont="1" applyFill="1" applyBorder="1" applyAlignment="1">
      <alignment horizontal="center" vertical="center"/>
    </xf>
    <xf numFmtId="0" fontId="18" fillId="2" borderId="4" xfId="0" applyFont="1" applyFill="1" applyBorder="1" applyAlignment="1">
      <alignment horizontal="center" vertical="center"/>
    </xf>
    <xf numFmtId="166" fontId="5" fillId="0" borderId="0" xfId="1" applyNumberFormat="1" applyFont="1" applyAlignment="1">
      <alignment horizontal="left" vertical="top"/>
    </xf>
    <xf numFmtId="166" fontId="9" fillId="0" borderId="0" xfId="1" applyNumberFormat="1" applyFont="1" applyAlignment="1">
      <alignment horizontal="left" vertical="top" wrapText="1"/>
    </xf>
    <xf numFmtId="166" fontId="5" fillId="0" borderId="0" xfId="1" applyNumberFormat="1" applyFont="1" applyAlignment="1">
      <alignment horizontal="center" wrapText="1"/>
    </xf>
    <xf numFmtId="0" fontId="13" fillId="3" borderId="4" xfId="0" applyFont="1" applyFill="1" applyBorder="1" applyAlignment="1">
      <alignment horizontal="center" vertical="center"/>
    </xf>
    <xf numFmtId="0" fontId="18" fillId="7" borderId="4" xfId="0" applyFont="1" applyFill="1" applyBorder="1" applyAlignment="1">
      <alignment horizontal="center" vertical="center"/>
    </xf>
    <xf numFmtId="0" fontId="16" fillId="2" borderId="4" xfId="0" applyFont="1" applyFill="1" applyBorder="1" applyAlignment="1">
      <alignment horizontal="center" vertical="center"/>
    </xf>
    <xf numFmtId="49" fontId="13" fillId="13" borderId="4" xfId="0" applyNumberFormat="1" applyFont="1" applyFill="1" applyBorder="1" applyAlignment="1">
      <alignment vertical="top"/>
    </xf>
    <xf numFmtId="0" fontId="13" fillId="0" borderId="4" xfId="0" applyFont="1" applyBorder="1">
      <alignment vertical="center"/>
    </xf>
    <xf numFmtId="0" fontId="13" fillId="0" borderId="4" xfId="0" applyFont="1" applyBorder="1">
      <alignment vertical="center"/>
    </xf>
    <xf numFmtId="0" fontId="18" fillId="2" borderId="4" xfId="0" applyFont="1" applyFill="1" applyBorder="1" applyAlignment="1">
      <alignment horizontal="center" vertical="center"/>
    </xf>
    <xf numFmtId="0" fontId="20" fillId="2" borderId="4" xfId="0" applyFont="1" applyFill="1" applyBorder="1" applyAlignment="1">
      <alignment horizontal="center"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8" fillId="2" borderId="4" xfId="0" applyFont="1" applyFill="1" applyBorder="1" applyAlignment="1">
      <alignment horizontal="center" vertical="center"/>
    </xf>
    <xf numFmtId="0" fontId="20" fillId="2" borderId="4" xfId="0" applyFont="1" applyFill="1" applyBorder="1" applyAlignment="1">
      <alignment horizontal="center" vertical="center"/>
    </xf>
    <xf numFmtId="0" fontId="63" fillId="6" borderId="0" xfId="0" applyFont="1" applyFill="1">
      <alignment vertical="center"/>
    </xf>
    <xf numFmtId="0" fontId="0" fillId="6" borderId="0" xfId="0" applyFill="1">
      <alignment vertical="center"/>
    </xf>
    <xf numFmtId="0" fontId="67" fillId="0" borderId="0" xfId="0" applyFont="1">
      <alignment vertical="center"/>
    </xf>
    <xf numFmtId="0" fontId="13" fillId="0" borderId="4" xfId="0" applyFont="1" applyBorder="1">
      <alignment vertical="center"/>
    </xf>
    <xf numFmtId="0" fontId="13" fillId="0" borderId="4" xfId="0" applyFont="1" applyBorder="1">
      <alignment vertical="center"/>
    </xf>
    <xf numFmtId="0" fontId="2" fillId="0" borderId="0" xfId="1" applyFont="1" applyAlignment="1">
      <alignment vertical="center"/>
    </xf>
    <xf numFmtId="0" fontId="18" fillId="2" borderId="4" xfId="0" applyFont="1" applyFill="1" applyBorder="1" applyAlignment="1">
      <alignment horizontal="center" vertical="center"/>
    </xf>
    <xf numFmtId="0" fontId="0" fillId="0" borderId="4" xfId="0" applyBorder="1">
      <alignment vertical="center"/>
    </xf>
    <xf numFmtId="0" fontId="0" fillId="0" borderId="4" xfId="0" applyBorder="1" applyAlignment="1">
      <alignment vertical="center" wrapText="1"/>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0" fillId="2" borderId="12" xfId="0" applyFont="1" applyFill="1" applyBorder="1" applyAlignment="1">
      <alignment vertical="top" wrapText="1"/>
    </xf>
    <xf numFmtId="49" fontId="10" fillId="2" borderId="12" xfId="0" applyNumberFormat="1" applyFont="1" applyFill="1" applyBorder="1" applyAlignment="1">
      <alignment vertical="top"/>
    </xf>
    <xf numFmtId="0" fontId="10" fillId="2" borderId="12" xfId="0" applyFont="1" applyFill="1" applyBorder="1" applyAlignment="1">
      <alignment vertical="top"/>
    </xf>
    <xf numFmtId="0" fontId="11" fillId="0" borderId="0" xfId="0" applyFont="1" applyAlignment="1">
      <alignment vertical="top"/>
    </xf>
    <xf numFmtId="0" fontId="11" fillId="0" borderId="0" xfId="0" applyFont="1" applyAlignment="1">
      <alignment vertical="top" wrapText="1"/>
    </xf>
    <xf numFmtId="49" fontId="11" fillId="0" borderId="0" xfId="0" applyNumberFormat="1" applyFont="1" applyAlignment="1">
      <alignment vertical="top"/>
    </xf>
    <xf numFmtId="0" fontId="11" fillId="0" borderId="4" xfId="0" applyFont="1" applyBorder="1" applyAlignment="1">
      <alignment vertical="top"/>
    </xf>
    <xf numFmtId="0" fontId="11" fillId="0" borderId="4" xfId="0" quotePrefix="1" applyFont="1" applyBorder="1" applyAlignment="1">
      <alignment vertical="top"/>
    </xf>
    <xf numFmtId="0" fontId="10" fillId="14" borderId="28" xfId="0" applyFont="1" applyFill="1" applyBorder="1" applyAlignment="1">
      <alignment vertical="top" wrapText="1"/>
    </xf>
    <xf numFmtId="0" fontId="10" fillId="2" borderId="28" xfId="0" applyFont="1" applyFill="1" applyBorder="1" applyAlignment="1">
      <alignment vertical="top" wrapText="1"/>
    </xf>
    <xf numFmtId="0" fontId="10" fillId="2" borderId="28" xfId="0" applyFont="1" applyFill="1" applyBorder="1" applyAlignment="1">
      <alignment vertical="top"/>
    </xf>
    <xf numFmtId="0" fontId="10" fillId="2" borderId="29" xfId="0" applyFont="1" applyFill="1" applyBorder="1">
      <alignment vertical="center"/>
    </xf>
    <xf numFmtId="0" fontId="19" fillId="2" borderId="30" xfId="0" applyFont="1" applyFill="1" applyBorder="1">
      <alignment vertical="center"/>
    </xf>
    <xf numFmtId="0" fontId="18" fillId="2" borderId="30" xfId="0" applyFont="1" applyFill="1" applyBorder="1">
      <alignment vertical="center"/>
    </xf>
    <xf numFmtId="0" fontId="10" fillId="2" borderId="30" xfId="0" applyFont="1" applyFill="1" applyBorder="1">
      <alignment vertical="center"/>
    </xf>
    <xf numFmtId="0" fontId="10" fillId="2" borderId="30" xfId="0" applyFont="1" applyFill="1" applyBorder="1" applyAlignment="1">
      <alignment vertical="top"/>
    </xf>
    <xf numFmtId="0" fontId="11" fillId="2" borderId="30" xfId="0" applyFont="1" applyFill="1" applyBorder="1" applyAlignment="1">
      <alignment vertical="top"/>
    </xf>
    <xf numFmtId="0" fontId="11" fillId="14" borderId="30" xfId="0" applyFont="1" applyFill="1" applyBorder="1" applyAlignment="1">
      <alignment vertical="top"/>
    </xf>
    <xf numFmtId="0" fontId="19" fillId="2" borderId="33" xfId="0" applyFont="1" applyFill="1" applyBorder="1" applyAlignment="1">
      <alignment vertical="top"/>
    </xf>
    <xf numFmtId="0" fontId="13" fillId="0" borderId="4" xfId="0" applyFont="1" applyBorder="1">
      <alignment vertical="center"/>
    </xf>
    <xf numFmtId="0" fontId="11" fillId="0" borderId="4" xfId="0" applyFont="1" applyFill="1" applyBorder="1" applyAlignment="1">
      <alignment vertical="top"/>
    </xf>
    <xf numFmtId="0" fontId="11" fillId="0" borderId="4" xfId="0" applyFont="1" applyFill="1" applyBorder="1" applyAlignment="1">
      <alignment vertical="top" wrapText="1"/>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1" fillId="0" borderId="28" xfId="0" applyFont="1" applyBorder="1" applyAlignment="1">
      <alignment vertical="top" wrapText="1"/>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0" fontId="13" fillId="0" borderId="4" xfId="0" applyFont="1" applyBorder="1">
      <alignment vertical="center"/>
    </xf>
    <xf numFmtId="49" fontId="52" fillId="11" borderId="42" xfId="117" applyNumberFormat="1" applyFont="1" applyFill="1" applyBorder="1" applyAlignment="1">
      <alignment horizontal="center" vertical="center"/>
    </xf>
    <xf numFmtId="0" fontId="10" fillId="2" borderId="33" xfId="0" applyFont="1" applyFill="1" applyBorder="1" applyAlignment="1">
      <alignment vertical="top"/>
    </xf>
    <xf numFmtId="49" fontId="52" fillId="11" borderId="19" xfId="117" applyNumberFormat="1" applyFont="1" applyFill="1" applyBorder="1" applyAlignment="1">
      <alignment horizontal="left" vertical="center"/>
    </xf>
    <xf numFmtId="49" fontId="52" fillId="7" borderId="37" xfId="117" applyNumberFormat="1" applyFont="1" applyFill="1" applyBorder="1" applyAlignment="1">
      <alignment horizontal="center" vertical="center"/>
    </xf>
    <xf numFmtId="49" fontId="52" fillId="7" borderId="7" xfId="117" applyNumberFormat="1" applyFont="1" applyFill="1" applyBorder="1" applyAlignment="1">
      <alignment horizontal="center" vertical="center"/>
    </xf>
    <xf numFmtId="49" fontId="52" fillId="7" borderId="38" xfId="117" applyNumberFormat="1" applyFont="1" applyFill="1" applyBorder="1" applyAlignment="1">
      <alignment horizontal="center" vertical="center"/>
    </xf>
    <xf numFmtId="49" fontId="52" fillId="16" borderId="37" xfId="117" applyNumberFormat="1" applyFont="1" applyFill="1" applyBorder="1" applyAlignment="1">
      <alignment horizontal="center" vertical="center"/>
    </xf>
    <xf numFmtId="49" fontId="52" fillId="16" borderId="7" xfId="117" applyNumberFormat="1" applyFont="1" applyFill="1" applyBorder="1" applyAlignment="1">
      <alignment horizontal="center" vertical="center"/>
    </xf>
    <xf numFmtId="49" fontId="52" fillId="11" borderId="4" xfId="117" applyNumberFormat="1" applyFont="1" applyFill="1" applyBorder="1" applyAlignment="1">
      <alignment horizontal="center" vertical="center"/>
    </xf>
    <xf numFmtId="49" fontId="57" fillId="11" borderId="4" xfId="117" applyNumberFormat="1" applyFont="1" applyFill="1" applyBorder="1" applyAlignment="1">
      <alignment horizontal="center" vertical="center"/>
    </xf>
    <xf numFmtId="49" fontId="58" fillId="11" borderId="4" xfId="117" applyNumberFormat="1" applyFont="1" applyFill="1" applyBorder="1" applyAlignment="1">
      <alignment horizontal="center" vertical="center"/>
    </xf>
    <xf numFmtId="49" fontId="59" fillId="11" borderId="4" xfId="117" applyNumberFormat="1" applyFont="1" applyFill="1" applyBorder="1" applyAlignment="1">
      <alignment horizontal="center" vertical="center"/>
    </xf>
    <xf numFmtId="49" fontId="57" fillId="11" borderId="38" xfId="117" applyNumberFormat="1" applyFont="1" applyFill="1" applyBorder="1" applyAlignment="1">
      <alignment horizontal="center" vertical="center" wrapText="1"/>
    </xf>
    <xf numFmtId="49" fontId="52" fillId="7" borderId="39" xfId="117" applyNumberFormat="1" applyFont="1" applyFill="1" applyBorder="1" applyAlignment="1">
      <alignment horizontal="center" vertical="center"/>
    </xf>
    <xf numFmtId="49" fontId="52" fillId="7" borderId="40" xfId="117" applyNumberFormat="1" applyFont="1" applyFill="1" applyBorder="1" applyAlignment="1">
      <alignment horizontal="center" vertical="center"/>
    </xf>
    <xf numFmtId="49" fontId="52" fillId="7" borderId="41" xfId="117" applyNumberFormat="1" applyFont="1" applyFill="1" applyBorder="1" applyAlignment="1">
      <alignment horizontal="center" vertical="center"/>
    </xf>
    <xf numFmtId="49" fontId="52" fillId="11" borderId="0" xfId="117" applyNumberFormat="1" applyFont="1" applyFill="1" applyAlignment="1">
      <alignment horizontal="left" vertical="center"/>
    </xf>
    <xf numFmtId="49" fontId="57" fillId="11" borderId="58" xfId="117" applyNumberFormat="1" applyFont="1" applyFill="1" applyBorder="1" applyAlignment="1">
      <alignment horizontal="center" vertical="center" wrapText="1"/>
    </xf>
    <xf numFmtId="49" fontId="52" fillId="16" borderId="39" xfId="117" applyNumberFormat="1" applyFont="1" applyFill="1" applyBorder="1" applyAlignment="1">
      <alignment horizontal="center" vertical="center"/>
    </xf>
    <xf numFmtId="49" fontId="52" fillId="16" borderId="40" xfId="117" applyNumberFormat="1" applyFont="1" applyFill="1" applyBorder="1" applyAlignment="1">
      <alignment horizontal="center" vertical="center"/>
    </xf>
    <xf numFmtId="49" fontId="52" fillId="16" borderId="41" xfId="117" applyNumberFormat="1" applyFont="1" applyFill="1" applyBorder="1" applyAlignment="1">
      <alignment horizontal="center" vertical="center"/>
    </xf>
    <xf numFmtId="0" fontId="17" fillId="7" borderId="28" xfId="0" applyFont="1" applyFill="1" applyBorder="1" applyAlignment="1">
      <alignment horizontal="left" vertical="center" wrapText="1"/>
    </xf>
    <xf numFmtId="0" fontId="17" fillId="7" borderId="28" xfId="0" applyFont="1" applyFill="1" applyBorder="1" applyAlignment="1">
      <alignment horizontal="left" vertical="center"/>
    </xf>
    <xf numFmtId="0" fontId="11" fillId="7" borderId="12" xfId="0" applyFont="1" applyFill="1" applyBorder="1" applyAlignment="1">
      <alignment vertical="center" wrapText="1"/>
    </xf>
    <xf numFmtId="0" fontId="65" fillId="7" borderId="12" xfId="0" applyFont="1" applyFill="1" applyBorder="1">
      <alignment vertical="center"/>
    </xf>
    <xf numFmtId="0" fontId="11" fillId="7" borderId="27" xfId="0" applyFont="1" applyFill="1" applyBorder="1" applyAlignment="1">
      <alignment vertical="center" wrapText="1"/>
    </xf>
    <xf numFmtId="0" fontId="68" fillId="0" borderId="0" xfId="6" applyFont="1">
      <alignment vertical="center"/>
    </xf>
    <xf numFmtId="0" fontId="69" fillId="0" borderId="0" xfId="0" applyFont="1">
      <alignment vertical="center"/>
    </xf>
    <xf numFmtId="0" fontId="69" fillId="0" borderId="0" xfId="0" applyFont="1" applyAlignment="1">
      <alignment vertical="top"/>
    </xf>
    <xf numFmtId="49" fontId="69" fillId="0" borderId="0" xfId="0" applyNumberFormat="1" applyFont="1">
      <alignment vertical="center"/>
    </xf>
    <xf numFmtId="0" fontId="70" fillId="0" borderId="0" xfId="1" applyFont="1" applyAlignment="1">
      <alignment vertical="center"/>
    </xf>
    <xf numFmtId="0" fontId="69" fillId="16" borderId="4" xfId="0" applyFont="1" applyFill="1" applyBorder="1">
      <alignment vertical="center"/>
    </xf>
    <xf numFmtId="0" fontId="69" fillId="16" borderId="4" xfId="0" applyFont="1" applyFill="1" applyBorder="1" applyAlignment="1">
      <alignment vertical="top"/>
    </xf>
    <xf numFmtId="0" fontId="69" fillId="16" borderId="29" xfId="0" applyFont="1" applyFill="1" applyBorder="1">
      <alignment vertical="center"/>
    </xf>
    <xf numFmtId="0" fontId="69" fillId="17" borderId="4" xfId="0" applyFont="1" applyFill="1" applyBorder="1">
      <alignment vertical="center"/>
    </xf>
    <xf numFmtId="0" fontId="69" fillId="17" borderId="4" xfId="0" applyFont="1" applyFill="1" applyBorder="1" applyAlignment="1">
      <alignment vertical="top"/>
    </xf>
    <xf numFmtId="49" fontId="69" fillId="17" borderId="4" xfId="0" applyNumberFormat="1" applyFont="1" applyFill="1" applyBorder="1">
      <alignment vertical="center"/>
    </xf>
    <xf numFmtId="0" fontId="69" fillId="18" borderId="4" xfId="0" applyFont="1" applyFill="1" applyBorder="1" applyAlignment="1">
      <alignment vertical="top"/>
    </xf>
    <xf numFmtId="49" fontId="69" fillId="18" borderId="4" xfId="0" applyNumberFormat="1" applyFont="1" applyFill="1" applyBorder="1" applyAlignment="1">
      <alignment vertical="top"/>
    </xf>
    <xf numFmtId="0" fontId="69" fillId="18" borderId="4" xfId="0" applyFont="1" applyFill="1" applyBorder="1" applyAlignment="1">
      <alignment vertical="top" wrapText="1"/>
    </xf>
    <xf numFmtId="49" fontId="69" fillId="18" borderId="4" xfId="0" applyNumberFormat="1" applyFont="1" applyFill="1" applyBorder="1" applyAlignment="1">
      <alignment vertical="top" wrapText="1"/>
    </xf>
    <xf numFmtId="0" fontId="69" fillId="18" borderId="4" xfId="0" applyFont="1" applyFill="1" applyBorder="1">
      <alignment vertical="center"/>
    </xf>
    <xf numFmtId="49" fontId="69" fillId="18" borderId="4" xfId="0" applyNumberFormat="1" applyFont="1" applyFill="1" applyBorder="1" applyAlignment="1">
      <alignment vertical="center" wrapText="1"/>
    </xf>
    <xf numFmtId="0" fontId="69" fillId="18" borderId="4" xfId="0" applyFont="1" applyFill="1" applyBorder="1" applyAlignment="1">
      <alignment vertical="center" wrapText="1"/>
    </xf>
    <xf numFmtId="0" fontId="69" fillId="0" borderId="4" xfId="0" applyFont="1" applyBorder="1">
      <alignment vertical="center"/>
    </xf>
    <xf numFmtId="0" fontId="69" fillId="0" borderId="4" xfId="0" applyFont="1" applyBorder="1" applyAlignment="1">
      <alignment vertical="top"/>
    </xf>
    <xf numFmtId="49" fontId="69" fillId="0" borderId="4" xfId="0" applyNumberFormat="1" applyFont="1" applyBorder="1" applyAlignment="1">
      <alignment vertical="center" wrapText="1"/>
    </xf>
    <xf numFmtId="0" fontId="69" fillId="0" borderId="4" xfId="0" applyFont="1" applyBorder="1" applyAlignment="1">
      <alignment vertical="center" wrapText="1"/>
    </xf>
    <xf numFmtId="49" fontId="69" fillId="0" borderId="4" xfId="0" applyNumberFormat="1" applyFont="1" applyBorder="1">
      <alignment vertical="center"/>
    </xf>
    <xf numFmtId="0" fontId="18" fillId="2" borderId="4" xfId="0" applyFont="1" applyFill="1" applyBorder="1" applyAlignment="1">
      <alignment horizontal="center" vertical="center"/>
    </xf>
    <xf numFmtId="0" fontId="58" fillId="11" borderId="33" xfId="117" applyFont="1" applyFill="1" applyBorder="1" applyAlignment="1">
      <alignment horizontal="left" vertical="top" wrapText="1"/>
    </xf>
    <xf numFmtId="0" fontId="58" fillId="11" borderId="30" xfId="117" applyFont="1" applyFill="1" applyBorder="1" applyAlignment="1">
      <alignment horizontal="left" vertical="top"/>
    </xf>
    <xf numFmtId="0" fontId="58" fillId="11" borderId="29" xfId="117" applyFont="1" applyFill="1" applyBorder="1" applyAlignment="1">
      <alignment horizontal="left" vertical="top"/>
    </xf>
    <xf numFmtId="49" fontId="52" fillId="11" borderId="15" xfId="117" applyNumberFormat="1" applyFont="1" applyFill="1" applyBorder="1" applyAlignment="1">
      <alignment horizontal="left" vertical="center"/>
    </xf>
    <xf numFmtId="49" fontId="52" fillId="11" borderId="16" xfId="117" applyNumberFormat="1" applyFont="1" applyFill="1" applyBorder="1" applyAlignment="1">
      <alignment horizontal="left" vertical="center"/>
    </xf>
    <xf numFmtId="49" fontId="52" fillId="11" borderId="17" xfId="117" applyNumberFormat="1" applyFont="1" applyFill="1" applyBorder="1" applyAlignment="1">
      <alignment horizontal="left" vertical="center"/>
    </xf>
    <xf numFmtId="49" fontId="52" fillId="16" borderId="49" xfId="117" applyNumberFormat="1" applyFont="1" applyFill="1" applyBorder="1" applyAlignment="1">
      <alignment horizontal="center" vertical="center"/>
    </xf>
    <xf numFmtId="49" fontId="52" fillId="16" borderId="50" xfId="117" applyNumberFormat="1" applyFont="1" applyFill="1" applyBorder="1" applyAlignment="1">
      <alignment horizontal="center" vertical="center"/>
    </xf>
    <xf numFmtId="49" fontId="52" fillId="16" borderId="51" xfId="117" applyNumberFormat="1" applyFont="1" applyFill="1" applyBorder="1" applyAlignment="1">
      <alignment horizontal="center" vertical="center"/>
    </xf>
    <xf numFmtId="49" fontId="52" fillId="7" borderId="49" xfId="117" applyNumberFormat="1" applyFont="1" applyFill="1" applyBorder="1" applyAlignment="1">
      <alignment horizontal="center" vertical="center"/>
    </xf>
    <xf numFmtId="49" fontId="52" fillId="7" borderId="50" xfId="117" applyNumberFormat="1" applyFont="1" applyFill="1" applyBorder="1" applyAlignment="1">
      <alignment horizontal="center" vertical="center"/>
    </xf>
    <xf numFmtId="49" fontId="52" fillId="7" borderId="51" xfId="117" applyNumberFormat="1" applyFont="1" applyFill="1" applyBorder="1" applyAlignment="1">
      <alignment horizontal="center" vertical="center"/>
    </xf>
    <xf numFmtId="0" fontId="52" fillId="11" borderId="45" xfId="117" applyFont="1" applyFill="1" applyBorder="1" applyAlignment="1">
      <alignment horizontal="center" vertical="center"/>
    </xf>
    <xf numFmtId="0" fontId="52" fillId="11" borderId="4" xfId="117" applyFont="1" applyFill="1" applyBorder="1" applyAlignment="1">
      <alignment horizontal="center" vertical="center"/>
    </xf>
    <xf numFmtId="0" fontId="52" fillId="11" borderId="33" xfId="117" applyFont="1" applyFill="1" applyBorder="1" applyAlignment="1">
      <alignment horizontal="left" vertical="center" wrapText="1"/>
    </xf>
    <xf numFmtId="0" fontId="52" fillId="11" borderId="30" xfId="117" applyFont="1" applyFill="1" applyBorder="1" applyAlignment="1">
      <alignment horizontal="left" vertical="center"/>
    </xf>
    <xf numFmtId="0" fontId="52" fillId="11" borderId="29" xfId="117" applyFont="1" applyFill="1" applyBorder="1" applyAlignment="1">
      <alignment horizontal="left" vertical="center"/>
    </xf>
    <xf numFmtId="49" fontId="60" fillId="11" borderId="0" xfId="117" applyNumberFormat="1" applyFont="1" applyFill="1" applyAlignment="1">
      <alignment horizontal="center" vertical="center"/>
    </xf>
    <xf numFmtId="49" fontId="52" fillId="7" borderId="34" xfId="117" applyNumberFormat="1" applyFont="1" applyFill="1" applyBorder="1" applyAlignment="1">
      <alignment horizontal="center" vertical="center"/>
    </xf>
    <xf numFmtId="49" fontId="52" fillId="7" borderId="35" xfId="117" applyNumberFormat="1" applyFont="1" applyFill="1" applyBorder="1" applyAlignment="1">
      <alignment horizontal="center" vertical="center"/>
    </xf>
    <xf numFmtId="49" fontId="52" fillId="7" borderId="36" xfId="117" applyNumberFormat="1" applyFont="1" applyFill="1" applyBorder="1" applyAlignment="1">
      <alignment horizontal="center" vertical="center"/>
    </xf>
    <xf numFmtId="49" fontId="52" fillId="16" borderId="54" xfId="117" applyNumberFormat="1" applyFont="1" applyFill="1" applyBorder="1" applyAlignment="1">
      <alignment horizontal="center" vertical="center"/>
    </xf>
    <xf numFmtId="49" fontId="52" fillId="16" borderId="0" xfId="117" applyNumberFormat="1" applyFont="1" applyFill="1" applyBorder="1" applyAlignment="1">
      <alignment horizontal="center" vertical="center"/>
    </xf>
    <xf numFmtId="49" fontId="52" fillId="16" borderId="55" xfId="117" applyNumberFormat="1" applyFont="1" applyFill="1" applyBorder="1" applyAlignment="1">
      <alignment horizontal="center" vertical="center"/>
    </xf>
    <xf numFmtId="49" fontId="52" fillId="16" borderId="15" xfId="117" applyNumberFormat="1" applyFont="1" applyFill="1" applyBorder="1" applyAlignment="1">
      <alignment horizontal="center" vertical="center"/>
    </xf>
    <xf numFmtId="49" fontId="52" fillId="16" borderId="56" xfId="117" applyNumberFormat="1" applyFont="1" applyFill="1" applyBorder="1" applyAlignment="1">
      <alignment horizontal="center" vertical="center"/>
    </xf>
    <xf numFmtId="49" fontId="56" fillId="11" borderId="49" xfId="117" applyNumberFormat="1" applyFont="1" applyFill="1" applyBorder="1" applyAlignment="1">
      <alignment horizontal="center" vertical="center" textRotation="255"/>
    </xf>
    <xf numFmtId="49" fontId="56" fillId="11" borderId="57" xfId="117" applyNumberFormat="1" applyFont="1" applyFill="1" applyBorder="1" applyAlignment="1">
      <alignment horizontal="center" vertical="center" textRotation="255"/>
    </xf>
    <xf numFmtId="49" fontId="52" fillId="7" borderId="42" xfId="117" applyNumberFormat="1" applyFont="1" applyFill="1" applyBorder="1" applyAlignment="1">
      <alignment horizontal="center" vertical="center"/>
    </xf>
    <xf numFmtId="49" fontId="52" fillId="7" borderId="18" xfId="117" applyNumberFormat="1" applyFont="1" applyFill="1" applyBorder="1" applyAlignment="1">
      <alignment horizontal="center" vertical="center"/>
    </xf>
    <xf numFmtId="49" fontId="52" fillId="7" borderId="43" xfId="117" applyNumberFormat="1" applyFont="1" applyFill="1" applyBorder="1" applyAlignment="1">
      <alignment horizontal="center" vertical="center"/>
    </xf>
    <xf numFmtId="9" fontId="2" fillId="3" borderId="18" xfId="107" applyFont="1" applyFill="1" applyBorder="1" applyAlignment="1">
      <alignment horizontal="left" vertical="center"/>
    </xf>
    <xf numFmtId="9" fontId="2" fillId="3" borderId="43" xfId="107" applyFont="1" applyFill="1" applyBorder="1" applyAlignment="1">
      <alignment horizontal="left" vertical="center"/>
    </xf>
    <xf numFmtId="0" fontId="11" fillId="3" borderId="1" xfId="1" applyFont="1" applyFill="1" applyBorder="1" applyAlignment="1">
      <alignment horizontal="center" vertical="center"/>
    </xf>
    <xf numFmtId="0" fontId="11" fillId="3" borderId="2" xfId="1" applyFont="1" applyFill="1" applyBorder="1" applyAlignment="1">
      <alignment horizontal="center" vertical="center"/>
    </xf>
    <xf numFmtId="0" fontId="13" fillId="0" borderId="1" xfId="0" applyFont="1" applyBorder="1" applyAlignment="1">
      <alignment vertical="center" wrapText="1"/>
    </xf>
    <xf numFmtId="0" fontId="13" fillId="0" borderId="6" xfId="0" applyFont="1" applyBorder="1" applyAlignment="1">
      <alignment vertical="center" wrapText="1"/>
    </xf>
    <xf numFmtId="0" fontId="13" fillId="0" borderId="2" xfId="0" applyFont="1" applyBorder="1" applyAlignment="1">
      <alignment vertical="center" wrapText="1"/>
    </xf>
    <xf numFmtId="0" fontId="11" fillId="3" borderId="33" xfId="1" applyFont="1" applyFill="1" applyBorder="1" applyAlignment="1">
      <alignment horizontal="center" vertical="center"/>
    </xf>
    <xf numFmtId="0" fontId="11" fillId="3" borderId="29" xfId="1" applyFont="1" applyFill="1" applyBorder="1" applyAlignment="1">
      <alignment horizontal="center" vertical="center"/>
    </xf>
    <xf numFmtId="0" fontId="13" fillId="0" borderId="33" xfId="0" applyFont="1" applyBorder="1" applyAlignment="1">
      <alignment vertical="center" wrapText="1"/>
    </xf>
    <xf numFmtId="0" fontId="13" fillId="0" borderId="30" xfId="0" applyFont="1" applyBorder="1" applyAlignment="1">
      <alignment vertical="center" wrapText="1"/>
    </xf>
    <xf numFmtId="0" fontId="13" fillId="0" borderId="29" xfId="0" applyFont="1" applyBorder="1" applyAlignment="1">
      <alignment vertical="center" wrapText="1"/>
    </xf>
    <xf numFmtId="0" fontId="10" fillId="2" borderId="15" xfId="1" applyFont="1" applyFill="1" applyBorder="1" applyAlignment="1">
      <alignment horizontal="center" vertical="center" wrapText="1"/>
    </xf>
    <xf numFmtId="0" fontId="10" fillId="2" borderId="17" xfId="1" applyFont="1" applyFill="1" applyBorder="1" applyAlignment="1">
      <alignment horizontal="center" vertical="center" wrapText="1"/>
    </xf>
    <xf numFmtId="0" fontId="10" fillId="2" borderId="7" xfId="1" applyFont="1" applyFill="1" applyBorder="1" applyAlignment="1">
      <alignment horizontal="center" vertical="center"/>
    </xf>
    <xf numFmtId="0" fontId="11" fillId="3" borderId="13" xfId="1" applyFont="1" applyFill="1" applyBorder="1" applyAlignment="1">
      <alignment horizontal="center"/>
    </xf>
    <xf numFmtId="0" fontId="11" fillId="3" borderId="14" xfId="1" applyFont="1" applyFill="1" applyBorder="1" applyAlignment="1">
      <alignment horizontal="center"/>
    </xf>
    <xf numFmtId="0" fontId="13" fillId="0" borderId="2" xfId="0" applyFont="1" applyBorder="1" applyAlignment="1">
      <alignment horizontal="left" vertical="center"/>
    </xf>
    <xf numFmtId="0" fontId="13" fillId="0" borderId="4" xfId="0" applyFont="1" applyBorder="1" applyAlignment="1">
      <alignment horizontal="left" vertical="center"/>
    </xf>
    <xf numFmtId="0" fontId="11" fillId="3" borderId="1" xfId="1" applyFont="1" applyFill="1" applyBorder="1" applyAlignment="1">
      <alignment horizontal="center"/>
    </xf>
    <xf numFmtId="0" fontId="11" fillId="3" borderId="2" xfId="1" applyFont="1" applyFill="1" applyBorder="1" applyAlignment="1">
      <alignment horizontal="center"/>
    </xf>
    <xf numFmtId="0" fontId="13" fillId="0" borderId="2" xfId="0" applyFont="1" applyBorder="1">
      <alignment vertical="center"/>
    </xf>
    <xf numFmtId="0" fontId="13" fillId="0" borderId="4" xfId="0" applyFont="1" applyBorder="1">
      <alignment vertical="center"/>
    </xf>
    <xf numFmtId="0" fontId="13" fillId="0" borderId="4" xfId="0" applyFont="1" applyBorder="1" applyAlignment="1">
      <alignment horizontal="left" vertical="top"/>
    </xf>
    <xf numFmtId="0" fontId="13" fillId="0" borderId="1" xfId="0" applyFont="1" applyBorder="1" applyAlignment="1">
      <alignment horizontal="left" vertical="top" wrapText="1"/>
    </xf>
    <xf numFmtId="0" fontId="13" fillId="0" borderId="6" xfId="0" applyFont="1" applyBorder="1" applyAlignment="1">
      <alignment horizontal="left" vertical="top" wrapText="1"/>
    </xf>
    <xf numFmtId="0" fontId="13" fillId="0" borderId="2" xfId="0" applyFont="1" applyBorder="1" applyAlignment="1">
      <alignment horizontal="left" vertical="top" wrapText="1"/>
    </xf>
    <xf numFmtId="0" fontId="18" fillId="2" borderId="7" xfId="0" applyFont="1" applyFill="1" applyBorder="1" applyAlignment="1">
      <alignment horizontal="center" vertical="center"/>
    </xf>
    <xf numFmtId="0" fontId="13" fillId="0" borderId="27" xfId="0" applyFont="1" applyBorder="1" applyAlignment="1">
      <alignment horizontal="left" vertical="center"/>
    </xf>
    <xf numFmtId="0" fontId="13" fillId="0" borderId="27" xfId="0" applyFont="1" applyBorder="1" applyAlignment="1">
      <alignment horizontal="left" vertical="top"/>
    </xf>
    <xf numFmtId="0" fontId="18" fillId="7" borderId="4" xfId="0" applyFont="1" applyFill="1" applyBorder="1">
      <alignment vertical="center"/>
    </xf>
    <xf numFmtId="0" fontId="16" fillId="2" borderId="4" xfId="0" applyFont="1" applyFill="1" applyBorder="1">
      <alignment vertical="center"/>
    </xf>
    <xf numFmtId="0" fontId="19" fillId="2" borderId="4" xfId="0" applyFont="1" applyFill="1" applyBorder="1" applyAlignment="1">
      <alignment vertical="top"/>
    </xf>
    <xf numFmtId="0" fontId="19" fillId="2" borderId="33" xfId="0" applyFont="1" applyFill="1" applyBorder="1" applyAlignment="1">
      <alignment vertical="top"/>
    </xf>
    <xf numFmtId="0" fontId="10" fillId="2" borderId="28" xfId="0" applyFont="1" applyFill="1" applyBorder="1" applyAlignment="1">
      <alignment vertical="top"/>
    </xf>
    <xf numFmtId="0" fontId="10" fillId="2" borderId="12" xfId="0" applyFont="1" applyFill="1" applyBorder="1" applyAlignment="1">
      <alignment vertical="top"/>
    </xf>
    <xf numFmtId="0" fontId="10" fillId="2" borderId="28" xfId="0" applyFont="1" applyFill="1" applyBorder="1" applyAlignment="1">
      <alignment vertical="top" wrapText="1"/>
    </xf>
    <xf numFmtId="0" fontId="10" fillId="2" borderId="12" xfId="0" applyFont="1" applyFill="1" applyBorder="1" applyAlignment="1">
      <alignment vertical="top" wrapText="1"/>
    </xf>
    <xf numFmtId="0" fontId="16" fillId="2" borderId="28" xfId="0" applyFont="1" applyFill="1" applyBorder="1" applyAlignment="1">
      <alignment horizontal="left" vertical="top" wrapText="1"/>
    </xf>
    <xf numFmtId="0" fontId="16" fillId="2" borderId="12" xfId="0" applyFont="1" applyFill="1" applyBorder="1" applyAlignment="1">
      <alignment horizontal="left" vertical="top" wrapText="1"/>
    </xf>
    <xf numFmtId="49" fontId="10" fillId="2" borderId="28" xfId="0" applyNumberFormat="1" applyFont="1" applyFill="1" applyBorder="1" applyAlignment="1">
      <alignment vertical="top"/>
    </xf>
    <xf numFmtId="49" fontId="10" fillId="2" borderId="12" xfId="0" applyNumberFormat="1" applyFont="1" applyFill="1" applyBorder="1" applyAlignment="1">
      <alignment vertical="top"/>
    </xf>
    <xf numFmtId="0" fontId="10" fillId="2" borderId="31" xfId="0" applyFont="1" applyFill="1" applyBorder="1" applyAlignment="1">
      <alignment vertical="top" wrapText="1"/>
    </xf>
    <xf numFmtId="0" fontId="10" fillId="2" borderId="10" xfId="0" applyFont="1" applyFill="1" applyBorder="1" applyAlignment="1">
      <alignment vertical="top" wrapText="1"/>
    </xf>
    <xf numFmtId="0" fontId="10" fillId="2" borderId="33" xfId="0" applyFont="1" applyFill="1" applyBorder="1" applyAlignment="1">
      <alignment vertical="top"/>
    </xf>
    <xf numFmtId="0" fontId="10" fillId="2" borderId="30" xfId="0" applyFont="1" applyFill="1" applyBorder="1" applyAlignment="1">
      <alignment vertical="top"/>
    </xf>
    <xf numFmtId="0" fontId="10" fillId="2" borderId="29" xfId="0" applyFont="1" applyFill="1" applyBorder="1" applyAlignment="1">
      <alignment vertical="top"/>
    </xf>
    <xf numFmtId="0" fontId="11" fillId="8" borderId="28" xfId="0" applyFont="1" applyFill="1" applyBorder="1" applyAlignment="1">
      <alignment vertical="top"/>
    </xf>
    <xf numFmtId="0" fontId="11" fillId="8" borderId="12" xfId="0" applyFont="1" applyFill="1" applyBorder="1" applyAlignment="1">
      <alignment vertical="top"/>
    </xf>
    <xf numFmtId="0" fontId="11" fillId="0" borderId="28" xfId="0" applyFont="1" applyBorder="1" applyAlignment="1">
      <alignment vertical="top" wrapText="1"/>
    </xf>
    <xf numFmtId="0" fontId="11" fillId="0" borderId="12" xfId="0" applyFont="1" applyBorder="1" applyAlignment="1">
      <alignment vertical="top" wrapText="1"/>
    </xf>
    <xf numFmtId="0" fontId="11" fillId="0" borderId="27" xfId="0" applyFont="1" applyBorder="1" applyAlignment="1">
      <alignment vertical="top" wrapText="1"/>
    </xf>
    <xf numFmtId="0" fontId="11" fillId="8" borderId="27" xfId="0" applyFont="1" applyFill="1" applyBorder="1" applyAlignment="1">
      <alignment vertical="top"/>
    </xf>
    <xf numFmtId="0" fontId="11" fillId="8" borderId="28" xfId="0" applyFont="1" applyFill="1" applyBorder="1" applyAlignment="1">
      <alignment vertical="top" wrapText="1"/>
    </xf>
    <xf numFmtId="0" fontId="11" fillId="8" borderId="12" xfId="0" applyFont="1" applyFill="1" applyBorder="1" applyAlignment="1">
      <alignment vertical="top" wrapText="1"/>
    </xf>
    <xf numFmtId="0" fontId="11" fillId="8" borderId="27" xfId="0" applyFont="1" applyFill="1" applyBorder="1" applyAlignment="1">
      <alignment vertical="top" wrapText="1"/>
    </xf>
    <xf numFmtId="0" fontId="11" fillId="0" borderId="28" xfId="0" applyFont="1" applyBorder="1" applyAlignment="1">
      <alignment horizontal="center" vertical="top" wrapText="1"/>
    </xf>
    <xf numFmtId="0" fontId="11" fillId="0" borderId="27" xfId="0" applyFont="1" applyBorder="1" applyAlignment="1">
      <alignment horizontal="center" vertical="top" wrapText="1"/>
    </xf>
    <xf numFmtId="0" fontId="11" fillId="0" borderId="28" xfId="0" applyFont="1" applyBorder="1" applyAlignment="1">
      <alignment horizontal="left" vertical="top" wrapText="1"/>
    </xf>
    <xf numFmtId="0" fontId="11" fillId="0" borderId="27" xfId="0" applyFont="1" applyBorder="1" applyAlignment="1">
      <alignment horizontal="left" vertical="top" wrapText="1"/>
    </xf>
    <xf numFmtId="0" fontId="64" fillId="0" borderId="28" xfId="0" applyFont="1" applyBorder="1" applyAlignment="1">
      <alignment vertical="top" wrapText="1"/>
    </xf>
    <xf numFmtId="0" fontId="64" fillId="0" borderId="12" xfId="0" applyFont="1" applyBorder="1" applyAlignment="1">
      <alignment vertical="top" wrapText="1"/>
    </xf>
    <xf numFmtId="0" fontId="64" fillId="0" borderId="27" xfId="0" applyFont="1" applyBorder="1" applyAlignment="1">
      <alignment vertical="top" wrapText="1"/>
    </xf>
    <xf numFmtId="0" fontId="11" fillId="0" borderId="28" xfId="0" applyFont="1" applyBorder="1" applyAlignment="1">
      <alignment horizontal="left" vertical="center" wrapText="1"/>
    </xf>
    <xf numFmtId="0" fontId="11" fillId="0" borderId="12" xfId="0" applyFont="1" applyBorder="1" applyAlignment="1">
      <alignment horizontal="left" vertical="center" wrapText="1"/>
    </xf>
    <xf numFmtId="0" fontId="11" fillId="0" borderId="27" xfId="0" applyFont="1" applyBorder="1" applyAlignment="1">
      <alignment horizontal="left" vertical="center" wrapText="1"/>
    </xf>
    <xf numFmtId="0" fontId="11" fillId="8" borderId="28" xfId="0" applyFont="1" applyFill="1" applyBorder="1" applyAlignment="1">
      <alignment horizontal="center" vertical="top" wrapText="1"/>
    </xf>
    <xf numFmtId="0" fontId="11" fillId="8" borderId="12" xfId="0" applyFont="1" applyFill="1" applyBorder="1" applyAlignment="1">
      <alignment horizontal="center" vertical="top" wrapText="1"/>
    </xf>
    <xf numFmtId="0" fontId="11" fillId="8" borderId="27" xfId="0" applyFont="1" applyFill="1" applyBorder="1" applyAlignment="1">
      <alignment horizontal="center" vertical="top" wrapText="1"/>
    </xf>
    <xf numFmtId="0" fontId="11" fillId="0" borderId="12" xfId="0" applyFont="1" applyBorder="1" applyAlignment="1">
      <alignment horizontal="left" vertical="top" wrapText="1"/>
    </xf>
    <xf numFmtId="0" fontId="64" fillId="0" borderId="28" xfId="0" applyFont="1" applyBorder="1" applyAlignment="1">
      <alignment horizontal="center" vertical="top" wrapText="1"/>
    </xf>
    <xf numFmtId="0" fontId="64" fillId="0" borderId="12" xfId="0" applyFont="1" applyBorder="1" applyAlignment="1">
      <alignment horizontal="center" vertical="top" wrapText="1"/>
    </xf>
    <xf numFmtId="0" fontId="64" fillId="0" borderId="27" xfId="0" applyFont="1" applyBorder="1" applyAlignment="1">
      <alignment horizontal="center" vertical="top" wrapText="1"/>
    </xf>
    <xf numFmtId="0" fontId="11" fillId="0" borderId="12" xfId="0" applyFont="1" applyBorder="1" applyAlignment="1">
      <alignment horizontal="center" vertical="top" wrapText="1"/>
    </xf>
    <xf numFmtId="0" fontId="11" fillId="8" borderId="28" xfId="0" applyFont="1" applyFill="1" applyBorder="1" applyAlignment="1">
      <alignment horizontal="center" vertical="top"/>
    </xf>
    <xf numFmtId="0" fontId="11" fillId="8" borderId="12" xfId="0" applyFont="1" applyFill="1" applyBorder="1" applyAlignment="1">
      <alignment horizontal="center" vertical="top"/>
    </xf>
    <xf numFmtId="0" fontId="11" fillId="8" borderId="27" xfId="0" applyFont="1" applyFill="1" applyBorder="1" applyAlignment="1">
      <alignment horizontal="center" vertical="top"/>
    </xf>
    <xf numFmtId="0" fontId="13" fillId="8" borderId="28" xfId="0" applyFont="1" applyFill="1" applyBorder="1" applyAlignment="1">
      <alignment vertical="top" wrapText="1"/>
    </xf>
    <xf numFmtId="0" fontId="13" fillId="8" borderId="12" xfId="0" applyFont="1" applyFill="1" applyBorder="1" applyAlignment="1">
      <alignment vertical="top" wrapText="1"/>
    </xf>
    <xf numFmtId="0" fontId="13" fillId="0" borderId="28" xfId="0" applyFont="1" applyBorder="1" applyAlignment="1">
      <alignment vertical="top" wrapText="1"/>
    </xf>
    <xf numFmtId="0" fontId="13" fillId="0" borderId="12" xfId="0" applyFont="1" applyBorder="1" applyAlignment="1">
      <alignment vertical="top" wrapText="1"/>
    </xf>
    <xf numFmtId="0" fontId="63" fillId="0" borderId="28" xfId="0" applyFont="1" applyBorder="1" applyAlignment="1">
      <alignment vertical="top" wrapText="1"/>
    </xf>
    <xf numFmtId="0" fontId="63" fillId="0" borderId="12" xfId="0" applyFont="1" applyBorder="1" applyAlignment="1">
      <alignment vertical="top" wrapText="1"/>
    </xf>
    <xf numFmtId="0" fontId="13" fillId="0" borderId="27" xfId="0" applyFont="1" applyBorder="1" applyAlignment="1">
      <alignment vertical="top" wrapText="1"/>
    </xf>
    <xf numFmtId="0" fontId="13" fillId="8" borderId="28" xfId="0" applyFont="1" applyFill="1" applyBorder="1" applyAlignment="1">
      <alignment vertical="top"/>
    </xf>
    <xf numFmtId="0" fontId="13" fillId="8" borderId="27" xfId="0" applyFont="1" applyFill="1" applyBorder="1" applyAlignment="1">
      <alignment vertical="top"/>
    </xf>
    <xf numFmtId="0" fontId="13" fillId="0" borderId="28" xfId="0" applyFont="1" applyBorder="1" applyAlignment="1">
      <alignment vertical="top"/>
    </xf>
    <xf numFmtId="0" fontId="13" fillId="0" borderId="27" xfId="0" applyFont="1" applyBorder="1" applyAlignment="1">
      <alignment vertical="top"/>
    </xf>
    <xf numFmtId="0" fontId="13" fillId="8" borderId="27" xfId="0" applyFont="1" applyFill="1" applyBorder="1" applyAlignment="1">
      <alignment vertical="top" wrapText="1"/>
    </xf>
    <xf numFmtId="0" fontId="13" fillId="0" borderId="28" xfId="0" applyFont="1" applyBorder="1" applyAlignment="1">
      <alignment horizontal="center" vertical="top" wrapText="1"/>
    </xf>
    <xf numFmtId="0" fontId="13" fillId="0" borderId="12" xfId="0" applyFont="1" applyBorder="1" applyAlignment="1">
      <alignment horizontal="center" vertical="top" wrapText="1"/>
    </xf>
    <xf numFmtId="0" fontId="13" fillId="0" borderId="27" xfId="0" applyFont="1" applyBorder="1" applyAlignment="1">
      <alignment horizontal="center" vertical="top" wrapText="1"/>
    </xf>
    <xf numFmtId="0" fontId="13" fillId="0" borderId="28" xfId="0" applyFont="1" applyFill="1" applyBorder="1" applyAlignment="1">
      <alignment horizontal="center" vertical="center"/>
    </xf>
    <xf numFmtId="0" fontId="13" fillId="0" borderId="12" xfId="0" applyFont="1" applyFill="1" applyBorder="1" applyAlignment="1">
      <alignment horizontal="center" vertical="center"/>
    </xf>
    <xf numFmtId="0" fontId="13" fillId="0" borderId="27" xfId="0" applyFont="1" applyFill="1" applyBorder="1" applyAlignment="1">
      <alignment horizontal="center" vertical="center"/>
    </xf>
    <xf numFmtId="0" fontId="13" fillId="8" borderId="4" xfId="0" applyFont="1" applyFill="1" applyBorder="1" applyAlignment="1">
      <alignment horizontal="center" vertical="center"/>
    </xf>
    <xf numFmtId="0" fontId="18" fillId="2" borderId="28" xfId="0" applyFont="1" applyFill="1" applyBorder="1" applyAlignment="1">
      <alignment horizontal="center" vertical="center" wrapText="1"/>
    </xf>
    <xf numFmtId="0" fontId="18" fillId="2" borderId="27" xfId="0" applyFont="1" applyFill="1" applyBorder="1" applyAlignment="1">
      <alignment horizontal="center" vertical="center" wrapText="1"/>
    </xf>
    <xf numFmtId="0" fontId="18" fillId="2" borderId="4" xfId="0" applyFont="1" applyFill="1" applyBorder="1" applyAlignment="1">
      <alignment horizontal="center" vertical="center" wrapText="1"/>
    </xf>
    <xf numFmtId="0" fontId="18" fillId="2" borderId="4" xfId="0" applyFont="1" applyFill="1" applyBorder="1" applyAlignment="1">
      <alignment horizontal="center" vertical="center"/>
    </xf>
    <xf numFmtId="0" fontId="20" fillId="2" borderId="4" xfId="0" applyFont="1" applyFill="1" applyBorder="1" applyAlignment="1">
      <alignment horizontal="center" vertical="center"/>
    </xf>
    <xf numFmtId="0" fontId="63" fillId="6" borderId="52" xfId="0" applyFont="1" applyFill="1" applyBorder="1">
      <alignment vertical="center"/>
    </xf>
    <xf numFmtId="0" fontId="63" fillId="6" borderId="0" xfId="0" applyFont="1" applyFill="1">
      <alignment vertical="center"/>
    </xf>
    <xf numFmtId="0" fontId="13" fillId="8" borderId="28" xfId="0" applyFont="1" applyFill="1" applyBorder="1" applyAlignment="1">
      <alignment horizontal="center" vertical="center"/>
    </xf>
    <xf numFmtId="0" fontId="13" fillId="8" borderId="12" xfId="0" applyFont="1" applyFill="1" applyBorder="1" applyAlignment="1">
      <alignment horizontal="center" vertical="center"/>
    </xf>
    <xf numFmtId="0" fontId="13" fillId="8" borderId="27" xfId="0" applyFont="1" applyFill="1" applyBorder="1" applyAlignment="1">
      <alignment horizontal="center" vertical="center"/>
    </xf>
    <xf numFmtId="0" fontId="13" fillId="8" borderId="5" xfId="0" applyFont="1" applyFill="1" applyBorder="1" applyAlignment="1">
      <alignment horizontal="center" vertical="center"/>
    </xf>
    <xf numFmtId="0" fontId="18" fillId="2" borderId="1" xfId="0" applyFont="1" applyFill="1" applyBorder="1" applyAlignment="1">
      <alignment horizontal="center" vertical="center"/>
    </xf>
    <xf numFmtId="0" fontId="18" fillId="2" borderId="2" xfId="0" applyFont="1" applyFill="1" applyBorder="1" applyAlignment="1">
      <alignment horizontal="center" vertical="center"/>
    </xf>
    <xf numFmtId="0" fontId="18" fillId="5" borderId="1" xfId="0" applyFont="1" applyFill="1" applyBorder="1" applyAlignment="1">
      <alignment horizontal="center" vertical="center"/>
    </xf>
    <xf numFmtId="0" fontId="18" fillId="5" borderId="30" xfId="0" applyFont="1" applyFill="1" applyBorder="1" applyAlignment="1">
      <alignment horizontal="center" vertical="center"/>
    </xf>
    <xf numFmtId="0" fontId="18" fillId="5" borderId="2" xfId="0" applyFont="1" applyFill="1" applyBorder="1" applyAlignment="1">
      <alignment horizontal="center" vertical="center"/>
    </xf>
    <xf numFmtId="0" fontId="18" fillId="4" borderId="4" xfId="0" applyFont="1" applyFill="1" applyBorder="1" applyAlignment="1">
      <alignment horizontal="center" vertical="center"/>
    </xf>
    <xf numFmtId="49" fontId="69" fillId="18" borderId="28" xfId="0" applyNumberFormat="1" applyFont="1" applyFill="1" applyBorder="1" applyAlignment="1">
      <alignment vertical="top"/>
    </xf>
    <xf numFmtId="49" fontId="69" fillId="18" borderId="27" xfId="0" applyNumberFormat="1" applyFont="1" applyFill="1" applyBorder="1" applyAlignment="1">
      <alignment vertical="top"/>
    </xf>
    <xf numFmtId="0" fontId="69" fillId="18" borderId="28" xfId="0" applyFont="1" applyFill="1" applyBorder="1" applyAlignment="1">
      <alignment vertical="top"/>
    </xf>
    <xf numFmtId="0" fontId="69" fillId="18" borderId="27" xfId="0" applyFont="1" applyFill="1" applyBorder="1" applyAlignment="1">
      <alignment vertical="top"/>
    </xf>
    <xf numFmtId="0" fontId="69" fillId="18" borderId="12" xfId="0" applyFont="1" applyFill="1" applyBorder="1" applyAlignment="1">
      <alignment vertical="top"/>
    </xf>
    <xf numFmtId="0" fontId="69" fillId="16" borderId="33" xfId="0" applyFont="1" applyFill="1" applyBorder="1">
      <alignment vertical="center"/>
    </xf>
    <xf numFmtId="0" fontId="69" fillId="16" borderId="29" xfId="0" applyFont="1" applyFill="1" applyBorder="1">
      <alignment vertical="center"/>
    </xf>
  </cellXfs>
  <cellStyles count="119">
    <cellStyle name="$0" xfId="9" xr:uid="{00000000-0005-0000-0000-000000000000}"/>
    <cellStyle name="$0.0" xfId="10" xr:uid="{00000000-0005-0000-0000-000001000000}"/>
    <cellStyle name="$0.00" xfId="11" xr:uid="{00000000-0005-0000-0000-000002000000}"/>
    <cellStyle name="%0" xfId="12" xr:uid="{00000000-0005-0000-0000-000003000000}"/>
    <cellStyle name="%0.0" xfId="13" xr:uid="{00000000-0005-0000-0000-000004000000}"/>
    <cellStyle name="fEnY [0.00]_Read method (Upload)" xfId="14" xr:uid="{00000000-0005-0000-0000-000005000000}"/>
    <cellStyle name="fEnY_Read method (Upload)" xfId="15" xr:uid="{00000000-0005-0000-0000-000006000000}"/>
    <cellStyle name="0" xfId="16" xr:uid="{00000000-0005-0000-0000-000007000000}"/>
    <cellStyle name="0.0" xfId="17" xr:uid="{00000000-0005-0000-0000-000008000000}"/>
    <cellStyle name="0.00" xfId="18" xr:uid="{00000000-0005-0000-0000-000009000000}"/>
    <cellStyle name="args.style" xfId="19" xr:uid="{00000000-0005-0000-0000-00000A000000}"/>
    <cellStyle name="Calc Currency (0)" xfId="20" xr:uid="{00000000-0005-0000-0000-00000B000000}"/>
    <cellStyle name="Calc Units (2)" xfId="21" xr:uid="{00000000-0005-0000-0000-00000C000000}"/>
    <cellStyle name="category" xfId="22" xr:uid="{00000000-0005-0000-0000-00000D000000}"/>
    <cellStyle name="Comma [00]" xfId="23" xr:uid="{00000000-0005-0000-0000-00000F000000}"/>
    <cellStyle name="Comma[2]" xfId="24" xr:uid="{00000000-0005-0000-0000-000010000000}"/>
    <cellStyle name="Currency $" xfId="25" xr:uid="{00000000-0005-0000-0000-000012000000}"/>
    <cellStyle name="Currency [00]" xfId="26" xr:uid="{00000000-0005-0000-0000-000014000000}"/>
    <cellStyle name="Currency[2]" xfId="27" xr:uid="{00000000-0005-0000-0000-000015000000}"/>
    <cellStyle name="custom" xfId="28" xr:uid="{00000000-0005-0000-0000-000017000000}"/>
    <cellStyle name="Date" xfId="29" xr:uid="{00000000-0005-0000-0000-000018000000}"/>
    <cellStyle name="Date Short" xfId="30" xr:uid="{00000000-0005-0000-0000-000019000000}"/>
    <cellStyle name="date_Diag設計審査リスト補足資料" xfId="31" xr:uid="{00000000-0005-0000-0000-00001A000000}"/>
    <cellStyle name="Dezimal [0]_!!!GO" xfId="32" xr:uid="{00000000-0005-0000-0000-00001B000000}"/>
    <cellStyle name="Dezimal_!!!GO" xfId="33" xr:uid="{00000000-0005-0000-0000-00001C000000}"/>
    <cellStyle name="Enter Currency (0)" xfId="34" xr:uid="{00000000-0005-0000-0000-00001D000000}"/>
    <cellStyle name="Enter Currency (2)" xfId="35" xr:uid="{00000000-0005-0000-0000-00001E000000}"/>
    <cellStyle name="Enter Units (0)" xfId="36" xr:uid="{00000000-0005-0000-0000-00001F000000}"/>
    <cellStyle name="Enter Units (1)" xfId="37" xr:uid="{00000000-0005-0000-0000-000020000000}"/>
    <cellStyle name="Enter Units (2)" xfId="38" xr:uid="{00000000-0005-0000-0000-000021000000}"/>
    <cellStyle name="FAPbody" xfId="39" xr:uid="{00000000-0005-0000-0000-000022000000}"/>
    <cellStyle name="FAPbody 2" xfId="112" xr:uid="{00000000-0005-0000-0000-000023000000}"/>
    <cellStyle name="Followed Hyperlink" xfId="40" xr:uid="{00000000-0005-0000-0000-000024000000}"/>
    <cellStyle name="Grey" xfId="41" xr:uid="{00000000-0005-0000-0000-000025000000}"/>
    <cellStyle name="HEADER" xfId="42" xr:uid="{00000000-0005-0000-0000-000026000000}"/>
    <cellStyle name="Header1" xfId="43" xr:uid="{00000000-0005-0000-0000-000027000000}"/>
    <cellStyle name="Header2" xfId="44" xr:uid="{00000000-0005-0000-0000-000028000000}"/>
    <cellStyle name="Header2 2" xfId="113" xr:uid="{00000000-0005-0000-0000-000029000000}"/>
    <cellStyle name="Hyperlink" xfId="6" xr:uid="{00000000-0005-0000-0000-00002A000000}"/>
    <cellStyle name="Input [yellow]" xfId="45" xr:uid="{00000000-0005-0000-0000-00002B000000}"/>
    <cellStyle name="Input [yellow] 2" xfId="114" xr:uid="{00000000-0005-0000-0000-00002C000000}"/>
    <cellStyle name="Link Currency (0)" xfId="46" xr:uid="{00000000-0005-0000-0000-00002D000000}"/>
    <cellStyle name="Link Currency (2)" xfId="47" xr:uid="{00000000-0005-0000-0000-00002E000000}"/>
    <cellStyle name="Link Units (0)" xfId="48" xr:uid="{00000000-0005-0000-0000-00002F000000}"/>
    <cellStyle name="Link Units (1)" xfId="49" xr:uid="{00000000-0005-0000-0000-000030000000}"/>
    <cellStyle name="Link Units (2)" xfId="50" xr:uid="{00000000-0005-0000-0000-000031000000}"/>
    <cellStyle name="Millares [0]_Read Data By ID (Num)" xfId="51" xr:uid="{00000000-0005-0000-0000-000032000000}"/>
    <cellStyle name="Millares_Read Data By ID (Num)" xfId="52" xr:uid="{00000000-0005-0000-0000-000033000000}"/>
    <cellStyle name="Milliers [0]_!!!GO" xfId="53" xr:uid="{00000000-0005-0000-0000-000034000000}"/>
    <cellStyle name="Milliers_!!!GO" xfId="54" xr:uid="{00000000-0005-0000-0000-000035000000}"/>
    <cellStyle name="Model" xfId="55" xr:uid="{00000000-0005-0000-0000-000036000000}"/>
    <cellStyle name="Moneda [0]_Read Data By ID (Num)" xfId="56" xr:uid="{00000000-0005-0000-0000-000037000000}"/>
    <cellStyle name="Moneda_Read Data By ID (Num)" xfId="57" xr:uid="{00000000-0005-0000-0000-000038000000}"/>
    <cellStyle name="Monétaire [0]_!!!GO" xfId="58" xr:uid="{00000000-0005-0000-0000-000039000000}"/>
    <cellStyle name="Monétaire_!!!GO" xfId="59" xr:uid="{00000000-0005-0000-0000-00003A000000}"/>
    <cellStyle name="Mon騁aire [0]_!!!GO" xfId="60" xr:uid="{00000000-0005-0000-0000-00003B000000}"/>
    <cellStyle name="Mon騁aire_!!!GO" xfId="61" xr:uid="{00000000-0005-0000-0000-00003C000000}"/>
    <cellStyle name="Neutral 2" xfId="62" xr:uid="{00000000-0005-0000-0000-00003D000000}"/>
    <cellStyle name="Normal" xfId="0" builtinId="0"/>
    <cellStyle name="Normal - Style1" xfId="63" xr:uid="{00000000-0005-0000-0000-00003E000000}"/>
    <cellStyle name="Normal 2" xfId="64" xr:uid="{00000000-0005-0000-0000-00003F000000}"/>
    <cellStyle name="Normal 2 2" xfId="65" xr:uid="{00000000-0005-0000-0000-000040000000}"/>
    <cellStyle name="Normal 3" xfId="66" xr:uid="{00000000-0005-0000-0000-000041000000}"/>
    <cellStyle name="Normal 3 2" xfId="67" xr:uid="{00000000-0005-0000-0000-000042000000}"/>
    <cellStyle name="Normal 3 2 2 3" xfId="68" xr:uid="{00000000-0005-0000-0000-000043000000}"/>
    <cellStyle name="Œ…‹æØ‚è [0.00]_!!!GO" xfId="69" xr:uid="{00000000-0005-0000-0000-000045000000}"/>
    <cellStyle name="Œ…‹æØ‚è_!!!GO" xfId="70" xr:uid="{00000000-0005-0000-0000-000046000000}"/>
    <cellStyle name="P2_NormalFont" xfId="71" xr:uid="{00000000-0005-0000-0000-000047000000}"/>
    <cellStyle name="per.style" xfId="72" xr:uid="{00000000-0005-0000-0000-000048000000}"/>
    <cellStyle name="Percent [0]" xfId="73" xr:uid="{00000000-0005-0000-0000-000049000000}"/>
    <cellStyle name="Percent [00]" xfId="74" xr:uid="{00000000-0005-0000-0000-00004A000000}"/>
    <cellStyle name="Percent [2]" xfId="75" xr:uid="{00000000-0005-0000-0000-00004B000000}"/>
    <cellStyle name="Percent[0]" xfId="76" xr:uid="{00000000-0005-0000-0000-00004C000000}"/>
    <cellStyle name="Percent[2]" xfId="77" xr:uid="{00000000-0005-0000-0000-00004D000000}"/>
    <cellStyle name="pidnorm" xfId="78" xr:uid="{00000000-0005-0000-0000-00004E000000}"/>
    <cellStyle name="PIDs" xfId="79" xr:uid="{00000000-0005-0000-0000-00004F000000}"/>
    <cellStyle name="PIDs 2" xfId="115" xr:uid="{00000000-0005-0000-0000-000050000000}"/>
    <cellStyle name="PrePop Currency (0)" xfId="80" xr:uid="{00000000-0005-0000-0000-000051000000}"/>
    <cellStyle name="PrePop Currency (2)" xfId="81" xr:uid="{00000000-0005-0000-0000-000052000000}"/>
    <cellStyle name="PrePop Units (0)" xfId="82" xr:uid="{00000000-0005-0000-0000-000053000000}"/>
    <cellStyle name="PrePop Units (1)" xfId="83" xr:uid="{00000000-0005-0000-0000-000054000000}"/>
    <cellStyle name="PrePop Units (2)" xfId="84" xr:uid="{00000000-0005-0000-0000-000055000000}"/>
    <cellStyle name="PSChar" xfId="85" xr:uid="{00000000-0005-0000-0000-000056000000}"/>
    <cellStyle name="PSDate" xfId="86" xr:uid="{00000000-0005-0000-0000-000057000000}"/>
    <cellStyle name="PSDec" xfId="87" xr:uid="{00000000-0005-0000-0000-000058000000}"/>
    <cellStyle name="PSHeading" xfId="88" xr:uid="{00000000-0005-0000-0000-000059000000}"/>
    <cellStyle name="PSInt" xfId="89" xr:uid="{00000000-0005-0000-0000-00005A000000}"/>
    <cellStyle name="PSSpacer" xfId="90" xr:uid="{00000000-0005-0000-0000-00005B000000}"/>
    <cellStyle name="RQDcells" xfId="91" xr:uid="{00000000-0005-0000-0000-00005C000000}"/>
    <cellStyle name="RQDheading" xfId="92" xr:uid="{00000000-0005-0000-0000-00005D000000}"/>
    <cellStyle name="RQDheading 2" xfId="116" xr:uid="{00000000-0005-0000-0000-00005E000000}"/>
    <cellStyle name="RQDserial" xfId="93" xr:uid="{00000000-0005-0000-0000-00005F000000}"/>
    <cellStyle name="RQDtop" xfId="94" xr:uid="{00000000-0005-0000-0000-000060000000}"/>
    <cellStyle name="STANDARD" xfId="95" xr:uid="{00000000-0005-0000-0000-000061000000}"/>
    <cellStyle name="subhead" xfId="96" xr:uid="{00000000-0005-0000-0000-000062000000}"/>
    <cellStyle name="Text Indent A" xfId="97" xr:uid="{00000000-0005-0000-0000-000063000000}"/>
    <cellStyle name="Text Indent B" xfId="98" xr:uid="{00000000-0005-0000-0000-000064000000}"/>
    <cellStyle name="Text Indent C" xfId="99" xr:uid="{00000000-0005-0000-0000-000065000000}"/>
    <cellStyle name="Underline" xfId="100" xr:uid="{00000000-0005-0000-0000-000066000000}"/>
    <cellStyle name="Währung [0]_!!!GO" xfId="101" xr:uid="{00000000-0005-0000-0000-000067000000}"/>
    <cellStyle name="Währung_!!!GO" xfId="102" xr:uid="{00000000-0005-0000-0000-000068000000}"/>
    <cellStyle name="weekly" xfId="103" xr:uid="{00000000-0005-0000-0000-000069000000}"/>
    <cellStyle name="W臧rung [0]_3&amp;5-Door" xfId="104" xr:uid="{00000000-0005-0000-0000-00006A000000}"/>
    <cellStyle name="W臧rung_3&amp;5-Door" xfId="105" xr:uid="{00000000-0005-0000-0000-00006B000000}"/>
    <cellStyle name="Гиперссылка" xfId="106" xr:uid="{00000000-0005-0000-0000-00006C000000}"/>
    <cellStyle name="パーセント 2" xfId="2" xr:uid="{00000000-0005-0000-0000-00006D000000}"/>
    <cellStyle name="パーセント 2 2" xfId="3" xr:uid="{00000000-0005-0000-0000-00006E000000}"/>
    <cellStyle name="パーセント 3" xfId="107" xr:uid="{00000000-0005-0000-0000-00006F000000}"/>
    <cellStyle name="未定義" xfId="110" xr:uid="{00000000-0005-0000-0000-00007B000000}"/>
    <cellStyle name="標準 2" xfId="1" xr:uid="{00000000-0005-0000-0000-000071000000}"/>
    <cellStyle name="標準 2 2" xfId="4" xr:uid="{00000000-0005-0000-0000-000072000000}"/>
    <cellStyle name="標準 2 3" xfId="108" xr:uid="{00000000-0005-0000-0000-000073000000}"/>
    <cellStyle name="標準 2 4" xfId="111" xr:uid="{00000000-0005-0000-0000-000074000000}"/>
    <cellStyle name="標準 2 5" xfId="8" xr:uid="{00000000-0005-0000-0000-000075000000}"/>
    <cellStyle name="標準 3" xfId="5" xr:uid="{00000000-0005-0000-0000-000076000000}"/>
    <cellStyle name="標準 4" xfId="109" xr:uid="{00000000-0005-0000-0000-000077000000}"/>
    <cellStyle name="標準 5" xfId="7" xr:uid="{00000000-0005-0000-0000-000078000000}"/>
    <cellStyle name="標準_VSCS(J50L)_verA" xfId="117" xr:uid="{00000000-0005-0000-0000-000079000000}"/>
    <cellStyle name="標準_打ち合わせ議事録_打ち合わせ議事録" xfId="118" xr:uid="{00000000-0005-0000-0000-00007A000000}"/>
  </cellStyles>
  <dxfs count="34">
    <dxf>
      <fill>
        <patternFill>
          <bgColor theme="4" tint="0.79998168889431442"/>
        </patternFill>
      </fill>
    </dxf>
    <dxf>
      <fill>
        <patternFill>
          <bgColor theme="9" tint="0.79998168889431442"/>
        </patternFill>
      </fill>
    </dxf>
    <dxf>
      <fill>
        <patternFill>
          <bgColor theme="4" tint="0.59996337778862885"/>
        </patternFill>
      </fill>
    </dxf>
    <dxf>
      <fill>
        <patternFill>
          <bgColor theme="9" tint="0.59996337778862885"/>
        </patternFill>
      </fill>
    </dxf>
    <dxf>
      <fill>
        <patternFill>
          <bgColor theme="6" tint="0.79998168889431442"/>
        </patternFill>
      </fill>
    </dxf>
    <dxf>
      <fill>
        <patternFill>
          <bgColor theme="4" tint="0.79998168889431442"/>
        </patternFill>
      </fill>
    </dxf>
    <dxf>
      <fill>
        <patternFill>
          <bgColor theme="9" tint="0.79998168889431442"/>
        </patternFill>
      </fill>
    </dxf>
    <dxf>
      <fill>
        <patternFill>
          <bgColor theme="4" tint="0.59996337778862885"/>
        </patternFill>
      </fill>
    </dxf>
    <dxf>
      <fill>
        <patternFill>
          <bgColor theme="9" tint="0.59996337778862885"/>
        </patternFill>
      </fill>
    </dxf>
    <dxf>
      <fill>
        <patternFill>
          <bgColor theme="6" tint="0.79998168889431442"/>
        </patternFill>
      </fill>
    </dxf>
    <dxf>
      <fill>
        <patternFill>
          <bgColor theme="4" tint="0.79998168889431442"/>
        </patternFill>
      </fill>
    </dxf>
    <dxf>
      <fill>
        <patternFill>
          <bgColor theme="9" tint="0.79998168889431442"/>
        </patternFill>
      </fill>
    </dxf>
    <dxf>
      <fill>
        <patternFill>
          <bgColor theme="4" tint="0.59996337778862885"/>
        </patternFill>
      </fill>
    </dxf>
    <dxf>
      <fill>
        <patternFill>
          <bgColor theme="9" tint="0.59996337778862885"/>
        </patternFill>
      </fill>
    </dxf>
    <dxf>
      <fill>
        <patternFill>
          <bgColor theme="6" tint="0.79998168889431442"/>
        </patternFill>
      </fill>
    </dxf>
    <dxf>
      <fill>
        <patternFill>
          <bgColor theme="4" tint="0.79998168889431442"/>
        </patternFill>
      </fill>
    </dxf>
    <dxf>
      <fill>
        <patternFill>
          <bgColor theme="9" tint="0.79998168889431442"/>
        </patternFill>
      </fill>
    </dxf>
    <dxf>
      <fill>
        <patternFill>
          <bgColor theme="4" tint="0.59996337778862885"/>
        </patternFill>
      </fill>
    </dxf>
    <dxf>
      <fill>
        <patternFill>
          <bgColor theme="9" tint="0.59996337778862885"/>
        </patternFill>
      </fill>
    </dxf>
    <dxf>
      <fill>
        <patternFill>
          <bgColor theme="6" tint="0.79998168889431442"/>
        </patternFill>
      </fill>
    </dxf>
    <dxf>
      <fill>
        <patternFill>
          <bgColor theme="0" tint="-0.14996795556505021"/>
        </patternFill>
      </fill>
    </dxf>
    <dxf>
      <fill>
        <patternFill>
          <bgColor theme="9" tint="0.79998168889431442"/>
        </patternFill>
      </fill>
    </dxf>
    <dxf>
      <fill>
        <patternFill>
          <bgColor theme="9" tint="0.59996337778862885"/>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patternType="gray0625">
          <fgColor theme="7" tint="-0.24994659260841701"/>
          <bgColor theme="7" tint="0.59996337778862885"/>
        </patternFill>
      </fill>
    </dxf>
    <dxf>
      <fill>
        <patternFill patternType="gray125">
          <fgColor theme="7" tint="-0.24994659260841701"/>
          <bgColor theme="7" tint="0.59996337778862885"/>
        </patternFill>
      </fill>
    </dxf>
    <dxf>
      <fill>
        <patternFill patternType="gray0625">
          <fgColor theme="7" tint="-0.24994659260841701"/>
          <bgColor theme="7" tint="0.39994506668294322"/>
        </patternFill>
      </fill>
    </dxf>
    <dxf>
      <fill>
        <patternFill>
          <bgColor theme="4" tint="0.79998168889431442"/>
        </patternFill>
      </fill>
    </dxf>
    <dxf>
      <fill>
        <patternFill>
          <bgColor theme="9" tint="0.79998168889431442"/>
        </patternFill>
      </fill>
    </dxf>
    <dxf>
      <fill>
        <patternFill>
          <bgColor theme="4" tint="0.59996337778862885"/>
        </patternFill>
      </fill>
    </dxf>
    <dxf>
      <fill>
        <patternFill>
          <bgColor theme="9" tint="0.59996337778862885"/>
        </patternFill>
      </fill>
    </dxf>
    <dxf>
      <fill>
        <patternFill>
          <bgColor theme="6" tint="0.79998168889431442"/>
        </patternFill>
      </fill>
    </dxf>
  </dxfs>
  <tableStyles count="0" defaultTableStyle="TableStyleMedium2" defaultPivotStyle="PivotStyleLight16"/>
  <colors>
    <mruColors>
      <color rgb="FFE4F9FF"/>
      <color rgb="FFBBEFFF"/>
      <color rgb="FF9EEAFF"/>
      <color rgb="FF7030A0"/>
      <color rgb="FFFF0066"/>
      <color rgb="FF0000FF"/>
      <color rgb="FF92CDDC"/>
      <color rgb="FFF2F2F2"/>
      <color rgb="FF3366FF"/>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24</xdr:row>
      <xdr:rowOff>76200</xdr:rowOff>
    </xdr:from>
    <xdr:to>
      <xdr:col>3</xdr:col>
      <xdr:colOff>76200</xdr:colOff>
      <xdr:row>25</xdr:row>
      <xdr:rowOff>95250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1524000" y="4876800"/>
          <a:ext cx="76200"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0</xdr:colOff>
      <xdr:row>1</xdr:row>
      <xdr:rowOff>0</xdr:rowOff>
    </xdr:from>
    <xdr:to>
      <xdr:col>2</xdr:col>
      <xdr:colOff>428625</xdr:colOff>
      <xdr:row>5</xdr:row>
      <xdr:rowOff>0</xdr:rowOff>
    </xdr:to>
    <xdr:sp macro="" textlink="">
      <xdr:nvSpPr>
        <xdr:cNvPr id="3" name="AutoShape 2">
          <a:extLst>
            <a:ext uri="{FF2B5EF4-FFF2-40B4-BE49-F238E27FC236}">
              <a16:creationId xmlns:a16="http://schemas.microsoft.com/office/drawing/2014/main" id="{00000000-0008-0000-0000-000003000000}"/>
            </a:ext>
          </a:extLst>
        </xdr:cNvPr>
        <xdr:cNvSpPr>
          <a:spLocks noChangeArrowheads="1"/>
        </xdr:cNvSpPr>
      </xdr:nvSpPr>
      <xdr:spPr bwMode="auto">
        <a:xfrm>
          <a:off x="285750" y="152400"/>
          <a:ext cx="857250" cy="609600"/>
        </a:xfrm>
        <a:prstGeom prst="roundRect">
          <a:avLst>
            <a:gd name="adj" fmla="val 16667"/>
          </a:avLst>
        </a:prstGeom>
        <a:noFill/>
        <a:ln w="9525">
          <a:solidFill>
            <a:srgbClr val="000000"/>
          </a:solidFill>
          <a:round/>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r>
            <a:rPr lang="ja-JP" altLang="en-US" sz="1200" b="0" i="0" u="none" strike="noStrike" baseline="0">
              <a:solidFill>
                <a:srgbClr val="000000"/>
              </a:solidFill>
              <a:latin typeface="ＭＳ 明朝"/>
              <a:ea typeface="ＭＳ 明朝"/>
            </a:rPr>
            <a:t>秘</a:t>
          </a:r>
          <a:endParaRPr lang="ja-JP" altLang="en-US" sz="1050" b="0" i="0" u="none" strike="noStrike" baseline="0">
            <a:solidFill>
              <a:srgbClr val="000000"/>
            </a:solidFill>
            <a:latin typeface="Times New Roman"/>
            <a:cs typeface="Times New Roman"/>
          </a:endParaRPr>
        </a:p>
        <a:p>
          <a:pPr algn="ctr" rtl="0">
            <a:defRPr sz="1000"/>
          </a:pPr>
          <a:r>
            <a:rPr lang="en-US" altLang="ja-JP" sz="800" b="0" i="0" u="none" strike="noStrike" baseline="0">
              <a:solidFill>
                <a:srgbClr val="000000"/>
              </a:solidFill>
              <a:latin typeface="ﾀﾞｯﾁ"/>
            </a:rPr>
            <a:t>CONFIDENTIAL</a:t>
          </a:r>
        </a:p>
        <a:p>
          <a:pPr algn="ctr" rtl="0">
            <a:defRPr sz="1000"/>
          </a:pPr>
          <a:r>
            <a:rPr lang="ja-JP" altLang="en-US" sz="800" b="0" i="0" u="none" strike="noStrike" baseline="0">
              <a:solidFill>
                <a:srgbClr val="000000"/>
              </a:solidFill>
              <a:latin typeface="ＭＳ 明朝"/>
              <a:ea typeface="ＭＳ 明朝"/>
            </a:rPr>
            <a:t>（無期限）</a:t>
          </a:r>
          <a:endParaRPr lang="ja-JP" altLang="en-US" sz="1050" b="0" i="0" u="none" strike="noStrike" baseline="0">
            <a:solidFill>
              <a:srgbClr val="000000"/>
            </a:solidFill>
            <a:latin typeface="Times New Roman"/>
            <a:cs typeface="Times New Roman"/>
          </a:endParaRPr>
        </a:p>
        <a:p>
          <a:pPr algn="ctr" rtl="0">
            <a:defRPr sz="1000"/>
          </a:pPr>
          <a:endParaRPr lang="ja-JP" altLang="en-US" sz="1050" b="0" i="0" u="none" strike="noStrike" baseline="0">
            <a:solidFill>
              <a:srgbClr val="000000"/>
            </a:solidFill>
            <a:latin typeface="Times New Roman"/>
            <a:cs typeface="Times New Roman"/>
          </a:endParaRPr>
        </a:p>
      </xdr:txBody>
    </xdr:sp>
    <xdr:clientData/>
  </xdr:twoCellAnchor>
  <xdr:twoCellAnchor editAs="oneCell">
    <xdr:from>
      <xdr:col>3</xdr:col>
      <xdr:colOff>0</xdr:colOff>
      <xdr:row>29</xdr:row>
      <xdr:rowOff>0</xdr:rowOff>
    </xdr:from>
    <xdr:to>
      <xdr:col>3</xdr:col>
      <xdr:colOff>76200</xdr:colOff>
      <xdr:row>30</xdr:row>
      <xdr:rowOff>19050</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1524000" y="5676900"/>
          <a:ext cx="76200"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0</xdr:colOff>
      <xdr:row>1</xdr:row>
      <xdr:rowOff>0</xdr:rowOff>
    </xdr:from>
    <xdr:to>
      <xdr:col>2</xdr:col>
      <xdr:colOff>428625</xdr:colOff>
      <xdr:row>5</xdr:row>
      <xdr:rowOff>0</xdr:rowOff>
    </xdr:to>
    <xdr:sp macro="" textlink="">
      <xdr:nvSpPr>
        <xdr:cNvPr id="5" name="AutoShape 2">
          <a:extLst>
            <a:ext uri="{FF2B5EF4-FFF2-40B4-BE49-F238E27FC236}">
              <a16:creationId xmlns:a16="http://schemas.microsoft.com/office/drawing/2014/main" id="{00000000-0008-0000-0000-000005000000}"/>
            </a:ext>
          </a:extLst>
        </xdr:cNvPr>
        <xdr:cNvSpPr>
          <a:spLocks noChangeArrowheads="1"/>
        </xdr:cNvSpPr>
      </xdr:nvSpPr>
      <xdr:spPr bwMode="auto">
        <a:xfrm>
          <a:off x="285750" y="152400"/>
          <a:ext cx="857250" cy="609600"/>
        </a:xfrm>
        <a:prstGeom prst="roundRect">
          <a:avLst>
            <a:gd name="adj" fmla="val 16667"/>
          </a:avLst>
        </a:prstGeom>
        <a:noFill/>
        <a:ln w="9525">
          <a:solidFill>
            <a:srgbClr val="000000"/>
          </a:solidFill>
          <a:round/>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r>
            <a:rPr lang="ja-JP" altLang="en-US" sz="1200" b="0" i="0" u="none" strike="noStrike" baseline="0">
              <a:solidFill>
                <a:srgbClr val="000000"/>
              </a:solidFill>
              <a:latin typeface="ＭＳ 明朝"/>
              <a:ea typeface="ＭＳ 明朝"/>
            </a:rPr>
            <a:t>秘</a:t>
          </a:r>
          <a:endParaRPr lang="ja-JP" altLang="en-US" sz="1050" b="0" i="0" u="none" strike="noStrike" baseline="0">
            <a:solidFill>
              <a:srgbClr val="000000"/>
            </a:solidFill>
            <a:latin typeface="Times New Roman"/>
            <a:cs typeface="Times New Roman"/>
          </a:endParaRPr>
        </a:p>
        <a:p>
          <a:pPr algn="ctr" rtl="0">
            <a:defRPr sz="1000"/>
          </a:pPr>
          <a:r>
            <a:rPr lang="en-US" altLang="ja-JP" sz="800" b="0" i="0" u="none" strike="noStrike" baseline="0">
              <a:solidFill>
                <a:srgbClr val="000000"/>
              </a:solidFill>
              <a:latin typeface="ﾀﾞｯﾁ"/>
            </a:rPr>
            <a:t>CONFIDENTIAL</a:t>
          </a:r>
        </a:p>
        <a:p>
          <a:pPr algn="ctr" rtl="0">
            <a:defRPr sz="1000"/>
          </a:pPr>
          <a:r>
            <a:rPr lang="ja-JP" altLang="en-US" sz="800" b="0" i="0" u="none" strike="noStrike" baseline="0">
              <a:solidFill>
                <a:srgbClr val="000000"/>
              </a:solidFill>
              <a:latin typeface="ＭＳ 明朝"/>
              <a:ea typeface="ＭＳ 明朝"/>
            </a:rPr>
            <a:t>（無期限）</a:t>
          </a:r>
          <a:endParaRPr lang="ja-JP" altLang="en-US" sz="1050" b="0" i="0" u="none" strike="noStrike" baseline="0">
            <a:solidFill>
              <a:srgbClr val="000000"/>
            </a:solidFill>
            <a:latin typeface="Times New Roman"/>
            <a:cs typeface="Times New Roman"/>
          </a:endParaRPr>
        </a:p>
        <a:p>
          <a:pPr algn="ctr" rtl="0">
            <a:defRPr sz="1000"/>
          </a:pPr>
          <a:endParaRPr lang="ja-JP" altLang="en-US" sz="1050" b="0" i="0" u="none" strike="noStrike" baseline="0">
            <a:solidFill>
              <a:srgbClr val="000000"/>
            </a:solidFill>
            <a:latin typeface="Times New Roman"/>
            <a:cs typeface="Times New Roman"/>
          </a:endParaRPr>
        </a:p>
      </xdr:txBody>
    </xdr:sp>
    <xdr:clientData/>
  </xdr:twoCellAnchor>
  <xdr:oneCellAnchor>
    <xdr:from>
      <xdr:col>8</xdr:col>
      <xdr:colOff>66674</xdr:colOff>
      <xdr:row>12</xdr:row>
      <xdr:rowOff>219075</xdr:rowOff>
    </xdr:from>
    <xdr:ext cx="285751" cy="371476"/>
    <xdr:pic>
      <xdr:nvPicPr>
        <xdr:cNvPr id="6" name="図 5">
          <a:extLst>
            <a:ext uri="{FF2B5EF4-FFF2-40B4-BE49-F238E27FC236}">
              <a16:creationId xmlns:a16="http://schemas.microsoft.com/office/drawing/2014/main" id="{00000000-0008-0000-00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38799" y="2314575"/>
          <a:ext cx="285751" cy="371476"/>
        </a:xfrm>
        <a:prstGeom prst="rect">
          <a:avLst/>
        </a:prstGeom>
      </xdr:spPr>
    </xdr:pic>
    <xdr:clientData/>
  </xdr:oneCellAnchor>
  <xdr:twoCellAnchor editAs="oneCell">
    <xdr:from>
      <xdr:col>9</xdr:col>
      <xdr:colOff>30163</xdr:colOff>
      <xdr:row>12</xdr:row>
      <xdr:rowOff>244475</xdr:rowOff>
    </xdr:from>
    <xdr:to>
      <xdr:col>9</xdr:col>
      <xdr:colOff>390163</xdr:colOff>
      <xdr:row>12</xdr:row>
      <xdr:rowOff>604475</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30913" y="2339975"/>
          <a:ext cx="360000" cy="360000"/>
        </a:xfrm>
        <a:prstGeom prst="rect">
          <a:avLst/>
        </a:prstGeom>
      </xdr:spPr>
    </xdr:pic>
    <xdr:clientData/>
  </xdr:twoCellAnchor>
  <xdr:twoCellAnchor editAs="oneCell">
    <xdr:from>
      <xdr:col>7</xdr:col>
      <xdr:colOff>152400</xdr:colOff>
      <xdr:row>12</xdr:row>
      <xdr:rowOff>136525</xdr:rowOff>
    </xdr:from>
    <xdr:to>
      <xdr:col>7</xdr:col>
      <xdr:colOff>692150</xdr:colOff>
      <xdr:row>12</xdr:row>
      <xdr:rowOff>654050</xdr:rowOff>
    </xdr:to>
    <xdr:pic>
      <xdr:nvPicPr>
        <xdr:cNvPr id="8" name="図 7">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914900" y="2232025"/>
          <a:ext cx="539750" cy="517525"/>
        </a:xfrm>
        <a:prstGeom prst="rect">
          <a:avLst/>
        </a:prstGeom>
      </xdr:spPr>
    </xdr:pic>
    <xdr:clientData/>
  </xdr:twoCellAnchor>
  <xdr:twoCellAnchor editAs="oneCell">
    <xdr:from>
      <xdr:col>6</xdr:col>
      <xdr:colOff>180974</xdr:colOff>
      <xdr:row>12</xdr:row>
      <xdr:rowOff>152400</xdr:rowOff>
    </xdr:from>
    <xdr:to>
      <xdr:col>6</xdr:col>
      <xdr:colOff>712787</xdr:colOff>
      <xdr:row>12</xdr:row>
      <xdr:rowOff>679450</xdr:rowOff>
    </xdr:to>
    <xdr:pic>
      <xdr:nvPicPr>
        <xdr:cNvPr id="9" name="図 8">
          <a:extLst>
            <a:ext uri="{FF2B5EF4-FFF2-40B4-BE49-F238E27FC236}">
              <a16:creationId xmlns:a16="http://schemas.microsoft.com/office/drawing/2014/main" id="{00000000-0008-0000-0000-000009000000}"/>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33849" y="2247900"/>
          <a:ext cx="531813" cy="527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247651</xdr:colOff>
      <xdr:row>9</xdr:row>
      <xdr:rowOff>0</xdr:rowOff>
    </xdr:from>
    <xdr:to>
      <xdr:col>6</xdr:col>
      <xdr:colOff>619125</xdr:colOff>
      <xdr:row>25</xdr:row>
      <xdr:rowOff>161925</xdr:rowOff>
    </xdr:to>
    <xdr:grpSp>
      <xdr:nvGrpSpPr>
        <xdr:cNvPr id="2" name="グループ化 1">
          <a:extLst>
            <a:ext uri="{FF2B5EF4-FFF2-40B4-BE49-F238E27FC236}">
              <a16:creationId xmlns:a16="http://schemas.microsoft.com/office/drawing/2014/main" id="{00000000-0008-0000-0300-000002000000}"/>
            </a:ext>
          </a:extLst>
        </xdr:cNvPr>
        <xdr:cNvGrpSpPr/>
      </xdr:nvGrpSpPr>
      <xdr:grpSpPr>
        <a:xfrm>
          <a:off x="247651" y="1800225"/>
          <a:ext cx="3638549" cy="3276600"/>
          <a:chOff x="516471" y="687043"/>
          <a:chExt cx="5812620" cy="4474352"/>
        </a:xfrm>
      </xdr:grpSpPr>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516471" y="687043"/>
            <a:ext cx="5812620" cy="4474352"/>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4" name="正方形/長方形 3">
            <a:extLst>
              <a:ext uri="{FF2B5EF4-FFF2-40B4-BE49-F238E27FC236}">
                <a16:creationId xmlns:a16="http://schemas.microsoft.com/office/drawing/2014/main" id="{00000000-0008-0000-0300-000004000000}"/>
              </a:ext>
            </a:extLst>
          </xdr:cNvPr>
          <xdr:cNvSpPr/>
        </xdr:nvSpPr>
        <xdr:spPr>
          <a:xfrm>
            <a:off x="2700885" y="2732560"/>
            <a:ext cx="3063368" cy="317923"/>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grpSp>
        <xdr:nvGrpSpPr>
          <xdr:cNvPr id="5" name="グループ化 4">
            <a:extLst>
              <a:ext uri="{FF2B5EF4-FFF2-40B4-BE49-F238E27FC236}">
                <a16:creationId xmlns:a16="http://schemas.microsoft.com/office/drawing/2014/main" id="{00000000-0008-0000-0300-000005000000}"/>
              </a:ext>
            </a:extLst>
          </xdr:cNvPr>
          <xdr:cNvGrpSpPr/>
        </xdr:nvGrpSpPr>
        <xdr:grpSpPr>
          <a:xfrm>
            <a:off x="3707863" y="1480976"/>
            <a:ext cx="1131630" cy="1354787"/>
            <a:chOff x="2355160" y="975139"/>
            <a:chExt cx="1136788" cy="1169228"/>
          </a:xfrm>
        </xdr:grpSpPr>
        <xdr:sp macro="" textlink="">
          <xdr:nvSpPr>
            <xdr:cNvPr id="25" name="正方形/長方形 24">
              <a:extLst>
                <a:ext uri="{FF2B5EF4-FFF2-40B4-BE49-F238E27FC236}">
                  <a16:creationId xmlns:a16="http://schemas.microsoft.com/office/drawing/2014/main" id="{00000000-0008-0000-0300-000019000000}"/>
                </a:ext>
              </a:extLst>
            </xdr:cNvPr>
            <xdr:cNvSpPr/>
          </xdr:nvSpPr>
          <xdr:spPr>
            <a:xfrm>
              <a:off x="2355160" y="975139"/>
              <a:ext cx="1136788" cy="68552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kumimoji="1" lang="ja-JP" altLang="en-US" sz="1000">
                  <a:latin typeface="Meiryo UI" panose="020B0604030504040204" pitchFamily="50" charset="-128"/>
                  <a:ea typeface="Meiryo UI" panose="020B0604030504040204" pitchFamily="50" charset="-128"/>
                  <a:cs typeface="Meiryo UI" panose="020B0604030504040204" pitchFamily="50" charset="-128"/>
                </a:rPr>
                <a:t>プライマリ</a:t>
              </a:r>
              <a:endParaRPr kumimoji="1" lang="en-US" altLang="ja-JP" sz="1000">
                <a:latin typeface="Meiryo UI" panose="020B0604030504040204" pitchFamily="50" charset="-128"/>
                <a:ea typeface="Meiryo UI" panose="020B0604030504040204" pitchFamily="50" charset="-128"/>
                <a:cs typeface="Meiryo UI" panose="020B0604030504040204" pitchFamily="50" charset="-128"/>
              </a:endParaRPr>
            </a:p>
            <a:p>
              <a:pPr algn="ctr"/>
              <a:r>
                <a:rPr kumimoji="1" lang="en-US" altLang="ja-JP" sz="1000">
                  <a:latin typeface="Meiryo UI" panose="020B0604030504040204" pitchFamily="50" charset="-128"/>
                  <a:ea typeface="Meiryo UI" panose="020B0604030504040204" pitchFamily="50" charset="-128"/>
                  <a:cs typeface="Meiryo UI" panose="020B0604030504040204" pitchFamily="50" charset="-128"/>
                </a:rPr>
                <a:t>ECU</a:t>
              </a:r>
              <a:endParaRPr kumimoji="1" lang="ja-JP" altLang="en-US" sz="1000">
                <a:latin typeface="Meiryo UI" panose="020B0604030504040204" pitchFamily="50" charset="-128"/>
                <a:ea typeface="Meiryo UI" panose="020B0604030504040204" pitchFamily="50" charset="-128"/>
                <a:cs typeface="Meiryo UI" panose="020B0604030504040204" pitchFamily="50" charset="-128"/>
              </a:endParaRPr>
            </a:p>
          </xdr:txBody>
        </xdr:sp>
        <xdr:cxnSp macro="">
          <xdr:nvCxnSpPr>
            <xdr:cNvPr id="26" name="直線矢印コネクタ 25">
              <a:extLst>
                <a:ext uri="{FF2B5EF4-FFF2-40B4-BE49-F238E27FC236}">
                  <a16:creationId xmlns:a16="http://schemas.microsoft.com/office/drawing/2014/main" id="{00000000-0008-0000-0300-00001A000000}"/>
                </a:ext>
              </a:extLst>
            </xdr:cNvPr>
            <xdr:cNvCxnSpPr/>
          </xdr:nvCxnSpPr>
          <xdr:spPr>
            <a:xfrm>
              <a:off x="2893120" y="1679713"/>
              <a:ext cx="0" cy="464654"/>
            </a:xfrm>
            <a:prstGeom prst="straightConnector1">
              <a:avLst/>
            </a:prstGeom>
            <a:ln w="28575">
              <a:solidFill>
                <a:schemeClr val="accent6"/>
              </a:solidFill>
              <a:tailEnd type="arrow"/>
            </a:ln>
          </xdr:spPr>
          <xdr:style>
            <a:lnRef idx="1">
              <a:schemeClr val="accent6"/>
            </a:lnRef>
            <a:fillRef idx="0">
              <a:schemeClr val="accent6"/>
            </a:fillRef>
            <a:effectRef idx="0">
              <a:schemeClr val="accent6"/>
            </a:effectRef>
            <a:fontRef idx="minor">
              <a:schemeClr val="tx1"/>
            </a:fontRef>
          </xdr:style>
        </xdr:cxnSp>
      </xdr:grpSp>
      <xdr:cxnSp macro="">
        <xdr:nvCxnSpPr>
          <xdr:cNvPr id="6" name="直線コネクタ 5">
            <a:extLst>
              <a:ext uri="{FF2B5EF4-FFF2-40B4-BE49-F238E27FC236}">
                <a16:creationId xmlns:a16="http://schemas.microsoft.com/office/drawing/2014/main" id="{00000000-0008-0000-0300-000006000000}"/>
              </a:ext>
            </a:extLst>
          </xdr:cNvPr>
          <xdr:cNvCxnSpPr/>
        </xdr:nvCxnSpPr>
        <xdr:spPr>
          <a:xfrm>
            <a:off x="2806192" y="2839659"/>
            <a:ext cx="2866024" cy="0"/>
          </a:xfrm>
          <a:prstGeom prst="line">
            <a:avLst/>
          </a:prstGeom>
          <a:ln w="28575">
            <a:solidFill>
              <a:schemeClr val="accent6"/>
            </a:solidFill>
          </a:ln>
        </xdr:spPr>
        <xdr:style>
          <a:lnRef idx="1">
            <a:schemeClr val="accent6"/>
          </a:lnRef>
          <a:fillRef idx="0">
            <a:schemeClr val="accent6"/>
          </a:fillRef>
          <a:effectRef idx="0">
            <a:schemeClr val="accent6"/>
          </a:effectRef>
          <a:fontRef idx="minor">
            <a:schemeClr val="tx1"/>
          </a:fontRef>
        </xdr:style>
      </xdr:cxnSp>
      <xdr:cxnSp macro="">
        <xdr:nvCxnSpPr>
          <xdr:cNvPr id="7" name="直線コネクタ 6">
            <a:extLst>
              <a:ext uri="{FF2B5EF4-FFF2-40B4-BE49-F238E27FC236}">
                <a16:creationId xmlns:a16="http://schemas.microsoft.com/office/drawing/2014/main" id="{00000000-0008-0000-0300-000007000000}"/>
              </a:ext>
            </a:extLst>
          </xdr:cNvPr>
          <xdr:cNvCxnSpPr/>
        </xdr:nvCxnSpPr>
        <xdr:spPr>
          <a:xfrm>
            <a:off x="2814449" y="2956487"/>
            <a:ext cx="2866024" cy="0"/>
          </a:xfrm>
          <a:prstGeom prst="line">
            <a:avLst/>
          </a:prstGeom>
          <a:ln w="28575">
            <a:solidFill>
              <a:srgbClr val="0070C0"/>
            </a:solidFill>
          </a:ln>
        </xdr:spPr>
        <xdr:style>
          <a:lnRef idx="1">
            <a:schemeClr val="accent1"/>
          </a:lnRef>
          <a:fillRef idx="0">
            <a:schemeClr val="accent1"/>
          </a:fillRef>
          <a:effectRef idx="0">
            <a:schemeClr val="accent1"/>
          </a:effectRef>
          <a:fontRef idx="minor">
            <a:schemeClr val="tx1"/>
          </a:fontRef>
        </xdr:style>
      </xdr:cxnSp>
      <xdr:grpSp>
        <xdr:nvGrpSpPr>
          <xdr:cNvPr id="8" name="グループ化 7">
            <a:extLst>
              <a:ext uri="{FF2B5EF4-FFF2-40B4-BE49-F238E27FC236}">
                <a16:creationId xmlns:a16="http://schemas.microsoft.com/office/drawing/2014/main" id="{00000000-0008-0000-0300-000008000000}"/>
              </a:ext>
            </a:extLst>
          </xdr:cNvPr>
          <xdr:cNvGrpSpPr/>
        </xdr:nvGrpSpPr>
        <xdr:grpSpPr>
          <a:xfrm>
            <a:off x="2911020" y="2834786"/>
            <a:ext cx="1131629" cy="1635882"/>
            <a:chOff x="2341092" y="2143539"/>
            <a:chExt cx="1136788" cy="1412081"/>
          </a:xfrm>
        </xdr:grpSpPr>
        <xdr:sp macro="" textlink="">
          <xdr:nvSpPr>
            <xdr:cNvPr id="22" name="正方形/長方形 21">
              <a:extLst>
                <a:ext uri="{FF2B5EF4-FFF2-40B4-BE49-F238E27FC236}">
                  <a16:creationId xmlns:a16="http://schemas.microsoft.com/office/drawing/2014/main" id="{00000000-0008-0000-0300-000016000000}"/>
                </a:ext>
              </a:extLst>
            </xdr:cNvPr>
            <xdr:cNvSpPr/>
          </xdr:nvSpPr>
          <xdr:spPr>
            <a:xfrm>
              <a:off x="2341092" y="2846537"/>
              <a:ext cx="1136788" cy="70908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lIns="36000" tIns="36000" rIns="36000" bIns="36000" rtlCol="0" anchor="ctr"/>
            <a:lstStyle/>
            <a:p>
              <a:pPr algn="ctr"/>
              <a:r>
                <a:rPr kumimoji="1" lang="ja-JP" altLang="en-US" sz="1000">
                  <a:latin typeface="Meiryo UI" panose="020B0604030504040204" pitchFamily="50" charset="-128"/>
                  <a:ea typeface="Meiryo UI" panose="020B0604030504040204" pitchFamily="50" charset="-128"/>
                  <a:cs typeface="Meiryo UI" panose="020B0604030504040204" pitchFamily="50" charset="-128"/>
                </a:rPr>
                <a:t>セカンダリ</a:t>
              </a:r>
              <a:endParaRPr kumimoji="1" lang="en-US" altLang="ja-JP" sz="1000">
                <a:latin typeface="Meiryo UI" panose="020B0604030504040204" pitchFamily="50" charset="-128"/>
                <a:ea typeface="Meiryo UI" panose="020B0604030504040204" pitchFamily="50" charset="-128"/>
                <a:cs typeface="Meiryo UI" panose="020B0604030504040204" pitchFamily="50" charset="-128"/>
              </a:endParaRPr>
            </a:p>
            <a:p>
              <a:pPr algn="ctr"/>
              <a:r>
                <a:rPr kumimoji="1" lang="ja-JP" altLang="en-US" sz="1000">
                  <a:latin typeface="Meiryo UI" panose="020B0604030504040204" pitchFamily="50" charset="-128"/>
                  <a:ea typeface="Meiryo UI" panose="020B0604030504040204" pitchFamily="50" charset="-128"/>
                  <a:cs typeface="Meiryo UI" panose="020B0604030504040204" pitchFamily="50" charset="-128"/>
                </a:rPr>
                <a:t>送信</a:t>
              </a:r>
              <a:r>
                <a:rPr kumimoji="1" lang="en-US" altLang="ja-JP" sz="1000">
                  <a:latin typeface="Meiryo UI" panose="020B0604030504040204" pitchFamily="50" charset="-128"/>
                  <a:ea typeface="Meiryo UI" panose="020B0604030504040204" pitchFamily="50" charset="-128"/>
                  <a:cs typeface="Meiryo UI" panose="020B0604030504040204" pitchFamily="50" charset="-128"/>
                </a:rPr>
                <a:t>ECU</a:t>
              </a:r>
              <a:endParaRPr kumimoji="1" lang="ja-JP" altLang="en-US" sz="1000">
                <a:latin typeface="Meiryo UI" panose="020B0604030504040204" pitchFamily="50" charset="-128"/>
                <a:ea typeface="Meiryo UI" panose="020B0604030504040204" pitchFamily="50" charset="-128"/>
                <a:cs typeface="Meiryo UI" panose="020B0604030504040204" pitchFamily="50" charset="-128"/>
              </a:endParaRPr>
            </a:p>
          </xdr:txBody>
        </xdr:sp>
        <xdr:cxnSp macro="">
          <xdr:nvCxnSpPr>
            <xdr:cNvPr id="23" name="直線矢印コネクタ 22">
              <a:extLst>
                <a:ext uri="{FF2B5EF4-FFF2-40B4-BE49-F238E27FC236}">
                  <a16:creationId xmlns:a16="http://schemas.microsoft.com/office/drawing/2014/main" id="{00000000-0008-0000-0300-000017000000}"/>
                </a:ext>
              </a:extLst>
            </xdr:cNvPr>
            <xdr:cNvCxnSpPr/>
          </xdr:nvCxnSpPr>
          <xdr:spPr>
            <a:xfrm>
              <a:off x="2794455" y="2143539"/>
              <a:ext cx="0" cy="706606"/>
            </a:xfrm>
            <a:prstGeom prst="straightConnector1">
              <a:avLst/>
            </a:prstGeom>
            <a:ln w="28575">
              <a:solidFill>
                <a:schemeClr val="accent6"/>
              </a:solidFill>
              <a:tailEnd type="arrow"/>
            </a:ln>
          </xdr:spPr>
          <xdr:style>
            <a:lnRef idx="1">
              <a:schemeClr val="accent6"/>
            </a:lnRef>
            <a:fillRef idx="0">
              <a:schemeClr val="accent6"/>
            </a:fillRef>
            <a:effectRef idx="0">
              <a:schemeClr val="accent6"/>
            </a:effectRef>
            <a:fontRef idx="minor">
              <a:schemeClr val="tx1"/>
            </a:fontRef>
          </xdr:style>
        </xdr:cxnSp>
        <xdr:cxnSp macro="">
          <xdr:nvCxnSpPr>
            <xdr:cNvPr id="24" name="直線矢印コネクタ 23">
              <a:extLst>
                <a:ext uri="{FF2B5EF4-FFF2-40B4-BE49-F238E27FC236}">
                  <a16:creationId xmlns:a16="http://schemas.microsoft.com/office/drawing/2014/main" id="{00000000-0008-0000-0300-000018000000}"/>
                </a:ext>
              </a:extLst>
            </xdr:cNvPr>
            <xdr:cNvCxnSpPr/>
          </xdr:nvCxnSpPr>
          <xdr:spPr>
            <a:xfrm>
              <a:off x="3044672" y="2252870"/>
              <a:ext cx="0" cy="588985"/>
            </a:xfrm>
            <a:prstGeom prst="straightConnector1">
              <a:avLst/>
            </a:prstGeom>
            <a:ln w="28575">
              <a:solidFill>
                <a:srgbClr val="0070C0"/>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cxnSp>
      </xdr:grpSp>
      <xdr:grpSp>
        <xdr:nvGrpSpPr>
          <xdr:cNvPr id="9" name="グループ化 8">
            <a:extLst>
              <a:ext uri="{FF2B5EF4-FFF2-40B4-BE49-F238E27FC236}">
                <a16:creationId xmlns:a16="http://schemas.microsoft.com/office/drawing/2014/main" id="{00000000-0008-0000-0300-000009000000}"/>
              </a:ext>
            </a:extLst>
          </xdr:cNvPr>
          <xdr:cNvGrpSpPr/>
        </xdr:nvGrpSpPr>
        <xdr:grpSpPr>
          <a:xfrm>
            <a:off x="4458805" y="2844528"/>
            <a:ext cx="1131629" cy="1637332"/>
            <a:chOff x="2331553" y="2143539"/>
            <a:chExt cx="1136788" cy="1413325"/>
          </a:xfrm>
        </xdr:grpSpPr>
        <xdr:sp macro="" textlink="">
          <xdr:nvSpPr>
            <xdr:cNvPr id="19" name="正方形/長方形 18">
              <a:extLst>
                <a:ext uri="{FF2B5EF4-FFF2-40B4-BE49-F238E27FC236}">
                  <a16:creationId xmlns:a16="http://schemas.microsoft.com/office/drawing/2014/main" id="{00000000-0008-0000-0300-000013000000}"/>
                </a:ext>
              </a:extLst>
            </xdr:cNvPr>
            <xdr:cNvSpPr/>
          </xdr:nvSpPr>
          <xdr:spPr>
            <a:xfrm>
              <a:off x="2331553" y="2854811"/>
              <a:ext cx="1136788" cy="702053"/>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lIns="36000" tIns="36000" rIns="36000" bIns="36000" rtlCol="0" anchor="ctr"/>
            <a:lstStyle/>
            <a:p>
              <a:pPr algn="ctr"/>
              <a:r>
                <a:rPr kumimoji="1" lang="ja-JP" altLang="en-US" sz="1000">
                  <a:latin typeface="Meiryo UI" panose="020B0604030504040204" pitchFamily="50" charset="-128"/>
                  <a:ea typeface="Meiryo UI" panose="020B0604030504040204" pitchFamily="50" charset="-128"/>
                  <a:cs typeface="Meiryo UI" panose="020B0604030504040204" pitchFamily="50" charset="-128"/>
                </a:rPr>
                <a:t>セカンダリ</a:t>
              </a:r>
              <a:endParaRPr kumimoji="1" lang="en-US" altLang="ja-JP" sz="1000">
                <a:latin typeface="Meiryo UI" panose="020B0604030504040204" pitchFamily="50" charset="-128"/>
                <a:ea typeface="Meiryo UI" panose="020B0604030504040204" pitchFamily="50" charset="-128"/>
                <a:cs typeface="Meiryo UI" panose="020B0604030504040204" pitchFamily="50" charset="-128"/>
              </a:endParaRPr>
            </a:p>
            <a:p>
              <a:pPr algn="ctr"/>
              <a:r>
                <a:rPr kumimoji="1" lang="ja-JP" altLang="en-US" sz="1000">
                  <a:latin typeface="Meiryo UI" panose="020B0604030504040204" pitchFamily="50" charset="-128"/>
                  <a:ea typeface="Meiryo UI" panose="020B0604030504040204" pitchFamily="50" charset="-128"/>
                  <a:cs typeface="Meiryo UI" panose="020B0604030504040204" pitchFamily="50" charset="-128"/>
                </a:rPr>
                <a:t>受信</a:t>
              </a:r>
              <a:r>
                <a:rPr kumimoji="1" lang="en-US" altLang="ja-JP" sz="1000">
                  <a:latin typeface="Meiryo UI" panose="020B0604030504040204" pitchFamily="50" charset="-128"/>
                  <a:ea typeface="Meiryo UI" panose="020B0604030504040204" pitchFamily="50" charset="-128"/>
                  <a:cs typeface="Meiryo UI" panose="020B0604030504040204" pitchFamily="50" charset="-128"/>
                </a:rPr>
                <a:t>ECU</a:t>
              </a:r>
              <a:endParaRPr kumimoji="1" lang="ja-JP" altLang="en-US" sz="1000">
                <a:latin typeface="Meiryo UI" panose="020B0604030504040204" pitchFamily="50" charset="-128"/>
                <a:ea typeface="Meiryo UI" panose="020B0604030504040204" pitchFamily="50" charset="-128"/>
                <a:cs typeface="Meiryo UI" panose="020B0604030504040204" pitchFamily="50" charset="-128"/>
              </a:endParaRPr>
            </a:p>
          </xdr:txBody>
        </xdr:sp>
        <xdr:cxnSp macro="">
          <xdr:nvCxnSpPr>
            <xdr:cNvPr id="20" name="直線矢印コネクタ 19">
              <a:extLst>
                <a:ext uri="{FF2B5EF4-FFF2-40B4-BE49-F238E27FC236}">
                  <a16:creationId xmlns:a16="http://schemas.microsoft.com/office/drawing/2014/main" id="{00000000-0008-0000-0300-000014000000}"/>
                </a:ext>
              </a:extLst>
            </xdr:cNvPr>
            <xdr:cNvCxnSpPr/>
          </xdr:nvCxnSpPr>
          <xdr:spPr>
            <a:xfrm>
              <a:off x="2727450" y="2143539"/>
              <a:ext cx="0" cy="714773"/>
            </a:xfrm>
            <a:prstGeom prst="straightConnector1">
              <a:avLst/>
            </a:prstGeom>
            <a:ln w="28575">
              <a:solidFill>
                <a:schemeClr val="accent6"/>
              </a:solidFill>
              <a:tailEnd type="arrow"/>
            </a:ln>
          </xdr:spPr>
          <xdr:style>
            <a:lnRef idx="1">
              <a:schemeClr val="accent6"/>
            </a:lnRef>
            <a:fillRef idx="0">
              <a:schemeClr val="accent6"/>
            </a:fillRef>
            <a:effectRef idx="0">
              <a:schemeClr val="accent6"/>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300-000015000000}"/>
                </a:ext>
              </a:extLst>
            </xdr:cNvPr>
            <xdr:cNvCxnSpPr/>
          </xdr:nvCxnSpPr>
          <xdr:spPr>
            <a:xfrm>
              <a:off x="3008072" y="2244587"/>
              <a:ext cx="0" cy="622015"/>
            </a:xfrm>
            <a:prstGeom prst="straightConnector1">
              <a:avLst/>
            </a:prstGeom>
            <a:ln w="28575">
              <a:solidFill>
                <a:srgbClr val="0070C0"/>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grpSp>
      <xdr:sp macro="" textlink="">
        <xdr:nvSpPr>
          <xdr:cNvPr id="10" name="正方形/長方形 9">
            <a:extLst>
              <a:ext uri="{FF2B5EF4-FFF2-40B4-BE49-F238E27FC236}">
                <a16:creationId xmlns:a16="http://schemas.microsoft.com/office/drawing/2014/main" id="{00000000-0008-0000-0300-00000A000000}"/>
              </a:ext>
            </a:extLst>
          </xdr:cNvPr>
          <xdr:cNvSpPr/>
        </xdr:nvSpPr>
        <xdr:spPr>
          <a:xfrm>
            <a:off x="5227964" y="2340204"/>
            <a:ext cx="943805" cy="4244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CAN</a:t>
            </a:r>
            <a:r>
              <a:rPr kumimoji="1" lang="ja-JP" altLang="en-US"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バス</a:t>
            </a:r>
            <a:endParaRPr kumimoji="1" lang="ja-JP" altLang="en-US" sz="105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xnSp macro="">
        <xdr:nvCxnSpPr>
          <xdr:cNvPr id="11" name="カギ線コネクタ 78">
            <a:extLst>
              <a:ext uri="{FF2B5EF4-FFF2-40B4-BE49-F238E27FC236}">
                <a16:creationId xmlns:a16="http://schemas.microsoft.com/office/drawing/2014/main" id="{00000000-0008-0000-0300-00000B000000}"/>
              </a:ext>
            </a:extLst>
          </xdr:cNvPr>
          <xdr:cNvCxnSpPr>
            <a:stCxn id="18" idx="2"/>
            <a:endCxn id="4" idx="1"/>
          </xdr:cNvCxnSpPr>
        </xdr:nvCxnSpPr>
        <xdr:spPr>
          <a:xfrm flipV="1">
            <a:off x="1964742" y="2891522"/>
            <a:ext cx="736142" cy="77247"/>
          </a:xfrm>
          <a:prstGeom prst="bentConnector3">
            <a:avLst/>
          </a:prstGeom>
          <a:ln w="28575">
            <a:headEnd type="arrow" w="med" len="med"/>
            <a:tailEnd type="none" w="med" len="med"/>
          </a:ln>
        </xdr:spPr>
        <xdr:style>
          <a:lnRef idx="1">
            <a:schemeClr val="dk1"/>
          </a:lnRef>
          <a:fillRef idx="0">
            <a:schemeClr val="dk1"/>
          </a:fillRef>
          <a:effectRef idx="0">
            <a:schemeClr val="dk1"/>
          </a:effectRef>
          <a:fontRef idx="minor">
            <a:schemeClr val="tx1"/>
          </a:fontRef>
        </xdr:style>
      </xdr:cxnSp>
      <xdr:grpSp>
        <xdr:nvGrpSpPr>
          <xdr:cNvPr id="12" name="グループ化 11">
            <a:extLst>
              <a:ext uri="{FF2B5EF4-FFF2-40B4-BE49-F238E27FC236}">
                <a16:creationId xmlns:a16="http://schemas.microsoft.com/office/drawing/2014/main" id="{00000000-0008-0000-0300-00000C000000}"/>
              </a:ext>
            </a:extLst>
          </xdr:cNvPr>
          <xdr:cNvGrpSpPr/>
        </xdr:nvGrpSpPr>
        <xdr:grpSpPr>
          <a:xfrm>
            <a:off x="866070" y="2025691"/>
            <a:ext cx="1204382" cy="1103592"/>
            <a:chOff x="644715" y="1654017"/>
            <a:chExt cx="1208109" cy="938834"/>
          </a:xfrm>
        </xdr:grpSpPr>
        <xdr:grpSp>
          <xdr:nvGrpSpPr>
            <xdr:cNvPr id="15" name="グループ化 14">
              <a:extLst>
                <a:ext uri="{FF2B5EF4-FFF2-40B4-BE49-F238E27FC236}">
                  <a16:creationId xmlns:a16="http://schemas.microsoft.com/office/drawing/2014/main" id="{00000000-0008-0000-0300-00000F000000}"/>
                </a:ext>
              </a:extLst>
            </xdr:cNvPr>
            <xdr:cNvGrpSpPr/>
          </xdr:nvGrpSpPr>
          <xdr:grpSpPr>
            <a:xfrm>
              <a:off x="644715" y="1654017"/>
              <a:ext cx="1208109" cy="938834"/>
              <a:chOff x="668167" y="2132096"/>
              <a:chExt cx="1211987" cy="952894"/>
            </a:xfrm>
          </xdr:grpSpPr>
          <xdr:sp macro="" textlink="">
            <xdr:nvSpPr>
              <xdr:cNvPr id="17" name="フレーム 16">
                <a:extLst>
                  <a:ext uri="{FF2B5EF4-FFF2-40B4-BE49-F238E27FC236}">
                    <a16:creationId xmlns:a16="http://schemas.microsoft.com/office/drawing/2014/main" id="{00000000-0008-0000-0300-000011000000}"/>
                  </a:ext>
                </a:extLst>
              </xdr:cNvPr>
              <xdr:cNvSpPr/>
            </xdr:nvSpPr>
            <xdr:spPr>
              <a:xfrm>
                <a:off x="875111" y="2132096"/>
                <a:ext cx="1005042" cy="667420"/>
              </a:xfrm>
              <a:prstGeom prst="frame">
                <a:avLst>
                  <a:gd name="adj1" fmla="val 640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18" name="平行四辺形 17">
                <a:extLst>
                  <a:ext uri="{FF2B5EF4-FFF2-40B4-BE49-F238E27FC236}">
                    <a16:creationId xmlns:a16="http://schemas.microsoft.com/office/drawing/2014/main" id="{00000000-0008-0000-0300-000012000000}"/>
                  </a:ext>
                </a:extLst>
              </xdr:cNvPr>
              <xdr:cNvSpPr/>
            </xdr:nvSpPr>
            <xdr:spPr>
              <a:xfrm>
                <a:off x="668167" y="2807798"/>
                <a:ext cx="1211987" cy="277192"/>
              </a:xfrm>
              <a:prstGeom prst="parallelogram">
                <a:avLst>
                  <a:gd name="adj" fmla="val 6859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16" name="正方形/長方形 15">
              <a:extLst>
                <a:ext uri="{FF2B5EF4-FFF2-40B4-BE49-F238E27FC236}">
                  <a16:creationId xmlns:a16="http://schemas.microsoft.com/office/drawing/2014/main" id="{00000000-0008-0000-0300-000010000000}"/>
                </a:ext>
              </a:extLst>
            </xdr:cNvPr>
            <xdr:cNvSpPr/>
          </xdr:nvSpPr>
          <xdr:spPr>
            <a:xfrm>
              <a:off x="943826" y="1754230"/>
              <a:ext cx="824892" cy="460634"/>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kumimoji="1" lang="en-US" altLang="ja-JP" sz="900">
                  <a:latin typeface="Meiryo UI" panose="020B0604030504040204" pitchFamily="50" charset="-128"/>
                  <a:ea typeface="Meiryo UI" panose="020B0604030504040204" pitchFamily="50" charset="-128"/>
                  <a:cs typeface="Meiryo UI" panose="020B0604030504040204" pitchFamily="50" charset="-128"/>
                </a:rPr>
                <a:t>CANoe</a:t>
              </a:r>
              <a:endParaRPr kumimoji="1" lang="ja-JP" altLang="en-US" sz="1050">
                <a:latin typeface="Meiryo UI" panose="020B0604030504040204" pitchFamily="50" charset="-128"/>
                <a:ea typeface="Meiryo UI" panose="020B0604030504040204" pitchFamily="50" charset="-128"/>
                <a:cs typeface="Meiryo UI" panose="020B0604030504040204" pitchFamily="50" charset="-128"/>
              </a:endParaRPr>
            </a:p>
          </xdr:txBody>
        </xdr:sp>
      </xdr:grpSp>
      <xdr:sp macro="" textlink="">
        <xdr:nvSpPr>
          <xdr:cNvPr id="13" name="角丸四角形 80">
            <a:extLst>
              <a:ext uri="{FF2B5EF4-FFF2-40B4-BE49-F238E27FC236}">
                <a16:creationId xmlns:a16="http://schemas.microsoft.com/office/drawing/2014/main" id="{00000000-0008-0000-0300-00000D000000}"/>
              </a:ext>
            </a:extLst>
          </xdr:cNvPr>
          <xdr:cNvSpPr/>
        </xdr:nvSpPr>
        <xdr:spPr>
          <a:xfrm>
            <a:off x="698088" y="3267959"/>
            <a:ext cx="1802498" cy="1728735"/>
          </a:xfrm>
          <a:prstGeom prst="roundRect">
            <a:avLst>
              <a:gd name="adj" fmla="val 9260"/>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CAN</a:t>
            </a:r>
            <a:r>
              <a:rPr kumimoji="1" lang="ja-JP"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バス上の送受信</a:t>
            </a: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メッセージ</a:t>
            </a:r>
            <a:r>
              <a:rPr kumimoji="1" lang="ja-JP"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の測定</a:t>
            </a:r>
            <a:endParaRPr kumimoji="1" lang="ja-JP" altLang="en-US" sz="800">
              <a:latin typeface="Meiryo UI" panose="020B0604030504040204" pitchFamily="50" charset="-128"/>
              <a:ea typeface="Meiryo UI" panose="020B0604030504040204" pitchFamily="50" charset="-128"/>
              <a:cs typeface="Meiryo UI" panose="020B0604030504040204" pitchFamily="50" charset="-128"/>
            </a:endParaRPr>
          </a:p>
        </xdr:txBody>
      </xdr:sp>
      <xdr:sp macro="" textlink="">
        <xdr:nvSpPr>
          <xdr:cNvPr id="14" name="角丸四角形 81">
            <a:extLst>
              <a:ext uri="{FF2B5EF4-FFF2-40B4-BE49-F238E27FC236}">
                <a16:creationId xmlns:a16="http://schemas.microsoft.com/office/drawing/2014/main" id="{00000000-0008-0000-0300-00000E000000}"/>
              </a:ext>
            </a:extLst>
          </xdr:cNvPr>
          <xdr:cNvSpPr/>
        </xdr:nvSpPr>
        <xdr:spPr>
          <a:xfrm>
            <a:off x="661146" y="806826"/>
            <a:ext cx="1781735" cy="479931"/>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400" b="1">
                <a:latin typeface="Meiryo UI" panose="020B0604030504040204" pitchFamily="50" charset="-128"/>
                <a:ea typeface="Meiryo UI" panose="020B0604030504040204" pitchFamily="50" charset="-128"/>
                <a:cs typeface="Meiryo UI" panose="020B0604030504040204" pitchFamily="50" charset="-128"/>
              </a:rPr>
              <a:t>TypeA</a:t>
            </a:r>
            <a:endParaRPr kumimoji="1" lang="ja-JP" altLang="en-US" sz="1400" b="1">
              <a:latin typeface="Meiryo UI" panose="020B0604030504040204" pitchFamily="50" charset="-128"/>
              <a:ea typeface="Meiryo UI" panose="020B0604030504040204" pitchFamily="50" charset="-128"/>
              <a:cs typeface="Meiryo UI" panose="020B0604030504040204" pitchFamily="50" charset="-128"/>
            </a:endParaRPr>
          </a:p>
        </xdr:txBody>
      </xdr:sp>
    </xdr:grpSp>
    <xdr:clientData/>
  </xdr:twoCellAnchor>
  <xdr:twoCellAnchor>
    <xdr:from>
      <xdr:col>7</xdr:col>
      <xdr:colOff>180975</xdr:colOff>
      <xdr:row>9</xdr:row>
      <xdr:rowOff>0</xdr:rowOff>
    </xdr:from>
    <xdr:to>
      <xdr:col>13</xdr:col>
      <xdr:colOff>28575</xdr:colOff>
      <xdr:row>25</xdr:row>
      <xdr:rowOff>161924</xdr:rowOff>
    </xdr:to>
    <xdr:grpSp>
      <xdr:nvGrpSpPr>
        <xdr:cNvPr id="27" name="グループ化 26">
          <a:extLst>
            <a:ext uri="{FF2B5EF4-FFF2-40B4-BE49-F238E27FC236}">
              <a16:creationId xmlns:a16="http://schemas.microsoft.com/office/drawing/2014/main" id="{00000000-0008-0000-0300-00001B000000}"/>
            </a:ext>
          </a:extLst>
        </xdr:cNvPr>
        <xdr:cNvGrpSpPr/>
      </xdr:nvGrpSpPr>
      <xdr:grpSpPr>
        <a:xfrm>
          <a:off x="4067175" y="1800225"/>
          <a:ext cx="3448050" cy="3276599"/>
          <a:chOff x="6590059" y="709453"/>
          <a:chExt cx="5793562" cy="4503405"/>
        </a:xfrm>
      </xdr:grpSpPr>
      <xdr:sp macro="" textlink="">
        <xdr:nvSpPr>
          <xdr:cNvPr id="28" name="正方形/長方形 27">
            <a:extLst>
              <a:ext uri="{FF2B5EF4-FFF2-40B4-BE49-F238E27FC236}">
                <a16:creationId xmlns:a16="http://schemas.microsoft.com/office/drawing/2014/main" id="{00000000-0008-0000-0300-00001C000000}"/>
              </a:ext>
            </a:extLst>
          </xdr:cNvPr>
          <xdr:cNvSpPr/>
        </xdr:nvSpPr>
        <xdr:spPr>
          <a:xfrm>
            <a:off x="6590059" y="709453"/>
            <a:ext cx="5793562" cy="4503405"/>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29" name="正方形/長方形 28">
            <a:extLst>
              <a:ext uri="{FF2B5EF4-FFF2-40B4-BE49-F238E27FC236}">
                <a16:creationId xmlns:a16="http://schemas.microsoft.com/office/drawing/2014/main" id="{00000000-0008-0000-0300-00001D000000}"/>
              </a:ext>
            </a:extLst>
          </xdr:cNvPr>
          <xdr:cNvSpPr/>
        </xdr:nvSpPr>
        <xdr:spPr>
          <a:xfrm>
            <a:off x="8774473" y="2754970"/>
            <a:ext cx="3063368" cy="402209"/>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xnSp macro="">
        <xdr:nvCxnSpPr>
          <xdr:cNvPr id="30" name="直線コネクタ 29">
            <a:extLst>
              <a:ext uri="{FF2B5EF4-FFF2-40B4-BE49-F238E27FC236}">
                <a16:creationId xmlns:a16="http://schemas.microsoft.com/office/drawing/2014/main" id="{00000000-0008-0000-0300-00001E000000}"/>
              </a:ext>
            </a:extLst>
          </xdr:cNvPr>
          <xdr:cNvCxnSpPr/>
        </xdr:nvCxnSpPr>
        <xdr:spPr>
          <a:xfrm>
            <a:off x="8879780" y="2862070"/>
            <a:ext cx="2866024" cy="0"/>
          </a:xfrm>
          <a:prstGeom prst="line">
            <a:avLst/>
          </a:prstGeom>
          <a:ln w="28575"/>
        </xdr:spPr>
        <xdr:style>
          <a:lnRef idx="1">
            <a:schemeClr val="accent6"/>
          </a:lnRef>
          <a:fillRef idx="0">
            <a:schemeClr val="accent6"/>
          </a:fillRef>
          <a:effectRef idx="0">
            <a:schemeClr val="accent6"/>
          </a:effectRef>
          <a:fontRef idx="minor">
            <a:schemeClr val="tx1"/>
          </a:fontRef>
        </xdr:style>
      </xdr:cxnSp>
      <xdr:cxnSp macro="">
        <xdr:nvCxnSpPr>
          <xdr:cNvPr id="31" name="直線コネクタ 30">
            <a:extLst>
              <a:ext uri="{FF2B5EF4-FFF2-40B4-BE49-F238E27FC236}">
                <a16:creationId xmlns:a16="http://schemas.microsoft.com/office/drawing/2014/main" id="{00000000-0008-0000-0300-00001F000000}"/>
              </a:ext>
            </a:extLst>
          </xdr:cNvPr>
          <xdr:cNvCxnSpPr/>
        </xdr:nvCxnSpPr>
        <xdr:spPr>
          <a:xfrm>
            <a:off x="8888037" y="2978898"/>
            <a:ext cx="2866024" cy="0"/>
          </a:xfrm>
          <a:prstGeom prst="line">
            <a:avLst/>
          </a:prstGeom>
          <a:ln w="28575">
            <a:solidFill>
              <a:srgbClr val="0070C0"/>
            </a:solidFill>
          </a:ln>
        </xdr:spPr>
        <xdr:style>
          <a:lnRef idx="1">
            <a:schemeClr val="accent1"/>
          </a:lnRef>
          <a:fillRef idx="0">
            <a:schemeClr val="accent1"/>
          </a:fillRef>
          <a:effectRef idx="0">
            <a:schemeClr val="accent1"/>
          </a:effectRef>
          <a:fontRef idx="minor">
            <a:schemeClr val="tx1"/>
          </a:fontRef>
        </xdr:style>
      </xdr:cxnSp>
      <xdr:grpSp>
        <xdr:nvGrpSpPr>
          <xdr:cNvPr id="32" name="グループ化 31">
            <a:extLst>
              <a:ext uri="{FF2B5EF4-FFF2-40B4-BE49-F238E27FC236}">
                <a16:creationId xmlns:a16="http://schemas.microsoft.com/office/drawing/2014/main" id="{00000000-0008-0000-0300-000020000000}"/>
              </a:ext>
            </a:extLst>
          </xdr:cNvPr>
          <xdr:cNvGrpSpPr/>
        </xdr:nvGrpSpPr>
        <xdr:grpSpPr>
          <a:xfrm>
            <a:off x="8984608" y="2857196"/>
            <a:ext cx="1131629" cy="1678770"/>
            <a:chOff x="2341092" y="2143539"/>
            <a:chExt cx="1136788" cy="1449102"/>
          </a:xfrm>
        </xdr:grpSpPr>
        <xdr:sp macro="" textlink="">
          <xdr:nvSpPr>
            <xdr:cNvPr id="47" name="正方形/長方形 46">
              <a:extLst>
                <a:ext uri="{FF2B5EF4-FFF2-40B4-BE49-F238E27FC236}">
                  <a16:creationId xmlns:a16="http://schemas.microsoft.com/office/drawing/2014/main" id="{00000000-0008-0000-0300-00002F000000}"/>
                </a:ext>
              </a:extLst>
            </xdr:cNvPr>
            <xdr:cNvSpPr/>
          </xdr:nvSpPr>
          <xdr:spPr>
            <a:xfrm>
              <a:off x="2341092" y="2846537"/>
              <a:ext cx="1136788" cy="74610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lIns="36000" tIns="36000" rIns="36000" bIns="36000" rtlCol="0" anchor="ctr"/>
            <a:lstStyle/>
            <a:p>
              <a:pPr algn="ctr"/>
              <a:r>
                <a:rPr kumimoji="1" lang="ja-JP" altLang="en-US" sz="1000">
                  <a:latin typeface="Meiryo UI" panose="020B0604030504040204" pitchFamily="50" charset="-128"/>
                  <a:ea typeface="Meiryo UI" panose="020B0604030504040204" pitchFamily="50" charset="-128"/>
                  <a:cs typeface="Meiryo UI" panose="020B0604030504040204" pitchFamily="50" charset="-128"/>
                </a:rPr>
                <a:t>セカンダリ</a:t>
              </a:r>
              <a:endParaRPr kumimoji="1" lang="en-US" altLang="ja-JP" sz="1000">
                <a:latin typeface="Meiryo UI" panose="020B0604030504040204" pitchFamily="50" charset="-128"/>
                <a:ea typeface="Meiryo UI" panose="020B0604030504040204" pitchFamily="50" charset="-128"/>
                <a:cs typeface="Meiryo UI" panose="020B0604030504040204" pitchFamily="50" charset="-128"/>
              </a:endParaRPr>
            </a:p>
            <a:p>
              <a:pPr algn="ctr"/>
              <a:r>
                <a:rPr kumimoji="1" lang="ja-JP" altLang="en-US" sz="1000">
                  <a:latin typeface="Meiryo UI" panose="020B0604030504040204" pitchFamily="50" charset="-128"/>
                  <a:ea typeface="Meiryo UI" panose="020B0604030504040204" pitchFamily="50" charset="-128"/>
                  <a:cs typeface="Meiryo UI" panose="020B0604030504040204" pitchFamily="50" charset="-128"/>
                </a:rPr>
                <a:t>送信</a:t>
              </a:r>
              <a:r>
                <a:rPr kumimoji="1" lang="en-US" altLang="ja-JP" sz="1000">
                  <a:latin typeface="Meiryo UI" panose="020B0604030504040204" pitchFamily="50" charset="-128"/>
                  <a:ea typeface="Meiryo UI" panose="020B0604030504040204" pitchFamily="50" charset="-128"/>
                  <a:cs typeface="Meiryo UI" panose="020B0604030504040204" pitchFamily="50" charset="-128"/>
                </a:rPr>
                <a:t>ECU</a:t>
              </a:r>
              <a:endParaRPr kumimoji="1" lang="ja-JP" altLang="en-US" sz="1000">
                <a:latin typeface="Meiryo UI" panose="020B0604030504040204" pitchFamily="50" charset="-128"/>
                <a:ea typeface="Meiryo UI" panose="020B0604030504040204" pitchFamily="50" charset="-128"/>
                <a:cs typeface="Meiryo UI" panose="020B0604030504040204" pitchFamily="50" charset="-128"/>
              </a:endParaRPr>
            </a:p>
          </xdr:txBody>
        </xdr:sp>
        <xdr:cxnSp macro="">
          <xdr:nvCxnSpPr>
            <xdr:cNvPr id="48" name="直線矢印コネクタ 47">
              <a:extLst>
                <a:ext uri="{FF2B5EF4-FFF2-40B4-BE49-F238E27FC236}">
                  <a16:creationId xmlns:a16="http://schemas.microsoft.com/office/drawing/2014/main" id="{00000000-0008-0000-0300-000030000000}"/>
                </a:ext>
              </a:extLst>
            </xdr:cNvPr>
            <xdr:cNvCxnSpPr/>
          </xdr:nvCxnSpPr>
          <xdr:spPr>
            <a:xfrm>
              <a:off x="2727450" y="2143539"/>
              <a:ext cx="0" cy="706606"/>
            </a:xfrm>
            <a:prstGeom prst="straightConnector1">
              <a:avLst/>
            </a:prstGeom>
            <a:ln w="28575">
              <a:tailEnd type="arrow"/>
            </a:ln>
          </xdr:spPr>
          <xdr:style>
            <a:lnRef idx="1">
              <a:schemeClr val="accent6"/>
            </a:lnRef>
            <a:fillRef idx="0">
              <a:schemeClr val="accent6"/>
            </a:fillRef>
            <a:effectRef idx="0">
              <a:schemeClr val="accent6"/>
            </a:effectRef>
            <a:fontRef idx="minor">
              <a:schemeClr val="tx1"/>
            </a:fontRef>
          </xdr:style>
        </xdr:cxnSp>
        <xdr:cxnSp macro="">
          <xdr:nvCxnSpPr>
            <xdr:cNvPr id="49" name="直線矢印コネクタ 48">
              <a:extLst>
                <a:ext uri="{FF2B5EF4-FFF2-40B4-BE49-F238E27FC236}">
                  <a16:creationId xmlns:a16="http://schemas.microsoft.com/office/drawing/2014/main" id="{00000000-0008-0000-0300-000031000000}"/>
                </a:ext>
              </a:extLst>
            </xdr:cNvPr>
            <xdr:cNvCxnSpPr/>
          </xdr:nvCxnSpPr>
          <xdr:spPr>
            <a:xfrm>
              <a:off x="3081277" y="2252870"/>
              <a:ext cx="0" cy="588985"/>
            </a:xfrm>
            <a:prstGeom prst="straightConnector1">
              <a:avLst/>
            </a:prstGeom>
            <a:ln w="28575">
              <a:solidFill>
                <a:srgbClr val="0070C0"/>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cxnSp>
      </xdr:grpSp>
      <xdr:grpSp>
        <xdr:nvGrpSpPr>
          <xdr:cNvPr id="33" name="グループ化 32">
            <a:extLst>
              <a:ext uri="{FF2B5EF4-FFF2-40B4-BE49-F238E27FC236}">
                <a16:creationId xmlns:a16="http://schemas.microsoft.com/office/drawing/2014/main" id="{00000000-0008-0000-0300-000021000000}"/>
              </a:ext>
            </a:extLst>
          </xdr:cNvPr>
          <xdr:cNvGrpSpPr/>
        </xdr:nvGrpSpPr>
        <xdr:grpSpPr>
          <a:xfrm>
            <a:off x="10532393" y="2866939"/>
            <a:ext cx="1131629" cy="1637332"/>
            <a:chOff x="2331553" y="2143539"/>
            <a:chExt cx="1136788" cy="1413325"/>
          </a:xfrm>
        </xdr:grpSpPr>
        <xdr:sp macro="" textlink="">
          <xdr:nvSpPr>
            <xdr:cNvPr id="44" name="正方形/長方形 43">
              <a:extLst>
                <a:ext uri="{FF2B5EF4-FFF2-40B4-BE49-F238E27FC236}">
                  <a16:creationId xmlns:a16="http://schemas.microsoft.com/office/drawing/2014/main" id="{00000000-0008-0000-0300-00002C000000}"/>
                </a:ext>
              </a:extLst>
            </xdr:cNvPr>
            <xdr:cNvSpPr/>
          </xdr:nvSpPr>
          <xdr:spPr>
            <a:xfrm>
              <a:off x="2331553" y="2854811"/>
              <a:ext cx="1136788" cy="702053"/>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lIns="36000" tIns="36000" rIns="36000" bIns="36000" rtlCol="0" anchor="ctr"/>
            <a:lstStyle/>
            <a:p>
              <a:pPr algn="ctr"/>
              <a:r>
                <a:rPr kumimoji="1" lang="ja-JP" altLang="en-US" sz="1000">
                  <a:latin typeface="Meiryo UI" panose="020B0604030504040204" pitchFamily="50" charset="-128"/>
                  <a:ea typeface="Meiryo UI" panose="020B0604030504040204" pitchFamily="50" charset="-128"/>
                  <a:cs typeface="Meiryo UI" panose="020B0604030504040204" pitchFamily="50" charset="-128"/>
                </a:rPr>
                <a:t>セカンダリ</a:t>
              </a:r>
              <a:endParaRPr kumimoji="1" lang="en-US" altLang="ja-JP" sz="1000">
                <a:latin typeface="Meiryo UI" panose="020B0604030504040204" pitchFamily="50" charset="-128"/>
                <a:ea typeface="Meiryo UI" panose="020B0604030504040204" pitchFamily="50" charset="-128"/>
                <a:cs typeface="Meiryo UI" panose="020B0604030504040204" pitchFamily="50" charset="-128"/>
              </a:endParaRPr>
            </a:p>
            <a:p>
              <a:pPr algn="ctr"/>
              <a:r>
                <a:rPr kumimoji="1" lang="ja-JP" altLang="en-US" sz="1000">
                  <a:latin typeface="Meiryo UI" panose="020B0604030504040204" pitchFamily="50" charset="-128"/>
                  <a:ea typeface="Meiryo UI" panose="020B0604030504040204" pitchFamily="50" charset="-128"/>
                  <a:cs typeface="Meiryo UI" panose="020B0604030504040204" pitchFamily="50" charset="-128"/>
                </a:rPr>
                <a:t>受信</a:t>
              </a:r>
              <a:r>
                <a:rPr kumimoji="1" lang="en-US" altLang="ja-JP" sz="1000">
                  <a:latin typeface="Meiryo UI" panose="020B0604030504040204" pitchFamily="50" charset="-128"/>
                  <a:ea typeface="Meiryo UI" panose="020B0604030504040204" pitchFamily="50" charset="-128"/>
                  <a:cs typeface="Meiryo UI" panose="020B0604030504040204" pitchFamily="50" charset="-128"/>
                </a:rPr>
                <a:t>ECU</a:t>
              </a:r>
              <a:endParaRPr kumimoji="1" lang="ja-JP" altLang="en-US" sz="1000">
                <a:latin typeface="Meiryo UI" panose="020B0604030504040204" pitchFamily="50" charset="-128"/>
                <a:ea typeface="Meiryo UI" panose="020B0604030504040204" pitchFamily="50" charset="-128"/>
                <a:cs typeface="Meiryo UI" panose="020B0604030504040204" pitchFamily="50" charset="-128"/>
              </a:endParaRPr>
            </a:p>
          </xdr:txBody>
        </xdr:sp>
        <xdr:cxnSp macro="">
          <xdr:nvCxnSpPr>
            <xdr:cNvPr id="45" name="直線矢印コネクタ 44">
              <a:extLst>
                <a:ext uri="{FF2B5EF4-FFF2-40B4-BE49-F238E27FC236}">
                  <a16:creationId xmlns:a16="http://schemas.microsoft.com/office/drawing/2014/main" id="{00000000-0008-0000-0300-00002D000000}"/>
                </a:ext>
              </a:extLst>
            </xdr:cNvPr>
            <xdr:cNvCxnSpPr/>
          </xdr:nvCxnSpPr>
          <xdr:spPr>
            <a:xfrm>
              <a:off x="2727450" y="2143539"/>
              <a:ext cx="0" cy="714773"/>
            </a:xfrm>
            <a:prstGeom prst="straightConnector1">
              <a:avLst/>
            </a:prstGeom>
            <a:ln w="28575">
              <a:tailEnd type="arrow"/>
            </a:ln>
          </xdr:spPr>
          <xdr:style>
            <a:lnRef idx="1">
              <a:schemeClr val="accent6"/>
            </a:lnRef>
            <a:fillRef idx="0">
              <a:schemeClr val="accent6"/>
            </a:fillRef>
            <a:effectRef idx="0">
              <a:schemeClr val="accent6"/>
            </a:effectRef>
            <a:fontRef idx="minor">
              <a:schemeClr val="tx1"/>
            </a:fontRef>
          </xdr:style>
        </xdr:cxnSp>
        <xdr:cxnSp macro="">
          <xdr:nvCxnSpPr>
            <xdr:cNvPr id="46" name="直線矢印コネクタ 45">
              <a:extLst>
                <a:ext uri="{FF2B5EF4-FFF2-40B4-BE49-F238E27FC236}">
                  <a16:creationId xmlns:a16="http://schemas.microsoft.com/office/drawing/2014/main" id="{00000000-0008-0000-0300-00002E000000}"/>
                </a:ext>
              </a:extLst>
            </xdr:cNvPr>
            <xdr:cNvCxnSpPr/>
          </xdr:nvCxnSpPr>
          <xdr:spPr>
            <a:xfrm>
              <a:off x="3103792" y="2244587"/>
              <a:ext cx="0" cy="622015"/>
            </a:xfrm>
            <a:prstGeom prst="straightConnector1">
              <a:avLst/>
            </a:prstGeom>
            <a:ln w="28575">
              <a:solidFill>
                <a:srgbClr val="0070C0"/>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grpSp>
      <xdr:sp macro="" textlink="">
        <xdr:nvSpPr>
          <xdr:cNvPr id="34" name="正方形/長方形 33">
            <a:extLst>
              <a:ext uri="{FF2B5EF4-FFF2-40B4-BE49-F238E27FC236}">
                <a16:creationId xmlns:a16="http://schemas.microsoft.com/office/drawing/2014/main" id="{00000000-0008-0000-0300-000022000000}"/>
              </a:ext>
            </a:extLst>
          </xdr:cNvPr>
          <xdr:cNvSpPr/>
        </xdr:nvSpPr>
        <xdr:spPr>
          <a:xfrm>
            <a:off x="11222136" y="2340718"/>
            <a:ext cx="1002568" cy="4148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CAN</a:t>
            </a:r>
            <a:r>
              <a:rPr kumimoji="1" lang="ja-JP" altLang="en-US"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バス</a:t>
            </a:r>
          </a:p>
        </xdr:txBody>
      </xdr:sp>
      <xdr:cxnSp macro="">
        <xdr:nvCxnSpPr>
          <xdr:cNvPr id="35" name="カギ線コネクタ 104">
            <a:extLst>
              <a:ext uri="{FF2B5EF4-FFF2-40B4-BE49-F238E27FC236}">
                <a16:creationId xmlns:a16="http://schemas.microsoft.com/office/drawing/2014/main" id="{00000000-0008-0000-0300-000023000000}"/>
              </a:ext>
            </a:extLst>
          </xdr:cNvPr>
          <xdr:cNvCxnSpPr>
            <a:stCxn id="43" idx="2"/>
            <a:endCxn id="29" idx="1"/>
          </xdr:cNvCxnSpPr>
        </xdr:nvCxnSpPr>
        <xdr:spPr>
          <a:xfrm flipV="1">
            <a:off x="8019592" y="2956076"/>
            <a:ext cx="754881" cy="57778"/>
          </a:xfrm>
          <a:prstGeom prst="bentConnector3">
            <a:avLst/>
          </a:prstGeom>
          <a:ln w="28575">
            <a:headEnd type="arrow" w="med" len="med"/>
            <a:tailEnd type="none" w="med" len="med"/>
          </a:ln>
        </xdr:spPr>
        <xdr:style>
          <a:lnRef idx="1">
            <a:schemeClr val="dk1"/>
          </a:lnRef>
          <a:fillRef idx="0">
            <a:schemeClr val="dk1"/>
          </a:fillRef>
          <a:effectRef idx="0">
            <a:schemeClr val="dk1"/>
          </a:effectRef>
          <a:fontRef idx="minor">
            <a:schemeClr val="tx1"/>
          </a:fontRef>
        </xdr:style>
      </xdr:cxnSp>
      <xdr:grpSp>
        <xdr:nvGrpSpPr>
          <xdr:cNvPr id="36" name="グループ化 35">
            <a:extLst>
              <a:ext uri="{FF2B5EF4-FFF2-40B4-BE49-F238E27FC236}">
                <a16:creationId xmlns:a16="http://schemas.microsoft.com/office/drawing/2014/main" id="{00000000-0008-0000-0300-000024000000}"/>
              </a:ext>
            </a:extLst>
          </xdr:cNvPr>
          <xdr:cNvGrpSpPr/>
        </xdr:nvGrpSpPr>
        <xdr:grpSpPr>
          <a:xfrm>
            <a:off x="6891898" y="2055552"/>
            <a:ext cx="1252141" cy="1141494"/>
            <a:chOff x="596806" y="1660354"/>
            <a:chExt cx="1256015" cy="971077"/>
          </a:xfrm>
        </xdr:grpSpPr>
        <xdr:grpSp>
          <xdr:nvGrpSpPr>
            <xdr:cNvPr id="40" name="グループ化 39">
              <a:extLst>
                <a:ext uri="{FF2B5EF4-FFF2-40B4-BE49-F238E27FC236}">
                  <a16:creationId xmlns:a16="http://schemas.microsoft.com/office/drawing/2014/main" id="{00000000-0008-0000-0300-000028000000}"/>
                </a:ext>
              </a:extLst>
            </xdr:cNvPr>
            <xdr:cNvGrpSpPr/>
          </xdr:nvGrpSpPr>
          <xdr:grpSpPr>
            <a:xfrm>
              <a:off x="596806" y="1660354"/>
              <a:ext cx="1256015" cy="971077"/>
              <a:chOff x="620105" y="2138530"/>
              <a:chExt cx="1260048" cy="985620"/>
            </a:xfrm>
          </xdr:grpSpPr>
          <xdr:sp macro="" textlink="">
            <xdr:nvSpPr>
              <xdr:cNvPr id="42" name="フレーム 41">
                <a:extLst>
                  <a:ext uri="{FF2B5EF4-FFF2-40B4-BE49-F238E27FC236}">
                    <a16:creationId xmlns:a16="http://schemas.microsoft.com/office/drawing/2014/main" id="{00000000-0008-0000-0300-00002A000000}"/>
                  </a:ext>
                </a:extLst>
              </xdr:cNvPr>
              <xdr:cNvSpPr/>
            </xdr:nvSpPr>
            <xdr:spPr>
              <a:xfrm>
                <a:off x="877695" y="2138530"/>
                <a:ext cx="1002458" cy="660986"/>
              </a:xfrm>
              <a:prstGeom prst="frame">
                <a:avLst>
                  <a:gd name="adj1" fmla="val 640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43" name="平行四辺形 42">
                <a:extLst>
                  <a:ext uri="{FF2B5EF4-FFF2-40B4-BE49-F238E27FC236}">
                    <a16:creationId xmlns:a16="http://schemas.microsoft.com/office/drawing/2014/main" id="{00000000-0008-0000-0300-00002B000000}"/>
                  </a:ext>
                </a:extLst>
              </xdr:cNvPr>
              <xdr:cNvSpPr/>
            </xdr:nvSpPr>
            <xdr:spPr>
              <a:xfrm>
                <a:off x="620105" y="2807797"/>
                <a:ext cx="1260048" cy="316353"/>
              </a:xfrm>
              <a:prstGeom prst="parallelogram">
                <a:avLst>
                  <a:gd name="adj" fmla="val 6859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1" name="正方形/長方形 40">
              <a:extLst>
                <a:ext uri="{FF2B5EF4-FFF2-40B4-BE49-F238E27FC236}">
                  <a16:creationId xmlns:a16="http://schemas.microsoft.com/office/drawing/2014/main" id="{00000000-0008-0000-0300-000029000000}"/>
                </a:ext>
              </a:extLst>
            </xdr:cNvPr>
            <xdr:cNvSpPr/>
          </xdr:nvSpPr>
          <xdr:spPr>
            <a:xfrm>
              <a:off x="928462" y="1751966"/>
              <a:ext cx="849654" cy="454517"/>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kumimoji="1" lang="en-US" altLang="ja-JP" sz="900">
                  <a:latin typeface="Meiryo UI" panose="020B0604030504040204" pitchFamily="50" charset="-128"/>
                  <a:ea typeface="Meiryo UI" panose="020B0604030504040204" pitchFamily="50" charset="-128"/>
                  <a:cs typeface="Meiryo UI" panose="020B0604030504040204" pitchFamily="50" charset="-128"/>
                </a:rPr>
                <a:t>CANoe</a:t>
              </a:r>
              <a:endParaRPr kumimoji="1" lang="ja-JP" altLang="en-US" sz="900">
                <a:latin typeface="Meiryo UI" panose="020B0604030504040204" pitchFamily="50" charset="-128"/>
                <a:ea typeface="Meiryo UI" panose="020B0604030504040204" pitchFamily="50" charset="-128"/>
                <a:cs typeface="Meiryo UI" panose="020B0604030504040204" pitchFamily="50" charset="-128"/>
              </a:endParaRPr>
            </a:p>
          </xdr:txBody>
        </xdr:sp>
      </xdr:grpSp>
      <xdr:sp macro="" textlink="">
        <xdr:nvSpPr>
          <xdr:cNvPr id="37" name="角丸四角形 106">
            <a:extLst>
              <a:ext uri="{FF2B5EF4-FFF2-40B4-BE49-F238E27FC236}">
                <a16:creationId xmlns:a16="http://schemas.microsoft.com/office/drawing/2014/main" id="{00000000-0008-0000-0300-000025000000}"/>
              </a:ext>
            </a:extLst>
          </xdr:cNvPr>
          <xdr:cNvSpPr/>
        </xdr:nvSpPr>
        <xdr:spPr>
          <a:xfrm>
            <a:off x="6781205" y="3339623"/>
            <a:ext cx="1802498" cy="1735094"/>
          </a:xfrm>
          <a:prstGeom prst="roundRect">
            <a:avLst>
              <a:gd name="adj" fmla="val 9260"/>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プライマリ</a:t>
            </a: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ECU</a:t>
            </a: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の代替</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CAN</a:t>
            </a:r>
            <a:r>
              <a:rPr kumimoji="1" lang="ja-JP"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バス上の送受信</a:t>
            </a: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メッセージ</a:t>
            </a:r>
            <a:r>
              <a:rPr kumimoji="1" lang="ja-JP"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の測定</a:t>
            </a:r>
            <a:endParaRPr kumimoji="1" lang="ja-JP" altLang="en-US" sz="800">
              <a:latin typeface="Meiryo UI" panose="020B0604030504040204" pitchFamily="50" charset="-128"/>
              <a:ea typeface="Meiryo UI" panose="020B0604030504040204" pitchFamily="50" charset="-128"/>
              <a:cs typeface="Meiryo UI" panose="020B0604030504040204" pitchFamily="50" charset="-128"/>
            </a:endParaRPr>
          </a:p>
        </xdr:txBody>
      </xdr:sp>
      <xdr:sp macro="" textlink="">
        <xdr:nvSpPr>
          <xdr:cNvPr id="38" name="角丸四角形 107">
            <a:extLst>
              <a:ext uri="{FF2B5EF4-FFF2-40B4-BE49-F238E27FC236}">
                <a16:creationId xmlns:a16="http://schemas.microsoft.com/office/drawing/2014/main" id="{00000000-0008-0000-0300-000026000000}"/>
              </a:ext>
            </a:extLst>
          </xdr:cNvPr>
          <xdr:cNvSpPr/>
        </xdr:nvSpPr>
        <xdr:spPr>
          <a:xfrm>
            <a:off x="6734734" y="829236"/>
            <a:ext cx="1781735" cy="493058"/>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400" b="1">
                <a:latin typeface="Meiryo UI" panose="020B0604030504040204" pitchFamily="50" charset="-128"/>
                <a:ea typeface="Meiryo UI" panose="020B0604030504040204" pitchFamily="50" charset="-128"/>
                <a:cs typeface="Meiryo UI" panose="020B0604030504040204" pitchFamily="50" charset="-128"/>
              </a:rPr>
              <a:t>TypeB</a:t>
            </a:r>
            <a:endParaRPr kumimoji="1" lang="ja-JP" altLang="en-US" sz="1400" b="1">
              <a:latin typeface="Meiryo UI" panose="020B0604030504040204" pitchFamily="50" charset="-128"/>
              <a:ea typeface="Meiryo UI" panose="020B0604030504040204" pitchFamily="50" charset="-128"/>
              <a:cs typeface="Meiryo UI" panose="020B0604030504040204" pitchFamily="50" charset="-128"/>
            </a:endParaRPr>
          </a:p>
        </xdr:txBody>
      </xdr:sp>
      <xdr:cxnSp macro="">
        <xdr:nvCxnSpPr>
          <xdr:cNvPr id="39" name="カギ線コネクタ 108">
            <a:extLst>
              <a:ext uri="{FF2B5EF4-FFF2-40B4-BE49-F238E27FC236}">
                <a16:creationId xmlns:a16="http://schemas.microsoft.com/office/drawing/2014/main" id="{00000000-0008-0000-0300-000027000000}"/>
              </a:ext>
            </a:extLst>
          </xdr:cNvPr>
          <xdr:cNvCxnSpPr>
            <a:endCxn id="42" idx="3"/>
          </xdr:cNvCxnSpPr>
        </xdr:nvCxnSpPr>
        <xdr:spPr>
          <a:xfrm rot="10800000">
            <a:off x="8144039" y="2438314"/>
            <a:ext cx="876697" cy="407990"/>
          </a:xfrm>
          <a:prstGeom prst="bentConnector3">
            <a:avLst>
              <a:gd name="adj1" fmla="val 50000"/>
            </a:avLst>
          </a:prstGeom>
          <a:ln w="28575">
            <a:headEnd type="arrow" w="med" len="med"/>
            <a:tailEnd type="none" w="med" len="med"/>
          </a:ln>
        </xdr:spPr>
        <xdr:style>
          <a:lnRef idx="1">
            <a:schemeClr val="accent6"/>
          </a:lnRef>
          <a:fillRef idx="0">
            <a:schemeClr val="accent6"/>
          </a:fillRef>
          <a:effectRef idx="0">
            <a:schemeClr val="accent6"/>
          </a:effectRef>
          <a:fontRef idx="minor">
            <a:schemeClr val="tx1"/>
          </a:fontRef>
        </xdr:style>
      </xdr:cxnSp>
    </xdr:grpSp>
    <xdr:clientData/>
  </xdr:twoCellAnchor>
  <xdr:twoCellAnchor>
    <xdr:from>
      <xdr:col>13</xdr:col>
      <xdr:colOff>266700</xdr:colOff>
      <xdr:row>9</xdr:row>
      <xdr:rowOff>0</xdr:rowOff>
    </xdr:from>
    <xdr:to>
      <xdr:col>19</xdr:col>
      <xdr:colOff>276225</xdr:colOff>
      <xdr:row>25</xdr:row>
      <xdr:rowOff>161925</xdr:rowOff>
    </xdr:to>
    <xdr:grpSp>
      <xdr:nvGrpSpPr>
        <xdr:cNvPr id="50" name="グループ化 49">
          <a:extLst>
            <a:ext uri="{FF2B5EF4-FFF2-40B4-BE49-F238E27FC236}">
              <a16:creationId xmlns:a16="http://schemas.microsoft.com/office/drawing/2014/main" id="{00000000-0008-0000-0300-000032000000}"/>
            </a:ext>
          </a:extLst>
        </xdr:cNvPr>
        <xdr:cNvGrpSpPr/>
      </xdr:nvGrpSpPr>
      <xdr:grpSpPr>
        <a:xfrm>
          <a:off x="7753350" y="1800225"/>
          <a:ext cx="3609975" cy="3276600"/>
          <a:chOff x="11988215" y="5025034"/>
          <a:chExt cx="5918785" cy="4822254"/>
        </a:xfrm>
      </xdr:grpSpPr>
      <xdr:sp macro="" textlink="">
        <xdr:nvSpPr>
          <xdr:cNvPr id="51" name="正方形/長方形 50">
            <a:extLst>
              <a:ext uri="{FF2B5EF4-FFF2-40B4-BE49-F238E27FC236}">
                <a16:creationId xmlns:a16="http://schemas.microsoft.com/office/drawing/2014/main" id="{00000000-0008-0000-0300-000033000000}"/>
              </a:ext>
            </a:extLst>
          </xdr:cNvPr>
          <xdr:cNvSpPr/>
        </xdr:nvSpPr>
        <xdr:spPr>
          <a:xfrm>
            <a:off x="11988215" y="5025034"/>
            <a:ext cx="5918785" cy="482225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52" name="正方形/長方形 51">
            <a:extLst>
              <a:ext uri="{FF2B5EF4-FFF2-40B4-BE49-F238E27FC236}">
                <a16:creationId xmlns:a16="http://schemas.microsoft.com/office/drawing/2014/main" id="{00000000-0008-0000-0300-000034000000}"/>
              </a:ext>
            </a:extLst>
          </xdr:cNvPr>
          <xdr:cNvSpPr/>
        </xdr:nvSpPr>
        <xdr:spPr>
          <a:xfrm>
            <a:off x="14219928" y="6907727"/>
            <a:ext cx="3130769" cy="42376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xnSp macro="">
        <xdr:nvCxnSpPr>
          <xdr:cNvPr id="53" name="直線コネクタ 52">
            <a:extLst>
              <a:ext uri="{FF2B5EF4-FFF2-40B4-BE49-F238E27FC236}">
                <a16:creationId xmlns:a16="http://schemas.microsoft.com/office/drawing/2014/main" id="{00000000-0008-0000-0300-000035000000}"/>
              </a:ext>
            </a:extLst>
          </xdr:cNvPr>
          <xdr:cNvCxnSpPr/>
        </xdr:nvCxnSpPr>
        <xdr:spPr>
          <a:xfrm>
            <a:off x="14284548" y="6983062"/>
            <a:ext cx="2927751" cy="0"/>
          </a:xfrm>
          <a:prstGeom prst="line">
            <a:avLst/>
          </a:prstGeom>
          <a:ln w="28575"/>
        </xdr:spPr>
        <xdr:style>
          <a:lnRef idx="1">
            <a:schemeClr val="accent6"/>
          </a:lnRef>
          <a:fillRef idx="0">
            <a:schemeClr val="accent6"/>
          </a:fillRef>
          <a:effectRef idx="0">
            <a:schemeClr val="accent6"/>
          </a:effectRef>
          <a:fontRef idx="minor">
            <a:schemeClr val="tx1"/>
          </a:fontRef>
        </xdr:style>
      </xdr:cxnSp>
      <xdr:cxnSp macro="">
        <xdr:nvCxnSpPr>
          <xdr:cNvPr id="54" name="直線コネクタ 53">
            <a:extLst>
              <a:ext uri="{FF2B5EF4-FFF2-40B4-BE49-F238E27FC236}">
                <a16:creationId xmlns:a16="http://schemas.microsoft.com/office/drawing/2014/main" id="{00000000-0008-0000-0300-000036000000}"/>
              </a:ext>
            </a:extLst>
          </xdr:cNvPr>
          <xdr:cNvCxnSpPr/>
        </xdr:nvCxnSpPr>
        <xdr:spPr>
          <a:xfrm>
            <a:off x="14287577" y="7116922"/>
            <a:ext cx="2927751" cy="0"/>
          </a:xfrm>
          <a:prstGeom prst="line">
            <a:avLst/>
          </a:prstGeom>
          <a:ln w="28575">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55" name="正方形/長方形 54">
            <a:extLst>
              <a:ext uri="{FF2B5EF4-FFF2-40B4-BE49-F238E27FC236}">
                <a16:creationId xmlns:a16="http://schemas.microsoft.com/office/drawing/2014/main" id="{00000000-0008-0000-0300-000037000000}"/>
              </a:ext>
            </a:extLst>
          </xdr:cNvPr>
          <xdr:cNvSpPr/>
        </xdr:nvSpPr>
        <xdr:spPr>
          <a:xfrm>
            <a:off x="16012883" y="7750228"/>
            <a:ext cx="1158999" cy="898892"/>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lIns="36000" tIns="36000" rIns="36000" bIns="36000" rtlCol="0" anchor="ctr"/>
          <a:lstStyle/>
          <a:p>
            <a:pPr algn="ctr"/>
            <a:r>
              <a:rPr kumimoji="1" lang="ja-JP" altLang="en-US" sz="1050">
                <a:latin typeface="Meiryo UI" panose="020B0604030504040204" pitchFamily="50" charset="-128"/>
                <a:ea typeface="Meiryo UI" panose="020B0604030504040204" pitchFamily="50" charset="-128"/>
                <a:cs typeface="Meiryo UI" panose="020B0604030504040204" pitchFamily="50" charset="-128"/>
              </a:rPr>
              <a:t>セカンダリ</a:t>
            </a:r>
            <a:endParaRPr kumimoji="1" lang="en-US" altLang="ja-JP" sz="1050">
              <a:latin typeface="Meiryo UI" panose="020B0604030504040204" pitchFamily="50" charset="-128"/>
              <a:ea typeface="Meiryo UI" panose="020B0604030504040204" pitchFamily="50" charset="-128"/>
              <a:cs typeface="Meiryo UI" panose="020B0604030504040204" pitchFamily="50" charset="-128"/>
            </a:endParaRPr>
          </a:p>
          <a:p>
            <a:pPr algn="ctr"/>
            <a:r>
              <a:rPr kumimoji="1" lang="ja-JP" altLang="en-US" sz="1050">
                <a:latin typeface="Meiryo UI" panose="020B0604030504040204" pitchFamily="50" charset="-128"/>
                <a:ea typeface="Meiryo UI" panose="020B0604030504040204" pitchFamily="50" charset="-128"/>
                <a:cs typeface="Meiryo UI" panose="020B0604030504040204" pitchFamily="50" charset="-128"/>
              </a:rPr>
              <a:t>受信</a:t>
            </a:r>
            <a:r>
              <a:rPr kumimoji="1" lang="en-US" altLang="ja-JP" sz="1050">
                <a:latin typeface="Meiryo UI" panose="020B0604030504040204" pitchFamily="50" charset="-128"/>
                <a:ea typeface="Meiryo UI" panose="020B0604030504040204" pitchFamily="50" charset="-128"/>
                <a:cs typeface="Meiryo UI" panose="020B0604030504040204" pitchFamily="50" charset="-128"/>
              </a:rPr>
              <a:t>ECU</a:t>
            </a:r>
            <a:endParaRPr kumimoji="1" lang="ja-JP" altLang="en-US" sz="1050">
              <a:latin typeface="Meiryo UI" panose="020B0604030504040204" pitchFamily="50" charset="-128"/>
              <a:ea typeface="Meiryo UI" panose="020B0604030504040204" pitchFamily="50" charset="-128"/>
              <a:cs typeface="Meiryo UI" panose="020B0604030504040204" pitchFamily="50" charset="-128"/>
            </a:endParaRPr>
          </a:p>
        </xdr:txBody>
      </xdr:sp>
      <xdr:sp macro="" textlink="">
        <xdr:nvSpPr>
          <xdr:cNvPr id="56" name="正方形/長方形 55">
            <a:extLst>
              <a:ext uri="{FF2B5EF4-FFF2-40B4-BE49-F238E27FC236}">
                <a16:creationId xmlns:a16="http://schemas.microsoft.com/office/drawing/2014/main" id="{00000000-0008-0000-0300-000038000000}"/>
              </a:ext>
            </a:extLst>
          </xdr:cNvPr>
          <xdr:cNvSpPr/>
        </xdr:nvSpPr>
        <xdr:spPr>
          <a:xfrm>
            <a:off x="16651628" y="6510609"/>
            <a:ext cx="1127135" cy="38977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CAN</a:t>
            </a:r>
            <a:r>
              <a:rPr kumimoji="1" lang="ja-JP" altLang="en-US"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バス</a:t>
            </a:r>
          </a:p>
        </xdr:txBody>
      </xdr:sp>
      <xdr:cxnSp macro="">
        <xdr:nvCxnSpPr>
          <xdr:cNvPr id="57" name="カギ線コネクタ 126">
            <a:extLst>
              <a:ext uri="{FF2B5EF4-FFF2-40B4-BE49-F238E27FC236}">
                <a16:creationId xmlns:a16="http://schemas.microsoft.com/office/drawing/2014/main" id="{00000000-0008-0000-0300-000039000000}"/>
              </a:ext>
            </a:extLst>
          </xdr:cNvPr>
          <xdr:cNvCxnSpPr>
            <a:stCxn id="71" idx="2"/>
            <a:endCxn id="52" idx="1"/>
          </xdr:cNvCxnSpPr>
        </xdr:nvCxnSpPr>
        <xdr:spPr>
          <a:xfrm flipV="1">
            <a:off x="13452703" y="7119610"/>
            <a:ext cx="767224" cy="92307"/>
          </a:xfrm>
          <a:prstGeom prst="bentConnector3">
            <a:avLst/>
          </a:prstGeom>
          <a:ln w="28575">
            <a:headEnd type="arrow" w="med" len="med"/>
            <a:tailEnd type="none" w="med" len="med"/>
          </a:ln>
        </xdr:spPr>
        <xdr:style>
          <a:lnRef idx="1">
            <a:schemeClr val="dk1"/>
          </a:lnRef>
          <a:fillRef idx="0">
            <a:schemeClr val="dk1"/>
          </a:fillRef>
          <a:effectRef idx="0">
            <a:schemeClr val="dk1"/>
          </a:effectRef>
          <a:fontRef idx="minor">
            <a:schemeClr val="tx1"/>
          </a:fontRef>
        </xdr:style>
      </xdr:cxnSp>
      <xdr:grpSp>
        <xdr:nvGrpSpPr>
          <xdr:cNvPr id="58" name="グループ化 57">
            <a:extLst>
              <a:ext uri="{FF2B5EF4-FFF2-40B4-BE49-F238E27FC236}">
                <a16:creationId xmlns:a16="http://schemas.microsoft.com/office/drawing/2014/main" id="{00000000-0008-0000-0300-00003A000000}"/>
              </a:ext>
            </a:extLst>
          </xdr:cNvPr>
          <xdr:cNvGrpSpPr/>
        </xdr:nvGrpSpPr>
        <xdr:grpSpPr>
          <a:xfrm>
            <a:off x="12348389" y="6164321"/>
            <a:ext cx="1228151" cy="1246634"/>
            <a:chOff x="643984" y="1576334"/>
            <a:chExt cx="1208840" cy="1163027"/>
          </a:xfrm>
        </xdr:grpSpPr>
        <xdr:grpSp>
          <xdr:nvGrpSpPr>
            <xdr:cNvPr id="68" name="グループ化 67">
              <a:extLst>
                <a:ext uri="{FF2B5EF4-FFF2-40B4-BE49-F238E27FC236}">
                  <a16:creationId xmlns:a16="http://schemas.microsoft.com/office/drawing/2014/main" id="{00000000-0008-0000-0300-000044000000}"/>
                </a:ext>
              </a:extLst>
            </xdr:cNvPr>
            <xdr:cNvGrpSpPr/>
          </xdr:nvGrpSpPr>
          <xdr:grpSpPr>
            <a:xfrm>
              <a:off x="643984" y="1576334"/>
              <a:ext cx="1208840" cy="1163027"/>
              <a:chOff x="667433" y="2053255"/>
              <a:chExt cx="1212721" cy="1180444"/>
            </a:xfrm>
          </xdr:grpSpPr>
          <xdr:sp macro="" textlink="">
            <xdr:nvSpPr>
              <xdr:cNvPr id="70" name="フレーム 69">
                <a:extLst>
                  <a:ext uri="{FF2B5EF4-FFF2-40B4-BE49-F238E27FC236}">
                    <a16:creationId xmlns:a16="http://schemas.microsoft.com/office/drawing/2014/main" id="{00000000-0008-0000-0300-000046000000}"/>
                  </a:ext>
                </a:extLst>
              </xdr:cNvPr>
              <xdr:cNvSpPr/>
            </xdr:nvSpPr>
            <xdr:spPr>
              <a:xfrm>
                <a:off x="884544" y="2053255"/>
                <a:ext cx="995610" cy="795217"/>
              </a:xfrm>
              <a:prstGeom prst="frame">
                <a:avLst>
                  <a:gd name="adj1" fmla="val 640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71" name="平行四辺形 70">
                <a:extLst>
                  <a:ext uri="{FF2B5EF4-FFF2-40B4-BE49-F238E27FC236}">
                    <a16:creationId xmlns:a16="http://schemas.microsoft.com/office/drawing/2014/main" id="{00000000-0008-0000-0300-000047000000}"/>
                  </a:ext>
                </a:extLst>
              </xdr:cNvPr>
              <xdr:cNvSpPr/>
            </xdr:nvSpPr>
            <xdr:spPr>
              <a:xfrm>
                <a:off x="667433" y="2856754"/>
                <a:ext cx="1212720" cy="376945"/>
              </a:xfrm>
              <a:prstGeom prst="parallelogram">
                <a:avLst>
                  <a:gd name="adj" fmla="val 6859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69" name="正方形/長方形 68">
              <a:extLst>
                <a:ext uri="{FF2B5EF4-FFF2-40B4-BE49-F238E27FC236}">
                  <a16:creationId xmlns:a16="http://schemas.microsoft.com/office/drawing/2014/main" id="{00000000-0008-0000-0300-000045000000}"/>
                </a:ext>
              </a:extLst>
            </xdr:cNvPr>
            <xdr:cNvSpPr/>
          </xdr:nvSpPr>
          <xdr:spPr>
            <a:xfrm>
              <a:off x="953151" y="1684022"/>
              <a:ext cx="810840" cy="570702"/>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kumimoji="1" lang="en-US" altLang="ja-JP" sz="900">
                  <a:latin typeface="Meiryo UI" panose="020B0604030504040204" pitchFamily="50" charset="-128"/>
                  <a:ea typeface="Meiryo UI" panose="020B0604030504040204" pitchFamily="50" charset="-128"/>
                  <a:cs typeface="Meiryo UI" panose="020B0604030504040204" pitchFamily="50" charset="-128"/>
                </a:rPr>
                <a:t>CANoe</a:t>
              </a:r>
              <a:endParaRPr kumimoji="1" lang="ja-JP" altLang="en-US" sz="900">
                <a:latin typeface="Meiryo UI" panose="020B0604030504040204" pitchFamily="50" charset="-128"/>
                <a:ea typeface="Meiryo UI" panose="020B0604030504040204" pitchFamily="50" charset="-128"/>
                <a:cs typeface="Meiryo UI" panose="020B0604030504040204" pitchFamily="50" charset="-128"/>
              </a:endParaRPr>
            </a:p>
          </xdr:txBody>
        </xdr:sp>
      </xdr:grpSp>
      <xdr:sp macro="" textlink="">
        <xdr:nvSpPr>
          <xdr:cNvPr id="59" name="角丸四角形 128">
            <a:extLst>
              <a:ext uri="{FF2B5EF4-FFF2-40B4-BE49-F238E27FC236}">
                <a16:creationId xmlns:a16="http://schemas.microsoft.com/office/drawing/2014/main" id="{00000000-0008-0000-0300-00003B000000}"/>
              </a:ext>
            </a:extLst>
          </xdr:cNvPr>
          <xdr:cNvSpPr/>
        </xdr:nvSpPr>
        <xdr:spPr>
          <a:xfrm>
            <a:off x="12236149" y="7547107"/>
            <a:ext cx="2822381" cy="2181843"/>
          </a:xfrm>
          <a:prstGeom prst="roundRect">
            <a:avLst>
              <a:gd name="adj" fmla="val 9260"/>
            </a:avLst>
          </a:prstGeom>
          <a:ln w="12700"/>
        </xdr:spPr>
        <xdr:style>
          <a:lnRef idx="2">
            <a:schemeClr val="dk1"/>
          </a:lnRef>
          <a:fillRef idx="1">
            <a:schemeClr val="lt1"/>
          </a:fillRef>
          <a:effectRef idx="0">
            <a:schemeClr val="dk1"/>
          </a:effectRef>
          <a:fontRef idx="minor">
            <a:schemeClr val="dk1"/>
          </a:fontRef>
        </xdr:style>
        <xdr:txBody>
          <a:bodyPr vertOverflow="overflow" horzOverflow="overflow" lIns="36000" tIns="36000" rIns="36000" bIns="36000"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プライマリ</a:t>
            </a: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ECU</a:t>
            </a: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の代替</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送信セカンダリ</a:t>
            </a: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ECU</a:t>
            </a: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の代替</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ダイアグ操作</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CAN</a:t>
            </a:r>
            <a:r>
              <a:rPr kumimoji="1" lang="ja-JP"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バス上の送受信</a:t>
            </a: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メッセージ</a:t>
            </a:r>
            <a:r>
              <a:rPr kumimoji="1" lang="ja-JP"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の測定</a:t>
            </a:r>
            <a:endParaRPr kumimoji="1" lang="ja-JP" altLang="en-US" sz="800">
              <a:latin typeface="Meiryo UI" panose="020B0604030504040204" pitchFamily="50" charset="-128"/>
              <a:ea typeface="Meiryo UI" panose="020B0604030504040204" pitchFamily="50" charset="-128"/>
              <a:cs typeface="Meiryo UI" panose="020B0604030504040204" pitchFamily="50" charset="-128"/>
            </a:endParaRPr>
          </a:p>
        </xdr:txBody>
      </xdr:sp>
      <xdr:sp macro="" textlink="">
        <xdr:nvSpPr>
          <xdr:cNvPr id="60" name="角丸四角形 129">
            <a:extLst>
              <a:ext uri="{FF2B5EF4-FFF2-40B4-BE49-F238E27FC236}">
                <a16:creationId xmlns:a16="http://schemas.microsoft.com/office/drawing/2014/main" id="{00000000-0008-0000-0300-00003C000000}"/>
              </a:ext>
            </a:extLst>
          </xdr:cNvPr>
          <xdr:cNvSpPr/>
        </xdr:nvSpPr>
        <xdr:spPr>
          <a:xfrm>
            <a:off x="12137050" y="5133377"/>
            <a:ext cx="1817456" cy="511513"/>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400" b="1">
                <a:latin typeface="Meiryo UI" panose="020B0604030504040204" pitchFamily="50" charset="-128"/>
                <a:ea typeface="Meiryo UI" panose="020B0604030504040204" pitchFamily="50" charset="-128"/>
                <a:cs typeface="Meiryo UI" panose="020B0604030504040204" pitchFamily="50" charset="-128"/>
              </a:rPr>
              <a:t>TypeC</a:t>
            </a:r>
            <a:endParaRPr kumimoji="1" lang="ja-JP" altLang="en-US" sz="1400" b="1">
              <a:latin typeface="Meiryo UI" panose="020B0604030504040204" pitchFamily="50" charset="-128"/>
              <a:ea typeface="Meiryo UI" panose="020B0604030504040204" pitchFamily="50" charset="-128"/>
              <a:cs typeface="Meiryo UI" panose="020B0604030504040204" pitchFamily="50" charset="-128"/>
            </a:endParaRPr>
          </a:p>
        </xdr:txBody>
      </xdr:sp>
      <xdr:cxnSp macro="">
        <xdr:nvCxnSpPr>
          <xdr:cNvPr id="61" name="カギ線コネクタ 130">
            <a:extLst>
              <a:ext uri="{FF2B5EF4-FFF2-40B4-BE49-F238E27FC236}">
                <a16:creationId xmlns:a16="http://schemas.microsoft.com/office/drawing/2014/main" id="{00000000-0008-0000-0300-00003D000000}"/>
              </a:ext>
            </a:extLst>
          </xdr:cNvPr>
          <xdr:cNvCxnSpPr/>
        </xdr:nvCxnSpPr>
        <xdr:spPr>
          <a:xfrm rot="10800000">
            <a:off x="13574500" y="6729934"/>
            <a:ext cx="861819" cy="532458"/>
          </a:xfrm>
          <a:prstGeom prst="bentConnector3">
            <a:avLst>
              <a:gd name="adj1" fmla="val 209"/>
            </a:avLst>
          </a:prstGeom>
          <a:ln w="28575">
            <a:solidFill>
              <a:srgbClr val="7030A0"/>
            </a:solidFill>
            <a:headEnd type="arrow" w="med" len="med"/>
            <a:tailEnd type="arrow" w="med" len="med"/>
          </a:ln>
        </xdr:spPr>
        <xdr:style>
          <a:lnRef idx="1">
            <a:schemeClr val="accent6"/>
          </a:lnRef>
          <a:fillRef idx="0">
            <a:schemeClr val="accent6"/>
          </a:fillRef>
          <a:effectRef idx="0">
            <a:schemeClr val="accent6"/>
          </a:effectRef>
          <a:fontRef idx="minor">
            <a:schemeClr val="tx1"/>
          </a:fontRef>
        </xdr:style>
      </xdr:cxnSp>
      <xdr:cxnSp macro="">
        <xdr:nvCxnSpPr>
          <xdr:cNvPr id="62" name="直線コネクタ 61">
            <a:extLst>
              <a:ext uri="{FF2B5EF4-FFF2-40B4-BE49-F238E27FC236}">
                <a16:creationId xmlns:a16="http://schemas.microsoft.com/office/drawing/2014/main" id="{00000000-0008-0000-0300-00003E000000}"/>
              </a:ext>
            </a:extLst>
          </xdr:cNvPr>
          <xdr:cNvCxnSpPr/>
        </xdr:nvCxnSpPr>
        <xdr:spPr>
          <a:xfrm>
            <a:off x="14282113" y="7261607"/>
            <a:ext cx="2927751" cy="0"/>
          </a:xfrm>
          <a:prstGeom prst="line">
            <a:avLst/>
          </a:prstGeom>
          <a:ln w="28575">
            <a:solidFill>
              <a:srgbClr val="7030A0"/>
            </a:solidFill>
          </a:ln>
        </xdr:spPr>
        <xdr:style>
          <a:lnRef idx="1">
            <a:schemeClr val="accent1"/>
          </a:lnRef>
          <a:fillRef idx="0">
            <a:schemeClr val="accent1"/>
          </a:fillRef>
          <a:effectRef idx="0">
            <a:schemeClr val="accent1"/>
          </a:effectRef>
          <a:fontRef idx="minor">
            <a:schemeClr val="tx1"/>
          </a:fontRef>
        </xdr:style>
      </xdr:cxnSp>
      <xdr:cxnSp macro="">
        <xdr:nvCxnSpPr>
          <xdr:cNvPr id="63" name="カギ線コネクタ 132">
            <a:extLst>
              <a:ext uri="{FF2B5EF4-FFF2-40B4-BE49-F238E27FC236}">
                <a16:creationId xmlns:a16="http://schemas.microsoft.com/office/drawing/2014/main" id="{00000000-0008-0000-0300-00003F000000}"/>
              </a:ext>
            </a:extLst>
          </xdr:cNvPr>
          <xdr:cNvCxnSpPr/>
        </xdr:nvCxnSpPr>
        <xdr:spPr>
          <a:xfrm rot="10800000">
            <a:off x="13592865" y="6579436"/>
            <a:ext cx="990990" cy="533274"/>
          </a:xfrm>
          <a:prstGeom prst="bentConnector3">
            <a:avLst>
              <a:gd name="adj1" fmla="val 83"/>
            </a:avLst>
          </a:prstGeom>
          <a:ln w="28575">
            <a:solidFill>
              <a:srgbClr val="0070C0"/>
            </a:solidFill>
            <a:headEnd type="arrow" w="med" len="med"/>
            <a:tailEnd type="none" w="med" len="med"/>
          </a:ln>
        </xdr:spPr>
        <xdr:style>
          <a:lnRef idx="1">
            <a:schemeClr val="accent6"/>
          </a:lnRef>
          <a:fillRef idx="0">
            <a:schemeClr val="accent6"/>
          </a:fillRef>
          <a:effectRef idx="0">
            <a:schemeClr val="accent6"/>
          </a:effectRef>
          <a:fontRef idx="minor">
            <a:schemeClr val="tx1"/>
          </a:fontRef>
        </xdr:style>
      </xdr:cxnSp>
      <xdr:cxnSp macro="">
        <xdr:nvCxnSpPr>
          <xdr:cNvPr id="64" name="カギ線コネクタ 133">
            <a:extLst>
              <a:ext uri="{FF2B5EF4-FFF2-40B4-BE49-F238E27FC236}">
                <a16:creationId xmlns:a16="http://schemas.microsoft.com/office/drawing/2014/main" id="{00000000-0008-0000-0300-000040000000}"/>
              </a:ext>
            </a:extLst>
          </xdr:cNvPr>
          <xdr:cNvCxnSpPr/>
        </xdr:nvCxnSpPr>
        <xdr:spPr>
          <a:xfrm rot="10800000">
            <a:off x="13594514" y="6430004"/>
            <a:ext cx="1148098" cy="548103"/>
          </a:xfrm>
          <a:prstGeom prst="bentConnector3">
            <a:avLst>
              <a:gd name="adj1" fmla="val 0"/>
            </a:avLst>
          </a:prstGeom>
          <a:ln w="28575">
            <a:headEnd type="arrow" w="med" len="med"/>
            <a:tailEnd type="none" w="med" len="med"/>
          </a:ln>
        </xdr:spPr>
        <xdr:style>
          <a:lnRef idx="1">
            <a:schemeClr val="accent6"/>
          </a:lnRef>
          <a:fillRef idx="0">
            <a:schemeClr val="accent6"/>
          </a:fillRef>
          <a:effectRef idx="0">
            <a:schemeClr val="accent6"/>
          </a:effectRef>
          <a:fontRef idx="minor">
            <a:schemeClr val="tx1"/>
          </a:fontRef>
        </xdr:style>
      </xdr:cxnSp>
      <xdr:cxnSp macro="">
        <xdr:nvCxnSpPr>
          <xdr:cNvPr id="65" name="直線矢印コネクタ 64">
            <a:extLst>
              <a:ext uri="{FF2B5EF4-FFF2-40B4-BE49-F238E27FC236}">
                <a16:creationId xmlns:a16="http://schemas.microsoft.com/office/drawing/2014/main" id="{00000000-0008-0000-0300-000041000000}"/>
              </a:ext>
            </a:extLst>
          </xdr:cNvPr>
          <xdr:cNvCxnSpPr/>
        </xdr:nvCxnSpPr>
        <xdr:spPr>
          <a:xfrm>
            <a:off x="16301083" y="6992850"/>
            <a:ext cx="0" cy="761048"/>
          </a:xfrm>
          <a:prstGeom prst="straightConnector1">
            <a:avLst/>
          </a:prstGeom>
          <a:ln w="28575">
            <a:tailEnd type="arrow"/>
          </a:ln>
        </xdr:spPr>
        <xdr:style>
          <a:lnRef idx="1">
            <a:schemeClr val="accent6"/>
          </a:lnRef>
          <a:fillRef idx="0">
            <a:schemeClr val="accent6"/>
          </a:fillRef>
          <a:effectRef idx="0">
            <a:schemeClr val="accent6"/>
          </a:effectRef>
          <a:fontRef idx="minor">
            <a:schemeClr val="tx1"/>
          </a:fontRef>
        </xdr:style>
      </xdr:cxnSp>
      <xdr:cxnSp macro="">
        <xdr:nvCxnSpPr>
          <xdr:cNvPr id="66" name="直線矢印コネクタ 65">
            <a:extLst>
              <a:ext uri="{FF2B5EF4-FFF2-40B4-BE49-F238E27FC236}">
                <a16:creationId xmlns:a16="http://schemas.microsoft.com/office/drawing/2014/main" id="{00000000-0008-0000-0300-000042000000}"/>
              </a:ext>
            </a:extLst>
          </xdr:cNvPr>
          <xdr:cNvCxnSpPr/>
        </xdr:nvCxnSpPr>
        <xdr:spPr>
          <a:xfrm>
            <a:off x="16554604" y="7119614"/>
            <a:ext cx="0" cy="646849"/>
          </a:xfrm>
          <a:prstGeom prst="straightConnector1">
            <a:avLst/>
          </a:prstGeom>
          <a:ln w="28575">
            <a:solidFill>
              <a:srgbClr val="0070C0"/>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xnSp macro="">
        <xdr:nvCxnSpPr>
          <xdr:cNvPr id="67" name="直線矢印コネクタ 66">
            <a:extLst>
              <a:ext uri="{FF2B5EF4-FFF2-40B4-BE49-F238E27FC236}">
                <a16:creationId xmlns:a16="http://schemas.microsoft.com/office/drawing/2014/main" id="{00000000-0008-0000-0300-000043000000}"/>
              </a:ext>
            </a:extLst>
          </xdr:cNvPr>
          <xdr:cNvCxnSpPr/>
        </xdr:nvCxnSpPr>
        <xdr:spPr>
          <a:xfrm>
            <a:off x="16798549" y="7255809"/>
            <a:ext cx="0" cy="510654"/>
          </a:xfrm>
          <a:prstGeom prst="straightConnector1">
            <a:avLst/>
          </a:prstGeom>
          <a:ln w="28575">
            <a:solidFill>
              <a:srgbClr val="7030A0"/>
            </a:solidFill>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238125</xdr:colOff>
      <xdr:row>28</xdr:row>
      <xdr:rowOff>0</xdr:rowOff>
    </xdr:from>
    <xdr:to>
      <xdr:col>6</xdr:col>
      <xdr:colOff>609600</xdr:colOff>
      <xdr:row>43</xdr:row>
      <xdr:rowOff>104775</xdr:rowOff>
    </xdr:to>
    <xdr:grpSp>
      <xdr:nvGrpSpPr>
        <xdr:cNvPr id="94" name="グループ化 93">
          <a:extLst>
            <a:ext uri="{FF2B5EF4-FFF2-40B4-BE49-F238E27FC236}">
              <a16:creationId xmlns:a16="http://schemas.microsoft.com/office/drawing/2014/main" id="{00000000-0008-0000-0300-00005E000000}"/>
            </a:ext>
          </a:extLst>
        </xdr:cNvPr>
        <xdr:cNvGrpSpPr/>
      </xdr:nvGrpSpPr>
      <xdr:grpSpPr>
        <a:xfrm>
          <a:off x="238125" y="5505450"/>
          <a:ext cx="3648075" cy="3105150"/>
          <a:chOff x="11988215" y="5025034"/>
          <a:chExt cx="5918785" cy="4822254"/>
        </a:xfrm>
      </xdr:grpSpPr>
      <xdr:sp macro="" textlink="">
        <xdr:nvSpPr>
          <xdr:cNvPr id="95" name="正方形/長方形 94">
            <a:extLst>
              <a:ext uri="{FF2B5EF4-FFF2-40B4-BE49-F238E27FC236}">
                <a16:creationId xmlns:a16="http://schemas.microsoft.com/office/drawing/2014/main" id="{00000000-0008-0000-0300-00005F000000}"/>
              </a:ext>
            </a:extLst>
          </xdr:cNvPr>
          <xdr:cNvSpPr/>
        </xdr:nvSpPr>
        <xdr:spPr>
          <a:xfrm>
            <a:off x="11988215" y="5025034"/>
            <a:ext cx="5918785" cy="482225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96" name="正方形/長方形 95">
            <a:extLst>
              <a:ext uri="{FF2B5EF4-FFF2-40B4-BE49-F238E27FC236}">
                <a16:creationId xmlns:a16="http://schemas.microsoft.com/office/drawing/2014/main" id="{00000000-0008-0000-0300-000060000000}"/>
              </a:ext>
            </a:extLst>
          </xdr:cNvPr>
          <xdr:cNvSpPr/>
        </xdr:nvSpPr>
        <xdr:spPr>
          <a:xfrm>
            <a:off x="14219928" y="6907727"/>
            <a:ext cx="3130769" cy="42376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xnSp macro="">
        <xdr:nvCxnSpPr>
          <xdr:cNvPr id="97" name="直線コネクタ 96">
            <a:extLst>
              <a:ext uri="{FF2B5EF4-FFF2-40B4-BE49-F238E27FC236}">
                <a16:creationId xmlns:a16="http://schemas.microsoft.com/office/drawing/2014/main" id="{00000000-0008-0000-0300-000061000000}"/>
              </a:ext>
            </a:extLst>
          </xdr:cNvPr>
          <xdr:cNvCxnSpPr/>
        </xdr:nvCxnSpPr>
        <xdr:spPr>
          <a:xfrm>
            <a:off x="14284548" y="6983062"/>
            <a:ext cx="2927751" cy="0"/>
          </a:xfrm>
          <a:prstGeom prst="line">
            <a:avLst/>
          </a:prstGeom>
          <a:ln w="28575"/>
        </xdr:spPr>
        <xdr:style>
          <a:lnRef idx="1">
            <a:schemeClr val="accent6"/>
          </a:lnRef>
          <a:fillRef idx="0">
            <a:schemeClr val="accent6"/>
          </a:fillRef>
          <a:effectRef idx="0">
            <a:schemeClr val="accent6"/>
          </a:effectRef>
          <a:fontRef idx="minor">
            <a:schemeClr val="tx1"/>
          </a:fontRef>
        </xdr:style>
      </xdr:cxnSp>
      <xdr:cxnSp macro="">
        <xdr:nvCxnSpPr>
          <xdr:cNvPr id="98" name="直線コネクタ 97">
            <a:extLst>
              <a:ext uri="{FF2B5EF4-FFF2-40B4-BE49-F238E27FC236}">
                <a16:creationId xmlns:a16="http://schemas.microsoft.com/office/drawing/2014/main" id="{00000000-0008-0000-0300-000062000000}"/>
              </a:ext>
            </a:extLst>
          </xdr:cNvPr>
          <xdr:cNvCxnSpPr/>
        </xdr:nvCxnSpPr>
        <xdr:spPr>
          <a:xfrm>
            <a:off x="14287577" y="7116922"/>
            <a:ext cx="2927751" cy="0"/>
          </a:xfrm>
          <a:prstGeom prst="line">
            <a:avLst/>
          </a:prstGeom>
          <a:ln w="28575">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99" name="正方形/長方形 98">
            <a:extLst>
              <a:ext uri="{FF2B5EF4-FFF2-40B4-BE49-F238E27FC236}">
                <a16:creationId xmlns:a16="http://schemas.microsoft.com/office/drawing/2014/main" id="{00000000-0008-0000-0300-000063000000}"/>
              </a:ext>
            </a:extLst>
          </xdr:cNvPr>
          <xdr:cNvSpPr/>
        </xdr:nvSpPr>
        <xdr:spPr>
          <a:xfrm>
            <a:off x="16012883" y="7750228"/>
            <a:ext cx="1158999" cy="898892"/>
          </a:xfrm>
          <a:prstGeom prst="rect">
            <a:avLst/>
          </a:prstGeom>
          <a:gradFill>
            <a:gsLst>
              <a:gs pos="0">
                <a:srgbClr val="9EEAFF"/>
              </a:gs>
              <a:gs pos="35000">
                <a:srgbClr val="BBEFFF"/>
              </a:gs>
              <a:gs pos="100000">
                <a:srgbClr val="E4F9FF"/>
              </a:gs>
            </a:gsLst>
          </a:gradFill>
        </xdr:spPr>
        <xdr:style>
          <a:lnRef idx="1">
            <a:schemeClr val="accent1"/>
          </a:lnRef>
          <a:fillRef idx="2">
            <a:schemeClr val="accent1"/>
          </a:fillRef>
          <a:effectRef idx="1">
            <a:schemeClr val="accent1"/>
          </a:effectRef>
          <a:fontRef idx="minor">
            <a:schemeClr val="dk1"/>
          </a:fontRef>
        </xdr:style>
        <xdr:txBody>
          <a:bodyPr vertOverflow="clip" horzOverflow="clip" lIns="36000" tIns="36000" rIns="36000" bIns="36000" rtlCol="0" anchor="ctr"/>
          <a:lstStyle/>
          <a:p>
            <a:pPr algn="ctr"/>
            <a:r>
              <a:rPr kumimoji="1" lang="ja-JP" altLang="en-US" sz="1050">
                <a:latin typeface="Meiryo UI" panose="020B0604030504040204" pitchFamily="50" charset="-128"/>
                <a:ea typeface="Meiryo UI" panose="020B0604030504040204" pitchFamily="50" charset="-128"/>
                <a:cs typeface="Meiryo UI" panose="020B0604030504040204" pitchFamily="50" charset="-128"/>
              </a:rPr>
              <a:t>セカンダリ</a:t>
            </a:r>
            <a:endParaRPr kumimoji="1" lang="en-US" altLang="ja-JP" sz="1050">
              <a:latin typeface="Meiryo UI" panose="020B0604030504040204" pitchFamily="50" charset="-128"/>
              <a:ea typeface="Meiryo UI" panose="020B0604030504040204" pitchFamily="50" charset="-128"/>
              <a:cs typeface="Meiryo UI" panose="020B0604030504040204" pitchFamily="50" charset="-128"/>
            </a:endParaRPr>
          </a:p>
          <a:p>
            <a:pPr algn="ctr"/>
            <a:r>
              <a:rPr kumimoji="1" lang="ja-JP" altLang="en-US" sz="1050">
                <a:latin typeface="Meiryo UI" panose="020B0604030504040204" pitchFamily="50" charset="-128"/>
                <a:ea typeface="Meiryo UI" panose="020B0604030504040204" pitchFamily="50" charset="-128"/>
                <a:cs typeface="Meiryo UI" panose="020B0604030504040204" pitchFamily="50" charset="-128"/>
              </a:rPr>
              <a:t>送信</a:t>
            </a:r>
            <a:r>
              <a:rPr kumimoji="1" lang="en-US" altLang="ja-JP" sz="1050">
                <a:latin typeface="Meiryo UI" panose="020B0604030504040204" pitchFamily="50" charset="-128"/>
                <a:ea typeface="Meiryo UI" panose="020B0604030504040204" pitchFamily="50" charset="-128"/>
                <a:cs typeface="Meiryo UI" panose="020B0604030504040204" pitchFamily="50" charset="-128"/>
              </a:rPr>
              <a:t>ECU</a:t>
            </a:r>
            <a:endParaRPr kumimoji="1" lang="ja-JP" altLang="en-US" sz="1050">
              <a:latin typeface="Meiryo UI" panose="020B0604030504040204" pitchFamily="50" charset="-128"/>
              <a:ea typeface="Meiryo UI" panose="020B0604030504040204" pitchFamily="50" charset="-128"/>
              <a:cs typeface="Meiryo UI" panose="020B0604030504040204" pitchFamily="50" charset="-128"/>
            </a:endParaRPr>
          </a:p>
        </xdr:txBody>
      </xdr:sp>
      <xdr:sp macro="" textlink="">
        <xdr:nvSpPr>
          <xdr:cNvPr id="100" name="正方形/長方形 99">
            <a:extLst>
              <a:ext uri="{FF2B5EF4-FFF2-40B4-BE49-F238E27FC236}">
                <a16:creationId xmlns:a16="http://schemas.microsoft.com/office/drawing/2014/main" id="{00000000-0008-0000-0300-000064000000}"/>
              </a:ext>
            </a:extLst>
          </xdr:cNvPr>
          <xdr:cNvSpPr/>
        </xdr:nvSpPr>
        <xdr:spPr>
          <a:xfrm>
            <a:off x="16651628" y="6510609"/>
            <a:ext cx="1127135" cy="38977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CAN</a:t>
            </a:r>
            <a:r>
              <a:rPr kumimoji="1" lang="ja-JP" altLang="en-US"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バス</a:t>
            </a:r>
          </a:p>
        </xdr:txBody>
      </xdr:sp>
      <xdr:cxnSp macro="">
        <xdr:nvCxnSpPr>
          <xdr:cNvPr id="101" name="カギ線コネクタ 126">
            <a:extLst>
              <a:ext uri="{FF2B5EF4-FFF2-40B4-BE49-F238E27FC236}">
                <a16:creationId xmlns:a16="http://schemas.microsoft.com/office/drawing/2014/main" id="{00000000-0008-0000-0300-000065000000}"/>
              </a:ext>
            </a:extLst>
          </xdr:cNvPr>
          <xdr:cNvCxnSpPr>
            <a:stCxn id="115" idx="2"/>
            <a:endCxn id="96" idx="1"/>
          </xdr:cNvCxnSpPr>
        </xdr:nvCxnSpPr>
        <xdr:spPr>
          <a:xfrm flipV="1">
            <a:off x="13452703" y="7119610"/>
            <a:ext cx="767224" cy="92307"/>
          </a:xfrm>
          <a:prstGeom prst="bentConnector3">
            <a:avLst/>
          </a:prstGeom>
          <a:ln w="28575">
            <a:headEnd type="arrow" w="med" len="med"/>
            <a:tailEnd type="none" w="med" len="med"/>
          </a:ln>
        </xdr:spPr>
        <xdr:style>
          <a:lnRef idx="1">
            <a:schemeClr val="dk1"/>
          </a:lnRef>
          <a:fillRef idx="0">
            <a:schemeClr val="dk1"/>
          </a:fillRef>
          <a:effectRef idx="0">
            <a:schemeClr val="dk1"/>
          </a:effectRef>
          <a:fontRef idx="minor">
            <a:schemeClr val="tx1"/>
          </a:fontRef>
        </xdr:style>
      </xdr:cxnSp>
      <xdr:grpSp>
        <xdr:nvGrpSpPr>
          <xdr:cNvPr id="102" name="グループ化 101">
            <a:extLst>
              <a:ext uri="{FF2B5EF4-FFF2-40B4-BE49-F238E27FC236}">
                <a16:creationId xmlns:a16="http://schemas.microsoft.com/office/drawing/2014/main" id="{00000000-0008-0000-0300-000066000000}"/>
              </a:ext>
            </a:extLst>
          </xdr:cNvPr>
          <xdr:cNvGrpSpPr/>
        </xdr:nvGrpSpPr>
        <xdr:grpSpPr>
          <a:xfrm>
            <a:off x="12348389" y="6164321"/>
            <a:ext cx="1228151" cy="1246634"/>
            <a:chOff x="643984" y="1576334"/>
            <a:chExt cx="1208840" cy="1163027"/>
          </a:xfrm>
        </xdr:grpSpPr>
        <xdr:grpSp>
          <xdr:nvGrpSpPr>
            <xdr:cNvPr id="112" name="グループ化 111">
              <a:extLst>
                <a:ext uri="{FF2B5EF4-FFF2-40B4-BE49-F238E27FC236}">
                  <a16:creationId xmlns:a16="http://schemas.microsoft.com/office/drawing/2014/main" id="{00000000-0008-0000-0300-000070000000}"/>
                </a:ext>
              </a:extLst>
            </xdr:cNvPr>
            <xdr:cNvGrpSpPr/>
          </xdr:nvGrpSpPr>
          <xdr:grpSpPr>
            <a:xfrm>
              <a:off x="643984" y="1576334"/>
              <a:ext cx="1208840" cy="1163027"/>
              <a:chOff x="667433" y="2053255"/>
              <a:chExt cx="1212721" cy="1180444"/>
            </a:xfrm>
          </xdr:grpSpPr>
          <xdr:sp macro="" textlink="">
            <xdr:nvSpPr>
              <xdr:cNvPr id="114" name="フレーム 113">
                <a:extLst>
                  <a:ext uri="{FF2B5EF4-FFF2-40B4-BE49-F238E27FC236}">
                    <a16:creationId xmlns:a16="http://schemas.microsoft.com/office/drawing/2014/main" id="{00000000-0008-0000-0300-000072000000}"/>
                  </a:ext>
                </a:extLst>
              </xdr:cNvPr>
              <xdr:cNvSpPr/>
            </xdr:nvSpPr>
            <xdr:spPr>
              <a:xfrm>
                <a:off x="884544" y="2053255"/>
                <a:ext cx="995610" cy="795217"/>
              </a:xfrm>
              <a:prstGeom prst="frame">
                <a:avLst>
                  <a:gd name="adj1" fmla="val 640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115" name="平行四辺形 114">
                <a:extLst>
                  <a:ext uri="{FF2B5EF4-FFF2-40B4-BE49-F238E27FC236}">
                    <a16:creationId xmlns:a16="http://schemas.microsoft.com/office/drawing/2014/main" id="{00000000-0008-0000-0300-000073000000}"/>
                  </a:ext>
                </a:extLst>
              </xdr:cNvPr>
              <xdr:cNvSpPr/>
            </xdr:nvSpPr>
            <xdr:spPr>
              <a:xfrm>
                <a:off x="667433" y="2856754"/>
                <a:ext cx="1212720" cy="376945"/>
              </a:xfrm>
              <a:prstGeom prst="parallelogram">
                <a:avLst>
                  <a:gd name="adj" fmla="val 6859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113" name="正方形/長方形 112">
              <a:extLst>
                <a:ext uri="{FF2B5EF4-FFF2-40B4-BE49-F238E27FC236}">
                  <a16:creationId xmlns:a16="http://schemas.microsoft.com/office/drawing/2014/main" id="{00000000-0008-0000-0300-000071000000}"/>
                </a:ext>
              </a:extLst>
            </xdr:cNvPr>
            <xdr:cNvSpPr/>
          </xdr:nvSpPr>
          <xdr:spPr>
            <a:xfrm>
              <a:off x="953151" y="1684022"/>
              <a:ext cx="810840" cy="570702"/>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kumimoji="1" lang="en-US" altLang="ja-JP" sz="900">
                  <a:latin typeface="Meiryo UI" panose="020B0604030504040204" pitchFamily="50" charset="-128"/>
                  <a:ea typeface="Meiryo UI" panose="020B0604030504040204" pitchFamily="50" charset="-128"/>
                  <a:cs typeface="Meiryo UI" panose="020B0604030504040204" pitchFamily="50" charset="-128"/>
                </a:rPr>
                <a:t>CANoe</a:t>
              </a:r>
              <a:endParaRPr kumimoji="1" lang="ja-JP" altLang="en-US" sz="900">
                <a:latin typeface="Meiryo UI" panose="020B0604030504040204" pitchFamily="50" charset="-128"/>
                <a:ea typeface="Meiryo UI" panose="020B0604030504040204" pitchFamily="50" charset="-128"/>
                <a:cs typeface="Meiryo UI" panose="020B0604030504040204" pitchFamily="50" charset="-128"/>
              </a:endParaRPr>
            </a:p>
          </xdr:txBody>
        </xdr:sp>
      </xdr:grpSp>
      <xdr:sp macro="" textlink="">
        <xdr:nvSpPr>
          <xdr:cNvPr id="103" name="角丸四角形 128">
            <a:extLst>
              <a:ext uri="{FF2B5EF4-FFF2-40B4-BE49-F238E27FC236}">
                <a16:creationId xmlns:a16="http://schemas.microsoft.com/office/drawing/2014/main" id="{00000000-0008-0000-0300-000067000000}"/>
              </a:ext>
            </a:extLst>
          </xdr:cNvPr>
          <xdr:cNvSpPr/>
        </xdr:nvSpPr>
        <xdr:spPr>
          <a:xfrm>
            <a:off x="12236149" y="7547107"/>
            <a:ext cx="2822381" cy="2181843"/>
          </a:xfrm>
          <a:prstGeom prst="roundRect">
            <a:avLst>
              <a:gd name="adj" fmla="val 9260"/>
            </a:avLst>
          </a:prstGeom>
          <a:ln w="12700"/>
        </xdr:spPr>
        <xdr:style>
          <a:lnRef idx="2">
            <a:schemeClr val="dk1"/>
          </a:lnRef>
          <a:fillRef idx="1">
            <a:schemeClr val="lt1"/>
          </a:fillRef>
          <a:effectRef idx="0">
            <a:schemeClr val="dk1"/>
          </a:effectRef>
          <a:fontRef idx="minor">
            <a:schemeClr val="dk1"/>
          </a:fontRef>
        </xdr:style>
        <xdr:txBody>
          <a:bodyPr vertOverflow="overflow" horzOverflow="overflow" lIns="36000" tIns="36000" rIns="36000" bIns="36000"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プライマリ</a:t>
            </a: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ECU</a:t>
            </a: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の代替</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ダイアグ操作</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CAN</a:t>
            </a:r>
            <a:r>
              <a:rPr kumimoji="1" lang="ja-JP"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バス上の送受信</a:t>
            </a: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メッセージ</a:t>
            </a:r>
            <a:r>
              <a:rPr kumimoji="1" lang="ja-JP"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の測定</a:t>
            </a:r>
            <a:endParaRPr kumimoji="1" lang="ja-JP" altLang="en-US" sz="800">
              <a:latin typeface="Meiryo UI" panose="020B0604030504040204" pitchFamily="50" charset="-128"/>
              <a:ea typeface="Meiryo UI" panose="020B0604030504040204" pitchFamily="50" charset="-128"/>
              <a:cs typeface="Meiryo UI" panose="020B0604030504040204" pitchFamily="50" charset="-128"/>
            </a:endParaRPr>
          </a:p>
        </xdr:txBody>
      </xdr:sp>
      <xdr:sp macro="" textlink="">
        <xdr:nvSpPr>
          <xdr:cNvPr id="104" name="角丸四角形 129">
            <a:extLst>
              <a:ext uri="{FF2B5EF4-FFF2-40B4-BE49-F238E27FC236}">
                <a16:creationId xmlns:a16="http://schemas.microsoft.com/office/drawing/2014/main" id="{00000000-0008-0000-0300-000068000000}"/>
              </a:ext>
            </a:extLst>
          </xdr:cNvPr>
          <xdr:cNvSpPr/>
        </xdr:nvSpPr>
        <xdr:spPr>
          <a:xfrm>
            <a:off x="12137050" y="5133377"/>
            <a:ext cx="1817456" cy="511513"/>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400" b="1">
                <a:latin typeface="Meiryo UI" panose="020B0604030504040204" pitchFamily="50" charset="-128"/>
                <a:ea typeface="Meiryo UI" panose="020B0604030504040204" pitchFamily="50" charset="-128"/>
                <a:cs typeface="Meiryo UI" panose="020B0604030504040204" pitchFamily="50" charset="-128"/>
              </a:rPr>
              <a:t>TypeD</a:t>
            </a:r>
            <a:endParaRPr kumimoji="1" lang="ja-JP" altLang="en-US" sz="1400" b="1">
              <a:latin typeface="Meiryo UI" panose="020B0604030504040204" pitchFamily="50" charset="-128"/>
              <a:ea typeface="Meiryo UI" panose="020B0604030504040204" pitchFamily="50" charset="-128"/>
              <a:cs typeface="Meiryo UI" panose="020B0604030504040204" pitchFamily="50" charset="-128"/>
            </a:endParaRPr>
          </a:p>
        </xdr:txBody>
      </xdr:sp>
      <xdr:cxnSp macro="">
        <xdr:nvCxnSpPr>
          <xdr:cNvPr id="105" name="カギ線コネクタ 130">
            <a:extLst>
              <a:ext uri="{FF2B5EF4-FFF2-40B4-BE49-F238E27FC236}">
                <a16:creationId xmlns:a16="http://schemas.microsoft.com/office/drawing/2014/main" id="{00000000-0008-0000-0300-000069000000}"/>
              </a:ext>
            </a:extLst>
          </xdr:cNvPr>
          <xdr:cNvCxnSpPr/>
        </xdr:nvCxnSpPr>
        <xdr:spPr>
          <a:xfrm rot="10800000">
            <a:off x="13574500" y="6729934"/>
            <a:ext cx="861819" cy="532458"/>
          </a:xfrm>
          <a:prstGeom prst="bentConnector3">
            <a:avLst>
              <a:gd name="adj1" fmla="val 209"/>
            </a:avLst>
          </a:prstGeom>
          <a:ln w="28575">
            <a:solidFill>
              <a:srgbClr val="7030A0"/>
            </a:solidFill>
            <a:headEnd type="arrow" w="med" len="med"/>
            <a:tailEnd type="arrow" w="med" len="med"/>
          </a:ln>
        </xdr:spPr>
        <xdr:style>
          <a:lnRef idx="1">
            <a:schemeClr val="accent6"/>
          </a:lnRef>
          <a:fillRef idx="0">
            <a:schemeClr val="accent6"/>
          </a:fillRef>
          <a:effectRef idx="0">
            <a:schemeClr val="accent6"/>
          </a:effectRef>
          <a:fontRef idx="minor">
            <a:schemeClr val="tx1"/>
          </a:fontRef>
        </xdr:style>
      </xdr:cxnSp>
      <xdr:cxnSp macro="">
        <xdr:nvCxnSpPr>
          <xdr:cNvPr id="106" name="直線コネクタ 105">
            <a:extLst>
              <a:ext uri="{FF2B5EF4-FFF2-40B4-BE49-F238E27FC236}">
                <a16:creationId xmlns:a16="http://schemas.microsoft.com/office/drawing/2014/main" id="{00000000-0008-0000-0300-00006A000000}"/>
              </a:ext>
            </a:extLst>
          </xdr:cNvPr>
          <xdr:cNvCxnSpPr/>
        </xdr:nvCxnSpPr>
        <xdr:spPr>
          <a:xfrm>
            <a:off x="14282113" y="7261607"/>
            <a:ext cx="2927751" cy="0"/>
          </a:xfrm>
          <a:prstGeom prst="line">
            <a:avLst/>
          </a:prstGeom>
          <a:ln w="28575">
            <a:solidFill>
              <a:srgbClr val="7030A0"/>
            </a:solidFill>
          </a:ln>
        </xdr:spPr>
        <xdr:style>
          <a:lnRef idx="1">
            <a:schemeClr val="accent1"/>
          </a:lnRef>
          <a:fillRef idx="0">
            <a:schemeClr val="accent1"/>
          </a:fillRef>
          <a:effectRef idx="0">
            <a:schemeClr val="accent1"/>
          </a:effectRef>
          <a:fontRef idx="minor">
            <a:schemeClr val="tx1"/>
          </a:fontRef>
        </xdr:style>
      </xdr:cxnSp>
      <xdr:cxnSp macro="">
        <xdr:nvCxnSpPr>
          <xdr:cNvPr id="107" name="カギ線コネクタ 132">
            <a:extLst>
              <a:ext uri="{FF2B5EF4-FFF2-40B4-BE49-F238E27FC236}">
                <a16:creationId xmlns:a16="http://schemas.microsoft.com/office/drawing/2014/main" id="{00000000-0008-0000-0300-00006B000000}"/>
              </a:ext>
            </a:extLst>
          </xdr:cNvPr>
          <xdr:cNvCxnSpPr/>
        </xdr:nvCxnSpPr>
        <xdr:spPr>
          <a:xfrm rot="10800000">
            <a:off x="13592865" y="6579436"/>
            <a:ext cx="990990" cy="533274"/>
          </a:xfrm>
          <a:prstGeom prst="bentConnector3">
            <a:avLst>
              <a:gd name="adj1" fmla="val 83"/>
            </a:avLst>
          </a:prstGeom>
          <a:ln w="28575">
            <a:solidFill>
              <a:srgbClr val="0070C0"/>
            </a:solidFill>
            <a:headEnd type="arrow" w="med" len="med"/>
            <a:tailEnd type="none" w="med" len="med"/>
          </a:ln>
        </xdr:spPr>
        <xdr:style>
          <a:lnRef idx="1">
            <a:schemeClr val="accent6"/>
          </a:lnRef>
          <a:fillRef idx="0">
            <a:schemeClr val="accent6"/>
          </a:fillRef>
          <a:effectRef idx="0">
            <a:schemeClr val="accent6"/>
          </a:effectRef>
          <a:fontRef idx="minor">
            <a:schemeClr val="tx1"/>
          </a:fontRef>
        </xdr:style>
      </xdr:cxnSp>
      <xdr:cxnSp macro="">
        <xdr:nvCxnSpPr>
          <xdr:cNvPr id="108" name="カギ線コネクタ 133">
            <a:extLst>
              <a:ext uri="{FF2B5EF4-FFF2-40B4-BE49-F238E27FC236}">
                <a16:creationId xmlns:a16="http://schemas.microsoft.com/office/drawing/2014/main" id="{00000000-0008-0000-0300-00006C000000}"/>
              </a:ext>
            </a:extLst>
          </xdr:cNvPr>
          <xdr:cNvCxnSpPr/>
        </xdr:nvCxnSpPr>
        <xdr:spPr>
          <a:xfrm rot="10800000">
            <a:off x="13594514" y="6430004"/>
            <a:ext cx="1148098" cy="548103"/>
          </a:xfrm>
          <a:prstGeom prst="bentConnector3">
            <a:avLst>
              <a:gd name="adj1" fmla="val 0"/>
            </a:avLst>
          </a:prstGeom>
          <a:ln w="28575">
            <a:headEnd type="arrow" w="med" len="med"/>
            <a:tailEnd type="none" w="med" len="med"/>
          </a:ln>
        </xdr:spPr>
        <xdr:style>
          <a:lnRef idx="1">
            <a:schemeClr val="accent6"/>
          </a:lnRef>
          <a:fillRef idx="0">
            <a:schemeClr val="accent6"/>
          </a:fillRef>
          <a:effectRef idx="0">
            <a:schemeClr val="accent6"/>
          </a:effectRef>
          <a:fontRef idx="minor">
            <a:schemeClr val="tx1"/>
          </a:fontRef>
        </xdr:style>
      </xdr:cxnSp>
      <xdr:cxnSp macro="">
        <xdr:nvCxnSpPr>
          <xdr:cNvPr id="109" name="直線矢印コネクタ 108">
            <a:extLst>
              <a:ext uri="{FF2B5EF4-FFF2-40B4-BE49-F238E27FC236}">
                <a16:creationId xmlns:a16="http://schemas.microsoft.com/office/drawing/2014/main" id="{00000000-0008-0000-0300-00006D000000}"/>
              </a:ext>
            </a:extLst>
          </xdr:cNvPr>
          <xdr:cNvCxnSpPr/>
        </xdr:nvCxnSpPr>
        <xdr:spPr>
          <a:xfrm>
            <a:off x="16301083" y="6992850"/>
            <a:ext cx="0" cy="761048"/>
          </a:xfrm>
          <a:prstGeom prst="straightConnector1">
            <a:avLst/>
          </a:prstGeom>
          <a:ln w="28575">
            <a:tailEnd type="arrow"/>
          </a:ln>
        </xdr:spPr>
        <xdr:style>
          <a:lnRef idx="1">
            <a:schemeClr val="accent6"/>
          </a:lnRef>
          <a:fillRef idx="0">
            <a:schemeClr val="accent6"/>
          </a:fillRef>
          <a:effectRef idx="0">
            <a:schemeClr val="accent6"/>
          </a:effectRef>
          <a:fontRef idx="minor">
            <a:schemeClr val="tx1"/>
          </a:fontRef>
        </xdr:style>
      </xdr:cxnSp>
      <xdr:cxnSp macro="">
        <xdr:nvCxnSpPr>
          <xdr:cNvPr id="110" name="直線矢印コネクタ 109">
            <a:extLst>
              <a:ext uri="{FF2B5EF4-FFF2-40B4-BE49-F238E27FC236}">
                <a16:creationId xmlns:a16="http://schemas.microsoft.com/office/drawing/2014/main" id="{00000000-0008-0000-0300-00006E000000}"/>
              </a:ext>
            </a:extLst>
          </xdr:cNvPr>
          <xdr:cNvCxnSpPr/>
        </xdr:nvCxnSpPr>
        <xdr:spPr>
          <a:xfrm>
            <a:off x="16554604" y="7119614"/>
            <a:ext cx="0" cy="646849"/>
          </a:xfrm>
          <a:prstGeom prst="straightConnector1">
            <a:avLst/>
          </a:prstGeom>
          <a:ln w="28575">
            <a:solidFill>
              <a:srgbClr val="0070C0"/>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 name="直線矢印コネクタ 110">
            <a:extLst>
              <a:ext uri="{FF2B5EF4-FFF2-40B4-BE49-F238E27FC236}">
                <a16:creationId xmlns:a16="http://schemas.microsoft.com/office/drawing/2014/main" id="{00000000-0008-0000-0300-00006F000000}"/>
              </a:ext>
            </a:extLst>
          </xdr:cNvPr>
          <xdr:cNvCxnSpPr/>
        </xdr:nvCxnSpPr>
        <xdr:spPr>
          <a:xfrm>
            <a:off x="16798549" y="7255809"/>
            <a:ext cx="0" cy="510654"/>
          </a:xfrm>
          <a:prstGeom prst="straightConnector1">
            <a:avLst/>
          </a:prstGeom>
          <a:ln w="28575">
            <a:solidFill>
              <a:srgbClr val="7030A0"/>
            </a:solidFill>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133350</xdr:colOff>
      <xdr:row>28</xdr:row>
      <xdr:rowOff>0</xdr:rowOff>
    </xdr:from>
    <xdr:to>
      <xdr:col>13</xdr:col>
      <xdr:colOff>144607</xdr:colOff>
      <xdr:row>43</xdr:row>
      <xdr:rowOff>59747</xdr:rowOff>
    </xdr:to>
    <xdr:grpSp>
      <xdr:nvGrpSpPr>
        <xdr:cNvPr id="116" name="グループ化 115">
          <a:extLst>
            <a:ext uri="{FF2B5EF4-FFF2-40B4-BE49-F238E27FC236}">
              <a16:creationId xmlns:a16="http://schemas.microsoft.com/office/drawing/2014/main" id="{00000000-0008-0000-0300-000074000000}"/>
            </a:ext>
          </a:extLst>
        </xdr:cNvPr>
        <xdr:cNvGrpSpPr/>
      </xdr:nvGrpSpPr>
      <xdr:grpSpPr>
        <a:xfrm>
          <a:off x="4019550" y="5505450"/>
          <a:ext cx="3611707" cy="3060122"/>
          <a:chOff x="13173075" y="1809750"/>
          <a:chExt cx="4124325" cy="3105150"/>
        </a:xfrm>
      </xdr:grpSpPr>
      <xdr:sp macro="" textlink="">
        <xdr:nvSpPr>
          <xdr:cNvPr id="117" name="正方形/長方形 116">
            <a:extLst>
              <a:ext uri="{FF2B5EF4-FFF2-40B4-BE49-F238E27FC236}">
                <a16:creationId xmlns:a16="http://schemas.microsoft.com/office/drawing/2014/main" id="{00000000-0008-0000-0300-000075000000}"/>
              </a:ext>
            </a:extLst>
          </xdr:cNvPr>
          <xdr:cNvSpPr/>
        </xdr:nvSpPr>
        <xdr:spPr>
          <a:xfrm>
            <a:off x="13173075" y="1809750"/>
            <a:ext cx="4124325" cy="3105150"/>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118" name="正方形/長方形 117">
            <a:extLst>
              <a:ext uri="{FF2B5EF4-FFF2-40B4-BE49-F238E27FC236}">
                <a16:creationId xmlns:a16="http://schemas.microsoft.com/office/drawing/2014/main" id="{00000000-0008-0000-0300-000076000000}"/>
              </a:ext>
            </a:extLst>
          </xdr:cNvPr>
          <xdr:cNvSpPr/>
        </xdr:nvSpPr>
        <xdr:spPr>
          <a:xfrm>
            <a:off x="14728176" y="3022055"/>
            <a:ext cx="2181581" cy="272871"/>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xnSp macro="">
        <xdr:nvCxnSpPr>
          <xdr:cNvPr id="119" name="直線コネクタ 118">
            <a:extLst>
              <a:ext uri="{FF2B5EF4-FFF2-40B4-BE49-F238E27FC236}">
                <a16:creationId xmlns:a16="http://schemas.microsoft.com/office/drawing/2014/main" id="{00000000-0008-0000-0300-000077000000}"/>
              </a:ext>
            </a:extLst>
          </xdr:cNvPr>
          <xdr:cNvCxnSpPr/>
        </xdr:nvCxnSpPr>
        <xdr:spPr>
          <a:xfrm>
            <a:off x="14773205" y="3070565"/>
            <a:ext cx="2040114" cy="0"/>
          </a:xfrm>
          <a:prstGeom prst="line">
            <a:avLst/>
          </a:prstGeom>
          <a:ln w="28575"/>
        </xdr:spPr>
        <xdr:style>
          <a:lnRef idx="1">
            <a:schemeClr val="accent6"/>
          </a:lnRef>
          <a:fillRef idx="0">
            <a:schemeClr val="accent6"/>
          </a:fillRef>
          <a:effectRef idx="0">
            <a:schemeClr val="accent6"/>
          </a:effectRef>
          <a:fontRef idx="minor">
            <a:schemeClr val="tx1"/>
          </a:fontRef>
        </xdr:style>
      </xdr:cxnSp>
      <xdr:cxnSp macro="">
        <xdr:nvCxnSpPr>
          <xdr:cNvPr id="120" name="直線コネクタ 119">
            <a:extLst>
              <a:ext uri="{FF2B5EF4-FFF2-40B4-BE49-F238E27FC236}">
                <a16:creationId xmlns:a16="http://schemas.microsoft.com/office/drawing/2014/main" id="{00000000-0008-0000-0300-000078000000}"/>
              </a:ext>
            </a:extLst>
          </xdr:cNvPr>
          <xdr:cNvCxnSpPr/>
        </xdr:nvCxnSpPr>
        <xdr:spPr>
          <a:xfrm>
            <a:off x="14775315" y="3156760"/>
            <a:ext cx="2040114" cy="0"/>
          </a:xfrm>
          <a:prstGeom prst="line">
            <a:avLst/>
          </a:prstGeom>
          <a:ln w="28575">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121" name="正方形/長方形 120">
            <a:extLst>
              <a:ext uri="{FF2B5EF4-FFF2-40B4-BE49-F238E27FC236}">
                <a16:creationId xmlns:a16="http://schemas.microsoft.com/office/drawing/2014/main" id="{00000000-0008-0000-0300-000079000000}"/>
              </a:ext>
            </a:extLst>
          </xdr:cNvPr>
          <xdr:cNvSpPr/>
        </xdr:nvSpPr>
        <xdr:spPr>
          <a:xfrm>
            <a:off x="15977542" y="3564559"/>
            <a:ext cx="807613" cy="57881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lIns="36000" tIns="36000" rIns="36000" bIns="36000" rtlCol="0" anchor="ctr"/>
          <a:lstStyle/>
          <a:p>
            <a:pPr algn="ctr"/>
            <a:r>
              <a:rPr kumimoji="1" lang="ja-JP" altLang="en-US" sz="1050">
                <a:latin typeface="Meiryo UI" panose="020B0604030504040204" pitchFamily="50" charset="-128"/>
                <a:ea typeface="Meiryo UI" panose="020B0604030504040204" pitchFamily="50" charset="-128"/>
                <a:cs typeface="Meiryo UI" panose="020B0604030504040204" pitchFamily="50" charset="-128"/>
              </a:rPr>
              <a:t>セカンダリ</a:t>
            </a:r>
            <a:endParaRPr kumimoji="1" lang="en-US" altLang="ja-JP" sz="1050">
              <a:latin typeface="Meiryo UI" panose="020B0604030504040204" pitchFamily="50" charset="-128"/>
              <a:ea typeface="Meiryo UI" panose="020B0604030504040204" pitchFamily="50" charset="-128"/>
              <a:cs typeface="Meiryo UI" panose="020B0604030504040204" pitchFamily="50" charset="-128"/>
            </a:endParaRPr>
          </a:p>
          <a:p>
            <a:pPr algn="ctr"/>
            <a:r>
              <a:rPr kumimoji="1" lang="ja-JP" altLang="en-US" sz="1050">
                <a:latin typeface="Meiryo UI" panose="020B0604030504040204" pitchFamily="50" charset="-128"/>
                <a:ea typeface="Meiryo UI" panose="020B0604030504040204" pitchFamily="50" charset="-128"/>
                <a:cs typeface="Meiryo UI" panose="020B0604030504040204" pitchFamily="50" charset="-128"/>
              </a:rPr>
              <a:t>受信</a:t>
            </a:r>
            <a:r>
              <a:rPr kumimoji="1" lang="en-US" altLang="ja-JP" sz="1050">
                <a:latin typeface="Meiryo UI" panose="020B0604030504040204" pitchFamily="50" charset="-128"/>
                <a:ea typeface="Meiryo UI" panose="020B0604030504040204" pitchFamily="50" charset="-128"/>
                <a:cs typeface="Meiryo UI" panose="020B0604030504040204" pitchFamily="50" charset="-128"/>
              </a:rPr>
              <a:t>ECU</a:t>
            </a:r>
            <a:endParaRPr kumimoji="1" lang="ja-JP" altLang="en-US" sz="1050">
              <a:latin typeface="Meiryo UI" panose="020B0604030504040204" pitchFamily="50" charset="-128"/>
              <a:ea typeface="Meiryo UI" panose="020B0604030504040204" pitchFamily="50" charset="-128"/>
              <a:cs typeface="Meiryo UI" panose="020B0604030504040204" pitchFamily="50" charset="-128"/>
            </a:endParaRPr>
          </a:p>
        </xdr:txBody>
      </xdr:sp>
      <xdr:sp macro="" textlink="">
        <xdr:nvSpPr>
          <xdr:cNvPr id="122" name="正方形/長方形 121">
            <a:extLst>
              <a:ext uri="{FF2B5EF4-FFF2-40B4-BE49-F238E27FC236}">
                <a16:creationId xmlns:a16="http://schemas.microsoft.com/office/drawing/2014/main" id="{00000000-0008-0000-0300-00007A000000}"/>
              </a:ext>
            </a:extLst>
          </xdr:cNvPr>
          <xdr:cNvSpPr/>
        </xdr:nvSpPr>
        <xdr:spPr>
          <a:xfrm>
            <a:off x="16422632" y="2766343"/>
            <a:ext cx="785410" cy="25098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CAN</a:t>
            </a:r>
            <a:r>
              <a:rPr kumimoji="1" lang="ja-JP" altLang="en-US"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バス</a:t>
            </a:r>
          </a:p>
        </xdr:txBody>
      </xdr:sp>
      <xdr:cxnSp macro="">
        <xdr:nvCxnSpPr>
          <xdr:cNvPr id="123" name="カギ線コネクタ 126">
            <a:extLst>
              <a:ext uri="{FF2B5EF4-FFF2-40B4-BE49-F238E27FC236}">
                <a16:creationId xmlns:a16="http://schemas.microsoft.com/office/drawing/2014/main" id="{00000000-0008-0000-0300-00007B000000}"/>
              </a:ext>
            </a:extLst>
          </xdr:cNvPr>
          <xdr:cNvCxnSpPr>
            <a:stCxn id="137" idx="2"/>
            <a:endCxn id="118" idx="1"/>
          </xdr:cNvCxnSpPr>
        </xdr:nvCxnSpPr>
        <xdr:spPr>
          <a:xfrm flipV="1">
            <a:off x="14193559" y="3158491"/>
            <a:ext cx="534617" cy="59438"/>
          </a:xfrm>
          <a:prstGeom prst="bentConnector3">
            <a:avLst/>
          </a:prstGeom>
          <a:ln w="28575">
            <a:headEnd type="arrow" w="med" len="med"/>
            <a:tailEnd type="none" w="med" len="med"/>
          </a:ln>
        </xdr:spPr>
        <xdr:style>
          <a:lnRef idx="1">
            <a:schemeClr val="dk1"/>
          </a:lnRef>
          <a:fillRef idx="0">
            <a:schemeClr val="dk1"/>
          </a:fillRef>
          <a:effectRef idx="0">
            <a:schemeClr val="dk1"/>
          </a:effectRef>
          <a:fontRef idx="minor">
            <a:schemeClr val="tx1"/>
          </a:fontRef>
        </xdr:style>
      </xdr:cxnSp>
      <xdr:grpSp>
        <xdr:nvGrpSpPr>
          <xdr:cNvPr id="124" name="グループ化 123">
            <a:extLst>
              <a:ext uri="{FF2B5EF4-FFF2-40B4-BE49-F238E27FC236}">
                <a16:creationId xmlns:a16="http://schemas.microsoft.com/office/drawing/2014/main" id="{00000000-0008-0000-0300-00007C000000}"/>
              </a:ext>
            </a:extLst>
          </xdr:cNvPr>
          <xdr:cNvGrpSpPr/>
        </xdr:nvGrpSpPr>
        <xdr:grpSpPr>
          <a:xfrm>
            <a:off x="13424051" y="2543361"/>
            <a:ext cx="855800" cy="802734"/>
            <a:chOff x="643984" y="1576334"/>
            <a:chExt cx="1208840" cy="1163027"/>
          </a:xfrm>
        </xdr:grpSpPr>
        <xdr:grpSp>
          <xdr:nvGrpSpPr>
            <xdr:cNvPr id="134" name="グループ化 133">
              <a:extLst>
                <a:ext uri="{FF2B5EF4-FFF2-40B4-BE49-F238E27FC236}">
                  <a16:creationId xmlns:a16="http://schemas.microsoft.com/office/drawing/2014/main" id="{00000000-0008-0000-0300-000086000000}"/>
                </a:ext>
              </a:extLst>
            </xdr:cNvPr>
            <xdr:cNvGrpSpPr/>
          </xdr:nvGrpSpPr>
          <xdr:grpSpPr>
            <a:xfrm>
              <a:off x="643984" y="1576334"/>
              <a:ext cx="1208840" cy="1163027"/>
              <a:chOff x="667433" y="2053255"/>
              <a:chExt cx="1212721" cy="1180444"/>
            </a:xfrm>
          </xdr:grpSpPr>
          <xdr:sp macro="" textlink="">
            <xdr:nvSpPr>
              <xdr:cNvPr id="136" name="フレーム 135">
                <a:extLst>
                  <a:ext uri="{FF2B5EF4-FFF2-40B4-BE49-F238E27FC236}">
                    <a16:creationId xmlns:a16="http://schemas.microsoft.com/office/drawing/2014/main" id="{00000000-0008-0000-0300-000088000000}"/>
                  </a:ext>
                </a:extLst>
              </xdr:cNvPr>
              <xdr:cNvSpPr/>
            </xdr:nvSpPr>
            <xdr:spPr>
              <a:xfrm>
                <a:off x="884544" y="2053255"/>
                <a:ext cx="995610" cy="795217"/>
              </a:xfrm>
              <a:prstGeom prst="frame">
                <a:avLst>
                  <a:gd name="adj1" fmla="val 640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137" name="平行四辺形 136">
                <a:extLst>
                  <a:ext uri="{FF2B5EF4-FFF2-40B4-BE49-F238E27FC236}">
                    <a16:creationId xmlns:a16="http://schemas.microsoft.com/office/drawing/2014/main" id="{00000000-0008-0000-0300-000089000000}"/>
                  </a:ext>
                </a:extLst>
              </xdr:cNvPr>
              <xdr:cNvSpPr/>
            </xdr:nvSpPr>
            <xdr:spPr>
              <a:xfrm>
                <a:off x="667433" y="2856754"/>
                <a:ext cx="1212720" cy="376945"/>
              </a:xfrm>
              <a:prstGeom prst="parallelogram">
                <a:avLst>
                  <a:gd name="adj" fmla="val 6859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135" name="正方形/長方形 134">
              <a:extLst>
                <a:ext uri="{FF2B5EF4-FFF2-40B4-BE49-F238E27FC236}">
                  <a16:creationId xmlns:a16="http://schemas.microsoft.com/office/drawing/2014/main" id="{00000000-0008-0000-0300-000087000000}"/>
                </a:ext>
              </a:extLst>
            </xdr:cNvPr>
            <xdr:cNvSpPr/>
          </xdr:nvSpPr>
          <xdr:spPr>
            <a:xfrm>
              <a:off x="953151" y="1684022"/>
              <a:ext cx="810840" cy="570702"/>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kumimoji="1" lang="en-US" altLang="ja-JP" sz="900">
                  <a:latin typeface="Meiryo UI" panose="020B0604030504040204" pitchFamily="50" charset="-128"/>
                  <a:ea typeface="Meiryo UI" panose="020B0604030504040204" pitchFamily="50" charset="-128"/>
                  <a:cs typeface="Meiryo UI" panose="020B0604030504040204" pitchFamily="50" charset="-128"/>
                </a:rPr>
                <a:t>CANoe</a:t>
              </a:r>
              <a:endParaRPr kumimoji="1" lang="ja-JP" altLang="en-US" sz="900">
                <a:latin typeface="Meiryo UI" panose="020B0604030504040204" pitchFamily="50" charset="-128"/>
                <a:ea typeface="Meiryo UI" panose="020B0604030504040204" pitchFamily="50" charset="-128"/>
                <a:cs typeface="Meiryo UI" panose="020B0604030504040204" pitchFamily="50" charset="-128"/>
              </a:endParaRPr>
            </a:p>
          </xdr:txBody>
        </xdr:sp>
      </xdr:grpSp>
      <xdr:sp macro="" textlink="">
        <xdr:nvSpPr>
          <xdr:cNvPr id="125" name="角丸四角形 128">
            <a:extLst>
              <a:ext uri="{FF2B5EF4-FFF2-40B4-BE49-F238E27FC236}">
                <a16:creationId xmlns:a16="http://schemas.microsoft.com/office/drawing/2014/main" id="{00000000-0008-0000-0300-00007D000000}"/>
              </a:ext>
            </a:extLst>
          </xdr:cNvPr>
          <xdr:cNvSpPr/>
        </xdr:nvSpPr>
        <xdr:spPr>
          <a:xfrm>
            <a:off x="13345840" y="3433765"/>
            <a:ext cx="1966690" cy="1404934"/>
          </a:xfrm>
          <a:prstGeom prst="roundRect">
            <a:avLst>
              <a:gd name="adj" fmla="val 9260"/>
            </a:avLst>
          </a:prstGeom>
          <a:ln w="12700"/>
        </xdr:spPr>
        <xdr:style>
          <a:lnRef idx="2">
            <a:schemeClr val="dk1"/>
          </a:lnRef>
          <a:fillRef idx="1">
            <a:schemeClr val="lt1"/>
          </a:fillRef>
          <a:effectRef idx="0">
            <a:schemeClr val="dk1"/>
          </a:effectRef>
          <a:fontRef idx="minor">
            <a:schemeClr val="dk1"/>
          </a:fontRef>
        </xdr:style>
        <xdr:txBody>
          <a:bodyPr vertOverflow="overflow" horzOverflow="overflow" lIns="36000" tIns="36000" rIns="36000" bIns="36000"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送信セカンダリ</a:t>
            </a: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ECU</a:t>
            </a: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の代替</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ダイアグ操作</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CAN</a:t>
            </a:r>
            <a:r>
              <a:rPr kumimoji="1" lang="ja-JP"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バス上の送受信</a:t>
            </a: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メッセージ</a:t>
            </a:r>
            <a:r>
              <a:rPr kumimoji="1" lang="ja-JP"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の測定</a:t>
            </a:r>
            <a:endParaRPr kumimoji="1" lang="ja-JP" altLang="en-US" sz="800">
              <a:latin typeface="Meiryo UI" panose="020B0604030504040204" pitchFamily="50" charset="-128"/>
              <a:ea typeface="Meiryo UI" panose="020B0604030504040204" pitchFamily="50" charset="-128"/>
              <a:cs typeface="Meiryo UI" panose="020B0604030504040204" pitchFamily="50" charset="-128"/>
            </a:endParaRPr>
          </a:p>
        </xdr:txBody>
      </xdr:sp>
      <xdr:sp macro="" textlink="">
        <xdr:nvSpPr>
          <xdr:cNvPr id="126" name="角丸四角形 129">
            <a:extLst>
              <a:ext uri="{FF2B5EF4-FFF2-40B4-BE49-F238E27FC236}">
                <a16:creationId xmlns:a16="http://schemas.microsoft.com/office/drawing/2014/main" id="{00000000-0008-0000-0300-00007E000000}"/>
              </a:ext>
            </a:extLst>
          </xdr:cNvPr>
          <xdr:cNvSpPr/>
        </xdr:nvSpPr>
        <xdr:spPr>
          <a:xfrm>
            <a:off x="13276786" y="1879514"/>
            <a:ext cx="1266439" cy="329374"/>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400" b="1">
                <a:latin typeface="Meiryo UI" panose="020B0604030504040204" pitchFamily="50" charset="-128"/>
                <a:ea typeface="Meiryo UI" panose="020B0604030504040204" pitchFamily="50" charset="-128"/>
                <a:cs typeface="Meiryo UI" panose="020B0604030504040204" pitchFamily="50" charset="-128"/>
              </a:rPr>
              <a:t>TypeE</a:t>
            </a:r>
            <a:endParaRPr kumimoji="1" lang="ja-JP" altLang="en-US" sz="1400" b="1">
              <a:latin typeface="Meiryo UI" panose="020B0604030504040204" pitchFamily="50" charset="-128"/>
              <a:ea typeface="Meiryo UI" panose="020B0604030504040204" pitchFamily="50" charset="-128"/>
              <a:cs typeface="Meiryo UI" panose="020B0604030504040204" pitchFamily="50" charset="-128"/>
            </a:endParaRPr>
          </a:p>
        </xdr:txBody>
      </xdr:sp>
      <xdr:cxnSp macro="">
        <xdr:nvCxnSpPr>
          <xdr:cNvPr id="127" name="カギ線コネクタ 130">
            <a:extLst>
              <a:ext uri="{FF2B5EF4-FFF2-40B4-BE49-F238E27FC236}">
                <a16:creationId xmlns:a16="http://schemas.microsoft.com/office/drawing/2014/main" id="{00000000-0008-0000-0300-00007F000000}"/>
              </a:ext>
            </a:extLst>
          </xdr:cNvPr>
          <xdr:cNvCxnSpPr/>
        </xdr:nvCxnSpPr>
        <xdr:spPr>
          <a:xfrm rot="10800000">
            <a:off x="14278429" y="2907571"/>
            <a:ext cx="600532" cy="342861"/>
          </a:xfrm>
          <a:prstGeom prst="bentConnector3">
            <a:avLst>
              <a:gd name="adj1" fmla="val 209"/>
            </a:avLst>
          </a:prstGeom>
          <a:ln w="28575">
            <a:solidFill>
              <a:srgbClr val="7030A0"/>
            </a:solidFill>
            <a:headEnd type="arrow" w="med" len="med"/>
            <a:tailEnd type="arrow" w="med" len="med"/>
          </a:ln>
        </xdr:spPr>
        <xdr:style>
          <a:lnRef idx="1">
            <a:schemeClr val="accent6"/>
          </a:lnRef>
          <a:fillRef idx="0">
            <a:schemeClr val="accent6"/>
          </a:fillRef>
          <a:effectRef idx="0">
            <a:schemeClr val="accent6"/>
          </a:effectRef>
          <a:fontRef idx="minor">
            <a:schemeClr val="tx1"/>
          </a:fontRef>
        </xdr:style>
      </xdr:cxnSp>
      <xdr:cxnSp macro="">
        <xdr:nvCxnSpPr>
          <xdr:cNvPr id="128" name="直線コネクタ 127">
            <a:extLst>
              <a:ext uri="{FF2B5EF4-FFF2-40B4-BE49-F238E27FC236}">
                <a16:creationId xmlns:a16="http://schemas.microsoft.com/office/drawing/2014/main" id="{00000000-0008-0000-0300-000080000000}"/>
              </a:ext>
            </a:extLst>
          </xdr:cNvPr>
          <xdr:cNvCxnSpPr/>
        </xdr:nvCxnSpPr>
        <xdr:spPr>
          <a:xfrm>
            <a:off x="14771508" y="3249926"/>
            <a:ext cx="2040114" cy="0"/>
          </a:xfrm>
          <a:prstGeom prst="line">
            <a:avLst/>
          </a:prstGeom>
          <a:ln w="28575">
            <a:solidFill>
              <a:srgbClr val="7030A0"/>
            </a:solidFill>
          </a:ln>
        </xdr:spPr>
        <xdr:style>
          <a:lnRef idx="1">
            <a:schemeClr val="accent1"/>
          </a:lnRef>
          <a:fillRef idx="0">
            <a:schemeClr val="accent1"/>
          </a:fillRef>
          <a:effectRef idx="0">
            <a:schemeClr val="accent1"/>
          </a:effectRef>
          <a:fontRef idx="minor">
            <a:schemeClr val="tx1"/>
          </a:fontRef>
        </xdr:style>
      </xdr:cxnSp>
      <xdr:cxnSp macro="">
        <xdr:nvCxnSpPr>
          <xdr:cNvPr id="129" name="カギ線コネクタ 132">
            <a:extLst>
              <a:ext uri="{FF2B5EF4-FFF2-40B4-BE49-F238E27FC236}">
                <a16:creationId xmlns:a16="http://schemas.microsoft.com/office/drawing/2014/main" id="{00000000-0008-0000-0300-000081000000}"/>
              </a:ext>
            </a:extLst>
          </xdr:cNvPr>
          <xdr:cNvCxnSpPr/>
        </xdr:nvCxnSpPr>
        <xdr:spPr>
          <a:xfrm rot="10800000">
            <a:off x="14291226" y="2810662"/>
            <a:ext cx="690541" cy="343386"/>
          </a:xfrm>
          <a:prstGeom prst="bentConnector3">
            <a:avLst>
              <a:gd name="adj1" fmla="val 83"/>
            </a:avLst>
          </a:prstGeom>
          <a:ln w="28575">
            <a:solidFill>
              <a:srgbClr val="0070C0"/>
            </a:solidFill>
            <a:headEnd type="arrow" w="med" len="med"/>
            <a:tailEnd type="none" w="med" len="med"/>
          </a:ln>
        </xdr:spPr>
        <xdr:style>
          <a:lnRef idx="1">
            <a:schemeClr val="accent6"/>
          </a:lnRef>
          <a:fillRef idx="0">
            <a:schemeClr val="accent6"/>
          </a:fillRef>
          <a:effectRef idx="0">
            <a:schemeClr val="accent6"/>
          </a:effectRef>
          <a:fontRef idx="minor">
            <a:schemeClr val="tx1"/>
          </a:fontRef>
        </xdr:style>
      </xdr:cxnSp>
      <xdr:cxnSp macro="">
        <xdr:nvCxnSpPr>
          <xdr:cNvPr id="130" name="直線矢印コネクタ 129">
            <a:extLst>
              <a:ext uri="{FF2B5EF4-FFF2-40B4-BE49-F238E27FC236}">
                <a16:creationId xmlns:a16="http://schemas.microsoft.com/office/drawing/2014/main" id="{00000000-0008-0000-0300-000082000000}"/>
              </a:ext>
            </a:extLst>
          </xdr:cNvPr>
          <xdr:cNvCxnSpPr/>
        </xdr:nvCxnSpPr>
        <xdr:spPr>
          <a:xfrm>
            <a:off x="16355024" y="3158494"/>
            <a:ext cx="0" cy="416520"/>
          </a:xfrm>
          <a:prstGeom prst="straightConnector1">
            <a:avLst/>
          </a:prstGeom>
          <a:ln w="28575">
            <a:solidFill>
              <a:srgbClr val="0070C0"/>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xnSp macro="">
        <xdr:nvCxnSpPr>
          <xdr:cNvPr id="131" name="直線矢印コネクタ 130">
            <a:extLst>
              <a:ext uri="{FF2B5EF4-FFF2-40B4-BE49-F238E27FC236}">
                <a16:creationId xmlns:a16="http://schemas.microsoft.com/office/drawing/2014/main" id="{00000000-0008-0000-0300-000083000000}"/>
              </a:ext>
            </a:extLst>
          </xdr:cNvPr>
          <xdr:cNvCxnSpPr/>
        </xdr:nvCxnSpPr>
        <xdr:spPr>
          <a:xfrm>
            <a:off x="16525010" y="3246193"/>
            <a:ext cx="0" cy="328821"/>
          </a:xfrm>
          <a:prstGeom prst="straightConnector1">
            <a:avLst/>
          </a:prstGeom>
          <a:ln w="28575">
            <a:solidFill>
              <a:srgbClr val="7030A0"/>
            </a:solidFill>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sp macro="" textlink="">
        <xdr:nvSpPr>
          <xdr:cNvPr id="132" name="正方形/長方形 131">
            <a:extLst>
              <a:ext uri="{FF2B5EF4-FFF2-40B4-BE49-F238E27FC236}">
                <a16:creationId xmlns:a16="http://schemas.microsoft.com/office/drawing/2014/main" id="{00000000-0008-0000-0300-000084000000}"/>
              </a:ext>
            </a:extLst>
          </xdr:cNvPr>
          <xdr:cNvSpPr/>
        </xdr:nvSpPr>
        <xdr:spPr>
          <a:xfrm>
            <a:off x="15259050" y="2133600"/>
            <a:ext cx="802944" cy="551250"/>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kumimoji="1" lang="ja-JP" altLang="en-US" sz="1000">
                <a:latin typeface="Meiryo UI" panose="020B0604030504040204" pitchFamily="50" charset="-128"/>
                <a:ea typeface="Meiryo UI" panose="020B0604030504040204" pitchFamily="50" charset="-128"/>
                <a:cs typeface="Meiryo UI" panose="020B0604030504040204" pitchFamily="50" charset="-128"/>
              </a:rPr>
              <a:t>プライマリ</a:t>
            </a:r>
            <a:endParaRPr kumimoji="1" lang="en-US" altLang="ja-JP" sz="1000">
              <a:latin typeface="Meiryo UI" panose="020B0604030504040204" pitchFamily="50" charset="-128"/>
              <a:ea typeface="Meiryo UI" panose="020B0604030504040204" pitchFamily="50" charset="-128"/>
              <a:cs typeface="Meiryo UI" panose="020B0604030504040204" pitchFamily="50" charset="-128"/>
            </a:endParaRPr>
          </a:p>
          <a:p>
            <a:pPr algn="ctr"/>
            <a:r>
              <a:rPr kumimoji="1" lang="en-US" altLang="ja-JP" sz="1000">
                <a:latin typeface="Meiryo UI" panose="020B0604030504040204" pitchFamily="50" charset="-128"/>
                <a:ea typeface="Meiryo UI" panose="020B0604030504040204" pitchFamily="50" charset="-128"/>
                <a:cs typeface="Meiryo UI" panose="020B0604030504040204" pitchFamily="50" charset="-128"/>
              </a:rPr>
              <a:t>ECU</a:t>
            </a:r>
            <a:endParaRPr kumimoji="1" lang="ja-JP" altLang="en-US" sz="1000">
              <a:latin typeface="Meiryo UI" panose="020B0604030504040204" pitchFamily="50" charset="-128"/>
              <a:ea typeface="Meiryo UI" panose="020B0604030504040204" pitchFamily="50" charset="-128"/>
              <a:cs typeface="Meiryo UI" panose="020B0604030504040204" pitchFamily="50" charset="-128"/>
            </a:endParaRPr>
          </a:p>
        </xdr:txBody>
      </xdr:sp>
      <xdr:cxnSp macro="">
        <xdr:nvCxnSpPr>
          <xdr:cNvPr id="133" name="直線矢印コネクタ 132">
            <a:extLst>
              <a:ext uri="{FF2B5EF4-FFF2-40B4-BE49-F238E27FC236}">
                <a16:creationId xmlns:a16="http://schemas.microsoft.com/office/drawing/2014/main" id="{00000000-0008-0000-0300-000085000000}"/>
              </a:ext>
            </a:extLst>
          </xdr:cNvPr>
          <xdr:cNvCxnSpPr/>
        </xdr:nvCxnSpPr>
        <xdr:spPr>
          <a:xfrm>
            <a:off x="15639026" y="2700166"/>
            <a:ext cx="0" cy="373641"/>
          </a:xfrm>
          <a:prstGeom prst="straightConnector1">
            <a:avLst/>
          </a:prstGeom>
          <a:ln w="28575">
            <a:solidFill>
              <a:schemeClr val="accent6"/>
            </a:solidFill>
            <a:tailEnd type="arrow"/>
          </a:ln>
        </xdr:spPr>
        <xdr:style>
          <a:lnRef idx="1">
            <a:schemeClr val="accent6"/>
          </a:lnRef>
          <a:fillRef idx="0">
            <a:schemeClr val="accent6"/>
          </a:fillRef>
          <a:effectRef idx="0">
            <a:schemeClr val="accent6"/>
          </a:effectRef>
          <a:fontRef idx="minor">
            <a:schemeClr val="tx1"/>
          </a:fontRef>
        </xdr:style>
      </xdr:cxnSp>
    </xdr:grpSp>
    <xdr:clientData/>
  </xdr:twoCellAnchor>
  <xdr:twoCellAnchor>
    <xdr:from>
      <xdr:col>13</xdr:col>
      <xdr:colOff>257175</xdr:colOff>
      <xdr:row>28</xdr:row>
      <xdr:rowOff>0</xdr:rowOff>
    </xdr:from>
    <xdr:to>
      <xdr:col>19</xdr:col>
      <xdr:colOff>268432</xdr:colOff>
      <xdr:row>43</xdr:row>
      <xdr:rowOff>59747</xdr:rowOff>
    </xdr:to>
    <xdr:grpSp>
      <xdr:nvGrpSpPr>
        <xdr:cNvPr id="138" name="グループ化 137">
          <a:extLst>
            <a:ext uri="{FF2B5EF4-FFF2-40B4-BE49-F238E27FC236}">
              <a16:creationId xmlns:a16="http://schemas.microsoft.com/office/drawing/2014/main" id="{00000000-0008-0000-0300-00008A000000}"/>
            </a:ext>
          </a:extLst>
        </xdr:cNvPr>
        <xdr:cNvGrpSpPr/>
      </xdr:nvGrpSpPr>
      <xdr:grpSpPr>
        <a:xfrm>
          <a:off x="7743825" y="5505450"/>
          <a:ext cx="3611707" cy="3060122"/>
          <a:chOff x="13173075" y="1809750"/>
          <a:chExt cx="4124325" cy="3105150"/>
        </a:xfrm>
      </xdr:grpSpPr>
      <xdr:sp macro="" textlink="">
        <xdr:nvSpPr>
          <xdr:cNvPr id="139" name="正方形/長方形 138">
            <a:extLst>
              <a:ext uri="{FF2B5EF4-FFF2-40B4-BE49-F238E27FC236}">
                <a16:creationId xmlns:a16="http://schemas.microsoft.com/office/drawing/2014/main" id="{00000000-0008-0000-0300-00008B000000}"/>
              </a:ext>
            </a:extLst>
          </xdr:cNvPr>
          <xdr:cNvSpPr/>
        </xdr:nvSpPr>
        <xdr:spPr>
          <a:xfrm>
            <a:off x="13173075" y="1809750"/>
            <a:ext cx="4124325" cy="3105150"/>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140" name="正方形/長方形 139">
            <a:extLst>
              <a:ext uri="{FF2B5EF4-FFF2-40B4-BE49-F238E27FC236}">
                <a16:creationId xmlns:a16="http://schemas.microsoft.com/office/drawing/2014/main" id="{00000000-0008-0000-0300-00008C000000}"/>
              </a:ext>
            </a:extLst>
          </xdr:cNvPr>
          <xdr:cNvSpPr/>
        </xdr:nvSpPr>
        <xdr:spPr>
          <a:xfrm>
            <a:off x="14728176" y="3022055"/>
            <a:ext cx="2181581" cy="272871"/>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xnSp macro="">
        <xdr:nvCxnSpPr>
          <xdr:cNvPr id="141" name="直線コネクタ 140">
            <a:extLst>
              <a:ext uri="{FF2B5EF4-FFF2-40B4-BE49-F238E27FC236}">
                <a16:creationId xmlns:a16="http://schemas.microsoft.com/office/drawing/2014/main" id="{00000000-0008-0000-0300-00008D000000}"/>
              </a:ext>
            </a:extLst>
          </xdr:cNvPr>
          <xdr:cNvCxnSpPr/>
        </xdr:nvCxnSpPr>
        <xdr:spPr>
          <a:xfrm>
            <a:off x="14773205" y="3070565"/>
            <a:ext cx="2040114" cy="0"/>
          </a:xfrm>
          <a:prstGeom prst="line">
            <a:avLst/>
          </a:prstGeom>
          <a:ln w="28575"/>
        </xdr:spPr>
        <xdr:style>
          <a:lnRef idx="1">
            <a:schemeClr val="accent6"/>
          </a:lnRef>
          <a:fillRef idx="0">
            <a:schemeClr val="accent6"/>
          </a:fillRef>
          <a:effectRef idx="0">
            <a:schemeClr val="accent6"/>
          </a:effectRef>
          <a:fontRef idx="minor">
            <a:schemeClr val="tx1"/>
          </a:fontRef>
        </xdr:style>
      </xdr:cxnSp>
      <xdr:cxnSp macro="">
        <xdr:nvCxnSpPr>
          <xdr:cNvPr id="142" name="直線コネクタ 141">
            <a:extLst>
              <a:ext uri="{FF2B5EF4-FFF2-40B4-BE49-F238E27FC236}">
                <a16:creationId xmlns:a16="http://schemas.microsoft.com/office/drawing/2014/main" id="{00000000-0008-0000-0300-00008E000000}"/>
              </a:ext>
            </a:extLst>
          </xdr:cNvPr>
          <xdr:cNvCxnSpPr/>
        </xdr:nvCxnSpPr>
        <xdr:spPr>
          <a:xfrm>
            <a:off x="14775315" y="3156760"/>
            <a:ext cx="2040114" cy="0"/>
          </a:xfrm>
          <a:prstGeom prst="line">
            <a:avLst/>
          </a:prstGeom>
          <a:ln w="28575">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143" name="正方形/長方形 142">
            <a:extLst>
              <a:ext uri="{FF2B5EF4-FFF2-40B4-BE49-F238E27FC236}">
                <a16:creationId xmlns:a16="http://schemas.microsoft.com/office/drawing/2014/main" id="{00000000-0008-0000-0300-00008F000000}"/>
              </a:ext>
            </a:extLst>
          </xdr:cNvPr>
          <xdr:cNvSpPr/>
        </xdr:nvSpPr>
        <xdr:spPr>
          <a:xfrm>
            <a:off x="15977542" y="3564559"/>
            <a:ext cx="807613" cy="578815"/>
          </a:xfrm>
          <a:prstGeom prst="rect">
            <a:avLst/>
          </a:prstGeom>
          <a:gradFill>
            <a:gsLst>
              <a:gs pos="0">
                <a:srgbClr val="9EEAFF"/>
              </a:gs>
              <a:gs pos="35000">
                <a:srgbClr val="BBEFFF"/>
              </a:gs>
              <a:gs pos="100000">
                <a:srgbClr val="E4F9FF"/>
              </a:gs>
            </a:gsLst>
          </a:gradFill>
        </xdr:spPr>
        <xdr:style>
          <a:lnRef idx="1">
            <a:schemeClr val="accent1"/>
          </a:lnRef>
          <a:fillRef idx="2">
            <a:schemeClr val="accent1"/>
          </a:fillRef>
          <a:effectRef idx="1">
            <a:schemeClr val="accent1"/>
          </a:effectRef>
          <a:fontRef idx="minor">
            <a:schemeClr val="dk1"/>
          </a:fontRef>
        </xdr:style>
        <xdr:txBody>
          <a:bodyPr vertOverflow="clip" horzOverflow="clip" lIns="36000" tIns="36000" rIns="36000" bIns="36000" rtlCol="0" anchor="ctr"/>
          <a:lstStyle/>
          <a:p>
            <a:pPr algn="ctr"/>
            <a:r>
              <a:rPr kumimoji="1" lang="ja-JP" altLang="en-US" sz="1050">
                <a:latin typeface="Meiryo UI" panose="020B0604030504040204" pitchFamily="50" charset="-128"/>
                <a:ea typeface="Meiryo UI" panose="020B0604030504040204" pitchFamily="50" charset="-128"/>
                <a:cs typeface="Meiryo UI" panose="020B0604030504040204" pitchFamily="50" charset="-128"/>
              </a:rPr>
              <a:t>セカンダリ</a:t>
            </a:r>
            <a:endParaRPr kumimoji="1" lang="en-US" altLang="ja-JP" sz="1050">
              <a:latin typeface="Meiryo UI" panose="020B0604030504040204" pitchFamily="50" charset="-128"/>
              <a:ea typeface="Meiryo UI" panose="020B0604030504040204" pitchFamily="50" charset="-128"/>
              <a:cs typeface="Meiryo UI" panose="020B0604030504040204" pitchFamily="50" charset="-128"/>
            </a:endParaRPr>
          </a:p>
          <a:p>
            <a:pPr algn="ctr"/>
            <a:r>
              <a:rPr kumimoji="1" lang="ja-JP" altLang="en-US" sz="1050">
                <a:latin typeface="Meiryo UI" panose="020B0604030504040204" pitchFamily="50" charset="-128"/>
                <a:ea typeface="Meiryo UI" panose="020B0604030504040204" pitchFamily="50" charset="-128"/>
                <a:cs typeface="Meiryo UI" panose="020B0604030504040204" pitchFamily="50" charset="-128"/>
              </a:rPr>
              <a:t>送信</a:t>
            </a:r>
            <a:r>
              <a:rPr kumimoji="1" lang="en-US" altLang="ja-JP" sz="1050">
                <a:latin typeface="Meiryo UI" panose="020B0604030504040204" pitchFamily="50" charset="-128"/>
                <a:ea typeface="Meiryo UI" panose="020B0604030504040204" pitchFamily="50" charset="-128"/>
                <a:cs typeface="Meiryo UI" panose="020B0604030504040204" pitchFamily="50" charset="-128"/>
              </a:rPr>
              <a:t>ECU</a:t>
            </a:r>
            <a:endParaRPr kumimoji="1" lang="ja-JP" altLang="en-US" sz="1050">
              <a:latin typeface="Meiryo UI" panose="020B0604030504040204" pitchFamily="50" charset="-128"/>
              <a:ea typeface="Meiryo UI" panose="020B0604030504040204" pitchFamily="50" charset="-128"/>
              <a:cs typeface="Meiryo UI" panose="020B0604030504040204" pitchFamily="50" charset="-128"/>
            </a:endParaRPr>
          </a:p>
        </xdr:txBody>
      </xdr:sp>
      <xdr:sp macro="" textlink="">
        <xdr:nvSpPr>
          <xdr:cNvPr id="144" name="正方形/長方形 143">
            <a:extLst>
              <a:ext uri="{FF2B5EF4-FFF2-40B4-BE49-F238E27FC236}">
                <a16:creationId xmlns:a16="http://schemas.microsoft.com/office/drawing/2014/main" id="{00000000-0008-0000-0300-000090000000}"/>
              </a:ext>
            </a:extLst>
          </xdr:cNvPr>
          <xdr:cNvSpPr/>
        </xdr:nvSpPr>
        <xdr:spPr>
          <a:xfrm>
            <a:off x="16422632" y="2766343"/>
            <a:ext cx="785410" cy="25098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CAN</a:t>
            </a:r>
            <a:r>
              <a:rPr kumimoji="1" lang="ja-JP" altLang="en-US"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バス</a:t>
            </a:r>
          </a:p>
        </xdr:txBody>
      </xdr:sp>
      <xdr:cxnSp macro="">
        <xdr:nvCxnSpPr>
          <xdr:cNvPr id="145" name="カギ線コネクタ 126">
            <a:extLst>
              <a:ext uri="{FF2B5EF4-FFF2-40B4-BE49-F238E27FC236}">
                <a16:creationId xmlns:a16="http://schemas.microsoft.com/office/drawing/2014/main" id="{00000000-0008-0000-0300-000091000000}"/>
              </a:ext>
            </a:extLst>
          </xdr:cNvPr>
          <xdr:cNvCxnSpPr>
            <a:stCxn id="159" idx="2"/>
            <a:endCxn id="140" idx="1"/>
          </xdr:cNvCxnSpPr>
        </xdr:nvCxnSpPr>
        <xdr:spPr>
          <a:xfrm flipV="1">
            <a:off x="14193559" y="3158491"/>
            <a:ext cx="534617" cy="59438"/>
          </a:xfrm>
          <a:prstGeom prst="bentConnector3">
            <a:avLst/>
          </a:prstGeom>
          <a:ln w="28575">
            <a:headEnd type="arrow" w="med" len="med"/>
            <a:tailEnd type="none" w="med" len="med"/>
          </a:ln>
        </xdr:spPr>
        <xdr:style>
          <a:lnRef idx="1">
            <a:schemeClr val="dk1"/>
          </a:lnRef>
          <a:fillRef idx="0">
            <a:schemeClr val="dk1"/>
          </a:fillRef>
          <a:effectRef idx="0">
            <a:schemeClr val="dk1"/>
          </a:effectRef>
          <a:fontRef idx="minor">
            <a:schemeClr val="tx1"/>
          </a:fontRef>
        </xdr:style>
      </xdr:cxnSp>
      <xdr:grpSp>
        <xdr:nvGrpSpPr>
          <xdr:cNvPr id="146" name="グループ化 145">
            <a:extLst>
              <a:ext uri="{FF2B5EF4-FFF2-40B4-BE49-F238E27FC236}">
                <a16:creationId xmlns:a16="http://schemas.microsoft.com/office/drawing/2014/main" id="{00000000-0008-0000-0300-000092000000}"/>
              </a:ext>
            </a:extLst>
          </xdr:cNvPr>
          <xdr:cNvGrpSpPr/>
        </xdr:nvGrpSpPr>
        <xdr:grpSpPr>
          <a:xfrm>
            <a:off x="13424051" y="2543361"/>
            <a:ext cx="855800" cy="802734"/>
            <a:chOff x="643984" y="1576334"/>
            <a:chExt cx="1208840" cy="1163027"/>
          </a:xfrm>
        </xdr:grpSpPr>
        <xdr:grpSp>
          <xdr:nvGrpSpPr>
            <xdr:cNvPr id="156" name="グループ化 155">
              <a:extLst>
                <a:ext uri="{FF2B5EF4-FFF2-40B4-BE49-F238E27FC236}">
                  <a16:creationId xmlns:a16="http://schemas.microsoft.com/office/drawing/2014/main" id="{00000000-0008-0000-0300-00009C000000}"/>
                </a:ext>
              </a:extLst>
            </xdr:cNvPr>
            <xdr:cNvGrpSpPr/>
          </xdr:nvGrpSpPr>
          <xdr:grpSpPr>
            <a:xfrm>
              <a:off x="643984" y="1576334"/>
              <a:ext cx="1208840" cy="1163027"/>
              <a:chOff x="667433" y="2053255"/>
              <a:chExt cx="1212721" cy="1180444"/>
            </a:xfrm>
          </xdr:grpSpPr>
          <xdr:sp macro="" textlink="">
            <xdr:nvSpPr>
              <xdr:cNvPr id="158" name="フレーム 157">
                <a:extLst>
                  <a:ext uri="{FF2B5EF4-FFF2-40B4-BE49-F238E27FC236}">
                    <a16:creationId xmlns:a16="http://schemas.microsoft.com/office/drawing/2014/main" id="{00000000-0008-0000-0300-00009E000000}"/>
                  </a:ext>
                </a:extLst>
              </xdr:cNvPr>
              <xdr:cNvSpPr/>
            </xdr:nvSpPr>
            <xdr:spPr>
              <a:xfrm>
                <a:off x="884544" y="2053255"/>
                <a:ext cx="995610" cy="795217"/>
              </a:xfrm>
              <a:prstGeom prst="frame">
                <a:avLst>
                  <a:gd name="adj1" fmla="val 640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159" name="平行四辺形 158">
                <a:extLst>
                  <a:ext uri="{FF2B5EF4-FFF2-40B4-BE49-F238E27FC236}">
                    <a16:creationId xmlns:a16="http://schemas.microsoft.com/office/drawing/2014/main" id="{00000000-0008-0000-0300-00009F000000}"/>
                  </a:ext>
                </a:extLst>
              </xdr:cNvPr>
              <xdr:cNvSpPr/>
            </xdr:nvSpPr>
            <xdr:spPr>
              <a:xfrm>
                <a:off x="667433" y="2856754"/>
                <a:ext cx="1212720" cy="376945"/>
              </a:xfrm>
              <a:prstGeom prst="parallelogram">
                <a:avLst>
                  <a:gd name="adj" fmla="val 6859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157" name="正方形/長方形 156">
              <a:extLst>
                <a:ext uri="{FF2B5EF4-FFF2-40B4-BE49-F238E27FC236}">
                  <a16:creationId xmlns:a16="http://schemas.microsoft.com/office/drawing/2014/main" id="{00000000-0008-0000-0300-00009D000000}"/>
                </a:ext>
              </a:extLst>
            </xdr:cNvPr>
            <xdr:cNvSpPr/>
          </xdr:nvSpPr>
          <xdr:spPr>
            <a:xfrm>
              <a:off x="953151" y="1684022"/>
              <a:ext cx="810840" cy="570702"/>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kumimoji="1" lang="en-US" altLang="ja-JP" sz="900">
                  <a:latin typeface="Meiryo UI" panose="020B0604030504040204" pitchFamily="50" charset="-128"/>
                  <a:ea typeface="Meiryo UI" panose="020B0604030504040204" pitchFamily="50" charset="-128"/>
                  <a:cs typeface="Meiryo UI" panose="020B0604030504040204" pitchFamily="50" charset="-128"/>
                </a:rPr>
                <a:t>CANoe</a:t>
              </a:r>
              <a:endParaRPr kumimoji="1" lang="ja-JP" altLang="en-US" sz="900">
                <a:latin typeface="Meiryo UI" panose="020B0604030504040204" pitchFamily="50" charset="-128"/>
                <a:ea typeface="Meiryo UI" panose="020B0604030504040204" pitchFamily="50" charset="-128"/>
                <a:cs typeface="Meiryo UI" panose="020B0604030504040204" pitchFamily="50" charset="-128"/>
              </a:endParaRPr>
            </a:p>
          </xdr:txBody>
        </xdr:sp>
      </xdr:grpSp>
      <xdr:sp macro="" textlink="">
        <xdr:nvSpPr>
          <xdr:cNvPr id="147" name="角丸四角形 128">
            <a:extLst>
              <a:ext uri="{FF2B5EF4-FFF2-40B4-BE49-F238E27FC236}">
                <a16:creationId xmlns:a16="http://schemas.microsoft.com/office/drawing/2014/main" id="{00000000-0008-0000-0300-000093000000}"/>
              </a:ext>
            </a:extLst>
          </xdr:cNvPr>
          <xdr:cNvSpPr/>
        </xdr:nvSpPr>
        <xdr:spPr>
          <a:xfrm>
            <a:off x="13345840" y="3433765"/>
            <a:ext cx="1966690" cy="1404934"/>
          </a:xfrm>
          <a:prstGeom prst="roundRect">
            <a:avLst>
              <a:gd name="adj" fmla="val 9260"/>
            </a:avLst>
          </a:prstGeom>
          <a:ln w="12700"/>
        </xdr:spPr>
        <xdr:style>
          <a:lnRef idx="2">
            <a:schemeClr val="dk1"/>
          </a:lnRef>
          <a:fillRef idx="1">
            <a:schemeClr val="lt1"/>
          </a:fillRef>
          <a:effectRef idx="0">
            <a:schemeClr val="dk1"/>
          </a:effectRef>
          <a:fontRef idx="minor">
            <a:schemeClr val="dk1"/>
          </a:fontRef>
        </xdr:style>
        <xdr:txBody>
          <a:bodyPr vertOverflow="overflow" horzOverflow="overflow" lIns="36000" tIns="36000" rIns="36000" bIns="36000"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ダイアグ操作</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a:t>
            </a:r>
            <a:endPar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en-US"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CAN</a:t>
            </a:r>
            <a:r>
              <a:rPr kumimoji="1" lang="ja-JP"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バス上の送受信</a:t>
            </a:r>
            <a:r>
              <a:rPr kumimoji="1" lang="ja-JP" altLang="en-US"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メッセージ</a:t>
            </a:r>
            <a:r>
              <a:rPr kumimoji="1" lang="ja-JP" altLang="ja-JP" sz="800">
                <a:solidFill>
                  <a:schemeClr val="dk1"/>
                </a:solidFill>
                <a:effectLst/>
                <a:latin typeface="Meiryo UI" panose="020B0604030504040204" pitchFamily="50" charset="-128"/>
                <a:ea typeface="Meiryo UI" panose="020B0604030504040204" pitchFamily="50" charset="-128"/>
                <a:cs typeface="Meiryo UI" panose="020B0604030504040204" pitchFamily="50" charset="-128"/>
              </a:rPr>
              <a:t>の測定</a:t>
            </a:r>
            <a:endParaRPr kumimoji="1" lang="ja-JP" altLang="en-US" sz="800">
              <a:latin typeface="Meiryo UI" panose="020B0604030504040204" pitchFamily="50" charset="-128"/>
              <a:ea typeface="Meiryo UI" panose="020B0604030504040204" pitchFamily="50" charset="-128"/>
              <a:cs typeface="Meiryo UI" panose="020B0604030504040204" pitchFamily="50" charset="-128"/>
            </a:endParaRPr>
          </a:p>
        </xdr:txBody>
      </xdr:sp>
      <xdr:sp macro="" textlink="">
        <xdr:nvSpPr>
          <xdr:cNvPr id="148" name="角丸四角形 129">
            <a:extLst>
              <a:ext uri="{FF2B5EF4-FFF2-40B4-BE49-F238E27FC236}">
                <a16:creationId xmlns:a16="http://schemas.microsoft.com/office/drawing/2014/main" id="{00000000-0008-0000-0300-000094000000}"/>
              </a:ext>
            </a:extLst>
          </xdr:cNvPr>
          <xdr:cNvSpPr/>
        </xdr:nvSpPr>
        <xdr:spPr>
          <a:xfrm>
            <a:off x="13276786" y="1879514"/>
            <a:ext cx="1266439" cy="329374"/>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400" b="1">
                <a:latin typeface="Meiryo UI" panose="020B0604030504040204" pitchFamily="50" charset="-128"/>
                <a:ea typeface="Meiryo UI" panose="020B0604030504040204" pitchFamily="50" charset="-128"/>
                <a:cs typeface="Meiryo UI" panose="020B0604030504040204" pitchFamily="50" charset="-128"/>
              </a:rPr>
              <a:t>TypeF</a:t>
            </a:r>
            <a:endParaRPr kumimoji="1" lang="ja-JP" altLang="en-US" sz="1400" b="1">
              <a:latin typeface="Meiryo UI" panose="020B0604030504040204" pitchFamily="50" charset="-128"/>
              <a:ea typeface="Meiryo UI" panose="020B0604030504040204" pitchFamily="50" charset="-128"/>
              <a:cs typeface="Meiryo UI" panose="020B0604030504040204" pitchFamily="50" charset="-128"/>
            </a:endParaRPr>
          </a:p>
        </xdr:txBody>
      </xdr:sp>
      <xdr:cxnSp macro="">
        <xdr:nvCxnSpPr>
          <xdr:cNvPr id="149" name="カギ線コネクタ 130">
            <a:extLst>
              <a:ext uri="{FF2B5EF4-FFF2-40B4-BE49-F238E27FC236}">
                <a16:creationId xmlns:a16="http://schemas.microsoft.com/office/drawing/2014/main" id="{00000000-0008-0000-0300-000095000000}"/>
              </a:ext>
            </a:extLst>
          </xdr:cNvPr>
          <xdr:cNvCxnSpPr/>
        </xdr:nvCxnSpPr>
        <xdr:spPr>
          <a:xfrm rot="10800000">
            <a:off x="14278429" y="2907571"/>
            <a:ext cx="600532" cy="342861"/>
          </a:xfrm>
          <a:prstGeom prst="bentConnector3">
            <a:avLst>
              <a:gd name="adj1" fmla="val 209"/>
            </a:avLst>
          </a:prstGeom>
          <a:ln w="28575">
            <a:solidFill>
              <a:srgbClr val="7030A0"/>
            </a:solidFill>
            <a:headEnd type="arrow" w="med" len="med"/>
            <a:tailEnd type="arrow" w="med" len="med"/>
          </a:ln>
        </xdr:spPr>
        <xdr:style>
          <a:lnRef idx="1">
            <a:schemeClr val="accent6"/>
          </a:lnRef>
          <a:fillRef idx="0">
            <a:schemeClr val="accent6"/>
          </a:fillRef>
          <a:effectRef idx="0">
            <a:schemeClr val="accent6"/>
          </a:effectRef>
          <a:fontRef idx="minor">
            <a:schemeClr val="tx1"/>
          </a:fontRef>
        </xdr:style>
      </xdr:cxnSp>
      <xdr:cxnSp macro="">
        <xdr:nvCxnSpPr>
          <xdr:cNvPr id="150" name="直線コネクタ 149">
            <a:extLst>
              <a:ext uri="{FF2B5EF4-FFF2-40B4-BE49-F238E27FC236}">
                <a16:creationId xmlns:a16="http://schemas.microsoft.com/office/drawing/2014/main" id="{00000000-0008-0000-0300-000096000000}"/>
              </a:ext>
            </a:extLst>
          </xdr:cNvPr>
          <xdr:cNvCxnSpPr/>
        </xdr:nvCxnSpPr>
        <xdr:spPr>
          <a:xfrm>
            <a:off x="14771508" y="3249926"/>
            <a:ext cx="2040114" cy="0"/>
          </a:xfrm>
          <a:prstGeom prst="line">
            <a:avLst/>
          </a:prstGeom>
          <a:ln w="28575">
            <a:solidFill>
              <a:srgbClr val="7030A0"/>
            </a:solidFill>
          </a:ln>
        </xdr:spPr>
        <xdr:style>
          <a:lnRef idx="1">
            <a:schemeClr val="accent1"/>
          </a:lnRef>
          <a:fillRef idx="0">
            <a:schemeClr val="accent1"/>
          </a:fillRef>
          <a:effectRef idx="0">
            <a:schemeClr val="accent1"/>
          </a:effectRef>
          <a:fontRef idx="minor">
            <a:schemeClr val="tx1"/>
          </a:fontRef>
        </xdr:style>
      </xdr:cxnSp>
      <xdr:cxnSp macro="">
        <xdr:nvCxnSpPr>
          <xdr:cNvPr id="151" name="カギ線コネクタ 132">
            <a:extLst>
              <a:ext uri="{FF2B5EF4-FFF2-40B4-BE49-F238E27FC236}">
                <a16:creationId xmlns:a16="http://schemas.microsoft.com/office/drawing/2014/main" id="{00000000-0008-0000-0300-000097000000}"/>
              </a:ext>
            </a:extLst>
          </xdr:cNvPr>
          <xdr:cNvCxnSpPr/>
        </xdr:nvCxnSpPr>
        <xdr:spPr>
          <a:xfrm rot="10800000">
            <a:off x="14291226" y="2810662"/>
            <a:ext cx="690541" cy="343386"/>
          </a:xfrm>
          <a:prstGeom prst="bentConnector3">
            <a:avLst>
              <a:gd name="adj1" fmla="val 83"/>
            </a:avLst>
          </a:prstGeom>
          <a:ln w="28575">
            <a:solidFill>
              <a:srgbClr val="0070C0"/>
            </a:solidFill>
            <a:headEnd type="arrow" w="med" len="med"/>
            <a:tailEnd type="none" w="med" len="med"/>
          </a:ln>
        </xdr:spPr>
        <xdr:style>
          <a:lnRef idx="1">
            <a:schemeClr val="accent6"/>
          </a:lnRef>
          <a:fillRef idx="0">
            <a:schemeClr val="accent6"/>
          </a:fillRef>
          <a:effectRef idx="0">
            <a:schemeClr val="accent6"/>
          </a:effectRef>
          <a:fontRef idx="minor">
            <a:schemeClr val="tx1"/>
          </a:fontRef>
        </xdr:style>
      </xdr:cxnSp>
      <xdr:cxnSp macro="">
        <xdr:nvCxnSpPr>
          <xdr:cNvPr id="152" name="直線矢印コネクタ 151">
            <a:extLst>
              <a:ext uri="{FF2B5EF4-FFF2-40B4-BE49-F238E27FC236}">
                <a16:creationId xmlns:a16="http://schemas.microsoft.com/office/drawing/2014/main" id="{00000000-0008-0000-0300-000098000000}"/>
              </a:ext>
            </a:extLst>
          </xdr:cNvPr>
          <xdr:cNvCxnSpPr/>
        </xdr:nvCxnSpPr>
        <xdr:spPr>
          <a:xfrm>
            <a:off x="16355024" y="3158494"/>
            <a:ext cx="0" cy="416520"/>
          </a:xfrm>
          <a:prstGeom prst="straightConnector1">
            <a:avLst/>
          </a:prstGeom>
          <a:ln w="28575">
            <a:solidFill>
              <a:srgbClr val="0070C0"/>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3" name="直線矢印コネクタ 152">
            <a:extLst>
              <a:ext uri="{FF2B5EF4-FFF2-40B4-BE49-F238E27FC236}">
                <a16:creationId xmlns:a16="http://schemas.microsoft.com/office/drawing/2014/main" id="{00000000-0008-0000-0300-000099000000}"/>
              </a:ext>
            </a:extLst>
          </xdr:cNvPr>
          <xdr:cNvCxnSpPr/>
        </xdr:nvCxnSpPr>
        <xdr:spPr>
          <a:xfrm>
            <a:off x="16525010" y="3246193"/>
            <a:ext cx="0" cy="328821"/>
          </a:xfrm>
          <a:prstGeom prst="straightConnector1">
            <a:avLst/>
          </a:prstGeom>
          <a:ln w="28575">
            <a:solidFill>
              <a:srgbClr val="7030A0"/>
            </a:solidFill>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sp macro="" textlink="">
        <xdr:nvSpPr>
          <xdr:cNvPr id="154" name="正方形/長方形 153">
            <a:extLst>
              <a:ext uri="{FF2B5EF4-FFF2-40B4-BE49-F238E27FC236}">
                <a16:creationId xmlns:a16="http://schemas.microsoft.com/office/drawing/2014/main" id="{00000000-0008-0000-0300-00009A000000}"/>
              </a:ext>
            </a:extLst>
          </xdr:cNvPr>
          <xdr:cNvSpPr/>
        </xdr:nvSpPr>
        <xdr:spPr>
          <a:xfrm>
            <a:off x="15259050" y="2133600"/>
            <a:ext cx="802944" cy="551250"/>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kumimoji="1" lang="ja-JP" altLang="en-US" sz="1000">
                <a:latin typeface="Meiryo UI" panose="020B0604030504040204" pitchFamily="50" charset="-128"/>
                <a:ea typeface="Meiryo UI" panose="020B0604030504040204" pitchFamily="50" charset="-128"/>
                <a:cs typeface="Meiryo UI" panose="020B0604030504040204" pitchFamily="50" charset="-128"/>
              </a:rPr>
              <a:t>プライマリ</a:t>
            </a:r>
            <a:endParaRPr kumimoji="1" lang="en-US" altLang="ja-JP" sz="1000">
              <a:latin typeface="Meiryo UI" panose="020B0604030504040204" pitchFamily="50" charset="-128"/>
              <a:ea typeface="Meiryo UI" panose="020B0604030504040204" pitchFamily="50" charset="-128"/>
              <a:cs typeface="Meiryo UI" panose="020B0604030504040204" pitchFamily="50" charset="-128"/>
            </a:endParaRPr>
          </a:p>
          <a:p>
            <a:pPr algn="ctr"/>
            <a:r>
              <a:rPr kumimoji="1" lang="en-US" altLang="ja-JP" sz="1000">
                <a:latin typeface="Meiryo UI" panose="020B0604030504040204" pitchFamily="50" charset="-128"/>
                <a:ea typeface="Meiryo UI" panose="020B0604030504040204" pitchFamily="50" charset="-128"/>
                <a:cs typeface="Meiryo UI" panose="020B0604030504040204" pitchFamily="50" charset="-128"/>
              </a:rPr>
              <a:t>ECU</a:t>
            </a:r>
            <a:endParaRPr kumimoji="1" lang="ja-JP" altLang="en-US" sz="1000">
              <a:latin typeface="Meiryo UI" panose="020B0604030504040204" pitchFamily="50" charset="-128"/>
              <a:ea typeface="Meiryo UI" panose="020B0604030504040204" pitchFamily="50" charset="-128"/>
              <a:cs typeface="Meiryo UI" panose="020B0604030504040204" pitchFamily="50" charset="-128"/>
            </a:endParaRPr>
          </a:p>
        </xdr:txBody>
      </xdr:sp>
      <xdr:cxnSp macro="">
        <xdr:nvCxnSpPr>
          <xdr:cNvPr id="155" name="直線矢印コネクタ 154">
            <a:extLst>
              <a:ext uri="{FF2B5EF4-FFF2-40B4-BE49-F238E27FC236}">
                <a16:creationId xmlns:a16="http://schemas.microsoft.com/office/drawing/2014/main" id="{00000000-0008-0000-0300-00009B000000}"/>
              </a:ext>
            </a:extLst>
          </xdr:cNvPr>
          <xdr:cNvCxnSpPr/>
        </xdr:nvCxnSpPr>
        <xdr:spPr>
          <a:xfrm>
            <a:off x="15639026" y="2700166"/>
            <a:ext cx="0" cy="373641"/>
          </a:xfrm>
          <a:prstGeom prst="straightConnector1">
            <a:avLst/>
          </a:prstGeom>
          <a:ln w="28575">
            <a:solidFill>
              <a:schemeClr val="accent6"/>
            </a:solidFill>
            <a:tailEnd type="arrow"/>
          </a:ln>
        </xdr:spPr>
        <xdr:style>
          <a:lnRef idx="1">
            <a:schemeClr val="accent6"/>
          </a:lnRef>
          <a:fillRef idx="0">
            <a:schemeClr val="accent6"/>
          </a:fillRef>
          <a:effectRef idx="0">
            <a:schemeClr val="accent6"/>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133350</xdr:colOff>
      <xdr:row>6</xdr:row>
      <xdr:rowOff>104775</xdr:rowOff>
    </xdr:from>
    <xdr:to>
      <xdr:col>8</xdr:col>
      <xdr:colOff>495300</xdr:colOff>
      <xdr:row>11</xdr:row>
      <xdr:rowOff>0</xdr:rowOff>
    </xdr:to>
    <xdr:grpSp>
      <xdr:nvGrpSpPr>
        <xdr:cNvPr id="2" name="グループ化 1">
          <a:extLst>
            <a:ext uri="{FF2B5EF4-FFF2-40B4-BE49-F238E27FC236}">
              <a16:creationId xmlns:a16="http://schemas.microsoft.com/office/drawing/2014/main" id="{00000000-0008-0000-0500-000002000000}"/>
            </a:ext>
          </a:extLst>
        </xdr:cNvPr>
        <xdr:cNvGrpSpPr/>
      </xdr:nvGrpSpPr>
      <xdr:grpSpPr>
        <a:xfrm>
          <a:off x="1114425" y="1304925"/>
          <a:ext cx="3362325" cy="895350"/>
          <a:chOff x="1114425" y="1162050"/>
          <a:chExt cx="3790950" cy="895350"/>
        </a:xfrm>
      </xdr:grpSpPr>
      <xdr:sp macro="" textlink="">
        <xdr:nvSpPr>
          <xdr:cNvPr id="3" name="角丸四角形 1">
            <a:extLst>
              <a:ext uri="{FF2B5EF4-FFF2-40B4-BE49-F238E27FC236}">
                <a16:creationId xmlns:a16="http://schemas.microsoft.com/office/drawing/2014/main" id="{00000000-0008-0000-0500-000003000000}"/>
              </a:ext>
            </a:extLst>
          </xdr:cNvPr>
          <xdr:cNvSpPr/>
        </xdr:nvSpPr>
        <xdr:spPr>
          <a:xfrm>
            <a:off x="1114425" y="1162050"/>
            <a:ext cx="3790950" cy="895350"/>
          </a:xfrm>
          <a:prstGeom prst="roundRect">
            <a:avLst>
              <a:gd name="adj" fmla="val 0"/>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kumimoji="1" lang="en-US" altLang="ja-JP" sz="2400" b="1">
                <a:latin typeface="Meiryo UI" panose="020B0604030504040204" pitchFamily="50" charset="-128"/>
                <a:ea typeface="Meiryo UI" panose="020B0604030504040204" pitchFamily="50" charset="-128"/>
                <a:cs typeface="Meiryo UI" panose="020B0604030504040204" pitchFamily="50" charset="-128"/>
              </a:rPr>
              <a:t>M1</a:t>
            </a:r>
            <a:r>
              <a:rPr kumimoji="1" lang="ja-JP" altLang="en-US" sz="2400" b="1" baseline="0">
                <a:latin typeface="Meiryo UI" panose="020B0604030504040204" pitchFamily="50" charset="-128"/>
                <a:ea typeface="Meiryo UI" panose="020B0604030504040204" pitchFamily="50" charset="-128"/>
                <a:cs typeface="Meiryo UI" panose="020B0604030504040204" pitchFamily="50" charset="-128"/>
              </a:rPr>
              <a:t>  </a:t>
            </a:r>
            <a:r>
              <a:rPr kumimoji="1" lang="en-US" altLang="ja-JP" sz="2400" b="1">
                <a:latin typeface="Meiryo UI" panose="020B0604030504040204" pitchFamily="50" charset="-128"/>
                <a:ea typeface="Meiryo UI" panose="020B0604030504040204" pitchFamily="50" charset="-128"/>
                <a:cs typeface="Meiryo UI" panose="020B0604030504040204" pitchFamily="50" charset="-128"/>
              </a:rPr>
              <a:t>-  1  -  1 A</a:t>
            </a:r>
            <a:endParaRPr kumimoji="1" lang="en-US" altLang="ja-JP" sz="1800" b="1">
              <a:latin typeface="Meiryo UI" panose="020B0604030504040204" pitchFamily="50" charset="-128"/>
              <a:ea typeface="Meiryo UI" panose="020B0604030504040204" pitchFamily="50" charset="-128"/>
              <a:cs typeface="Meiryo UI" panose="020B0604030504040204" pitchFamily="50" charset="-128"/>
            </a:endParaRPr>
          </a:p>
        </xdr:txBody>
      </xdr:sp>
      <xdr:sp macro="" textlink="">
        <xdr:nvSpPr>
          <xdr:cNvPr id="4" name="角丸四角形 7">
            <a:extLst>
              <a:ext uri="{FF2B5EF4-FFF2-40B4-BE49-F238E27FC236}">
                <a16:creationId xmlns:a16="http://schemas.microsoft.com/office/drawing/2014/main" id="{00000000-0008-0000-0500-000004000000}"/>
              </a:ext>
            </a:extLst>
          </xdr:cNvPr>
          <xdr:cNvSpPr/>
        </xdr:nvSpPr>
        <xdr:spPr>
          <a:xfrm>
            <a:off x="1752600" y="1285875"/>
            <a:ext cx="590550" cy="390525"/>
          </a:xfrm>
          <a:prstGeom prst="roundRect">
            <a:avLst/>
          </a:prstGeom>
          <a:noFill/>
          <a:ln w="12700">
            <a:solidFill>
              <a:srgbClr val="00B0F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sp macro="" textlink="">
        <xdr:nvSpPr>
          <xdr:cNvPr id="5" name="角丸四角形 8">
            <a:extLst>
              <a:ext uri="{FF2B5EF4-FFF2-40B4-BE49-F238E27FC236}">
                <a16:creationId xmlns:a16="http://schemas.microsoft.com/office/drawing/2014/main" id="{00000000-0008-0000-0500-000005000000}"/>
              </a:ext>
            </a:extLst>
          </xdr:cNvPr>
          <xdr:cNvSpPr/>
        </xdr:nvSpPr>
        <xdr:spPr>
          <a:xfrm>
            <a:off x="2733675" y="1285875"/>
            <a:ext cx="476250" cy="390525"/>
          </a:xfrm>
          <a:prstGeom prst="roundRect">
            <a:avLst/>
          </a:prstGeom>
          <a:noFill/>
          <a:ln w="12700">
            <a:solidFill>
              <a:srgbClr val="00B0F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sp macro="" textlink="">
        <xdr:nvSpPr>
          <xdr:cNvPr id="6" name="角丸四角形 9">
            <a:extLst>
              <a:ext uri="{FF2B5EF4-FFF2-40B4-BE49-F238E27FC236}">
                <a16:creationId xmlns:a16="http://schemas.microsoft.com/office/drawing/2014/main" id="{00000000-0008-0000-0500-000006000000}"/>
              </a:ext>
            </a:extLst>
          </xdr:cNvPr>
          <xdr:cNvSpPr/>
        </xdr:nvSpPr>
        <xdr:spPr>
          <a:xfrm>
            <a:off x="3552825" y="1295400"/>
            <a:ext cx="352425" cy="390525"/>
          </a:xfrm>
          <a:prstGeom prst="roundRect">
            <a:avLst/>
          </a:prstGeom>
          <a:noFill/>
          <a:ln w="12700">
            <a:solidFill>
              <a:srgbClr val="00B0F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sp macro="" textlink="">
        <xdr:nvSpPr>
          <xdr:cNvPr id="7" name="角丸四角形 10">
            <a:extLst>
              <a:ext uri="{FF2B5EF4-FFF2-40B4-BE49-F238E27FC236}">
                <a16:creationId xmlns:a16="http://schemas.microsoft.com/office/drawing/2014/main" id="{00000000-0008-0000-0500-000007000000}"/>
              </a:ext>
            </a:extLst>
          </xdr:cNvPr>
          <xdr:cNvSpPr/>
        </xdr:nvSpPr>
        <xdr:spPr>
          <a:xfrm>
            <a:off x="3924300" y="1295400"/>
            <a:ext cx="323850" cy="390525"/>
          </a:xfrm>
          <a:prstGeom prst="roundRect">
            <a:avLst/>
          </a:prstGeom>
          <a:noFill/>
          <a:ln w="12700">
            <a:solidFill>
              <a:srgbClr val="00B0F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sp macro="" textlink="">
        <xdr:nvSpPr>
          <xdr:cNvPr id="8" name="テキスト ボックス 7">
            <a:extLst>
              <a:ext uri="{FF2B5EF4-FFF2-40B4-BE49-F238E27FC236}">
                <a16:creationId xmlns:a16="http://schemas.microsoft.com/office/drawing/2014/main" id="{00000000-0008-0000-0500-000008000000}"/>
              </a:ext>
            </a:extLst>
          </xdr:cNvPr>
          <xdr:cNvSpPr txBox="1"/>
        </xdr:nvSpPr>
        <xdr:spPr>
          <a:xfrm>
            <a:off x="1162050" y="1171575"/>
            <a:ext cx="466794"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cs typeface="Meiryo UI" panose="020B0604030504040204" pitchFamily="50" charset="-128"/>
              </a:rPr>
              <a:t>例）</a:t>
            </a:r>
          </a:p>
        </xdr:txBody>
      </xdr:sp>
      <xdr:sp macro="" textlink="">
        <xdr:nvSpPr>
          <xdr:cNvPr id="9" name="テキスト ボックス 8">
            <a:extLst>
              <a:ext uri="{FF2B5EF4-FFF2-40B4-BE49-F238E27FC236}">
                <a16:creationId xmlns:a16="http://schemas.microsoft.com/office/drawing/2014/main" id="{00000000-0008-0000-0500-000009000000}"/>
              </a:ext>
            </a:extLst>
          </xdr:cNvPr>
          <xdr:cNvSpPr txBox="1"/>
        </xdr:nvSpPr>
        <xdr:spPr>
          <a:xfrm>
            <a:off x="1943100" y="1666875"/>
            <a:ext cx="325730"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cs typeface="Meiryo UI" panose="020B0604030504040204" pitchFamily="50" charset="-128"/>
              </a:rPr>
              <a:t>①</a:t>
            </a:r>
          </a:p>
        </xdr:txBody>
      </xdr:sp>
      <xdr:sp macro="" textlink="">
        <xdr:nvSpPr>
          <xdr:cNvPr id="10" name="テキスト ボックス 9">
            <a:extLst>
              <a:ext uri="{FF2B5EF4-FFF2-40B4-BE49-F238E27FC236}">
                <a16:creationId xmlns:a16="http://schemas.microsoft.com/office/drawing/2014/main" id="{00000000-0008-0000-0500-00000A000000}"/>
              </a:ext>
            </a:extLst>
          </xdr:cNvPr>
          <xdr:cNvSpPr txBox="1"/>
        </xdr:nvSpPr>
        <xdr:spPr>
          <a:xfrm>
            <a:off x="2819400" y="1676400"/>
            <a:ext cx="325730"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cs typeface="Meiryo UI" panose="020B0604030504040204" pitchFamily="50" charset="-128"/>
              </a:rPr>
              <a:t>②</a:t>
            </a:r>
          </a:p>
        </xdr:txBody>
      </xdr:sp>
      <xdr:sp macro="" textlink="">
        <xdr:nvSpPr>
          <xdr:cNvPr id="11" name="テキスト ボックス 10">
            <a:extLst>
              <a:ext uri="{FF2B5EF4-FFF2-40B4-BE49-F238E27FC236}">
                <a16:creationId xmlns:a16="http://schemas.microsoft.com/office/drawing/2014/main" id="{00000000-0008-0000-0500-00000B000000}"/>
              </a:ext>
            </a:extLst>
          </xdr:cNvPr>
          <xdr:cNvSpPr txBox="1"/>
        </xdr:nvSpPr>
        <xdr:spPr>
          <a:xfrm>
            <a:off x="3629025" y="1666875"/>
            <a:ext cx="325730"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cs typeface="Meiryo UI" panose="020B0604030504040204" pitchFamily="50" charset="-128"/>
              </a:rPr>
              <a:t>③</a:t>
            </a:r>
          </a:p>
        </xdr:txBody>
      </xdr:sp>
      <xdr:sp macro="" textlink="">
        <xdr:nvSpPr>
          <xdr:cNvPr id="12" name="テキスト ボックス 11">
            <a:extLst>
              <a:ext uri="{FF2B5EF4-FFF2-40B4-BE49-F238E27FC236}">
                <a16:creationId xmlns:a16="http://schemas.microsoft.com/office/drawing/2014/main" id="{00000000-0008-0000-0500-00000C000000}"/>
              </a:ext>
            </a:extLst>
          </xdr:cNvPr>
          <xdr:cNvSpPr txBox="1"/>
        </xdr:nvSpPr>
        <xdr:spPr>
          <a:xfrm>
            <a:off x="3924300" y="1676400"/>
            <a:ext cx="325730"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cs typeface="Meiryo UI" panose="020B0604030504040204" pitchFamily="50" charset="-128"/>
              </a:rPr>
              <a:t>④</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3819525</xdr:colOff>
      <xdr:row>0</xdr:row>
      <xdr:rowOff>190500</xdr:rowOff>
    </xdr:from>
    <xdr:to>
      <xdr:col>6</xdr:col>
      <xdr:colOff>2524125</xdr:colOff>
      <xdr:row>3</xdr:row>
      <xdr:rowOff>0</xdr:rowOff>
    </xdr:to>
    <xdr:sp macro="" textlink="">
      <xdr:nvSpPr>
        <xdr:cNvPr id="2" name="正方形/長方形 1">
          <a:extLst>
            <a:ext uri="{FF2B5EF4-FFF2-40B4-BE49-F238E27FC236}">
              <a16:creationId xmlns:a16="http://schemas.microsoft.com/office/drawing/2014/main" id="{00000000-0008-0000-0800-000002000000}"/>
            </a:ext>
          </a:extLst>
        </xdr:cNvPr>
        <xdr:cNvSpPr/>
      </xdr:nvSpPr>
      <xdr:spPr>
        <a:xfrm>
          <a:off x="6162675" y="190500"/>
          <a:ext cx="3876675"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latin typeface="Meiryo UI" panose="020B0604030504040204" pitchFamily="50" charset="-128"/>
              <a:ea typeface="Meiryo UI" panose="020B0604030504040204" pitchFamily="50" charset="-128"/>
            </a:rPr>
            <a:t>単体機能検査環境用であり、変更の必要はありません</a:t>
          </a:r>
          <a:endParaRPr kumimoji="1" lang="en-US" altLang="ja-JP" sz="1100">
            <a:latin typeface="Meiryo UI" panose="020B0604030504040204" pitchFamily="50" charset="-128"/>
            <a:ea typeface="Meiryo UI" panose="020B0604030504040204" pitchFamily="50"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3990975</xdr:colOff>
      <xdr:row>1</xdr:row>
      <xdr:rowOff>0</xdr:rowOff>
    </xdr:from>
    <xdr:to>
      <xdr:col>6</xdr:col>
      <xdr:colOff>1952625</xdr:colOff>
      <xdr:row>3</xdr:row>
      <xdr:rowOff>9525</xdr:rowOff>
    </xdr:to>
    <xdr:sp macro="" textlink="">
      <xdr:nvSpPr>
        <xdr:cNvPr id="3" name="正方形/長方形 2">
          <a:extLst>
            <a:ext uri="{FF2B5EF4-FFF2-40B4-BE49-F238E27FC236}">
              <a16:creationId xmlns:a16="http://schemas.microsoft.com/office/drawing/2014/main" id="{00000000-0008-0000-0900-000003000000}"/>
            </a:ext>
          </a:extLst>
        </xdr:cNvPr>
        <xdr:cNvSpPr/>
      </xdr:nvSpPr>
      <xdr:spPr>
        <a:xfrm>
          <a:off x="6334125" y="200025"/>
          <a:ext cx="3876675"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latin typeface="Meiryo UI" panose="020B0604030504040204" pitchFamily="50" charset="-128"/>
              <a:ea typeface="Meiryo UI" panose="020B0604030504040204" pitchFamily="50" charset="-128"/>
            </a:rPr>
            <a:t>単体機能検査環境用であり、変更の必要はありません</a:t>
          </a:r>
          <a:endParaRPr kumimoji="1" lang="en-US" altLang="ja-JP" sz="1100">
            <a:latin typeface="Meiryo UI" panose="020B0604030504040204" pitchFamily="50" charset="-128"/>
            <a:ea typeface="Meiryo UI" panose="020B0604030504040204" pitchFamily="50" charset="-128"/>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3495675</xdr:colOff>
      <xdr:row>0</xdr:row>
      <xdr:rowOff>190500</xdr:rowOff>
    </xdr:from>
    <xdr:to>
      <xdr:col>6</xdr:col>
      <xdr:colOff>2219325</xdr:colOff>
      <xdr:row>3</xdr:row>
      <xdr:rowOff>0</xdr:rowOff>
    </xdr:to>
    <xdr:sp macro="" textlink="">
      <xdr:nvSpPr>
        <xdr:cNvPr id="2" name="正方形/長方形 1">
          <a:extLst>
            <a:ext uri="{FF2B5EF4-FFF2-40B4-BE49-F238E27FC236}">
              <a16:creationId xmlns:a16="http://schemas.microsoft.com/office/drawing/2014/main" id="{00000000-0008-0000-0A00-000002000000}"/>
            </a:ext>
          </a:extLst>
        </xdr:cNvPr>
        <xdr:cNvSpPr/>
      </xdr:nvSpPr>
      <xdr:spPr>
        <a:xfrm>
          <a:off x="5857875" y="190500"/>
          <a:ext cx="3876675"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latin typeface="Meiryo UI" panose="020B0604030504040204" pitchFamily="50" charset="-128"/>
              <a:ea typeface="Meiryo UI" panose="020B0604030504040204" pitchFamily="50" charset="-128"/>
            </a:rPr>
            <a:t>単体機能検査環境用であり、変更の必要はありません</a:t>
          </a:r>
          <a:endParaRPr kumimoji="1" lang="en-US" altLang="ja-JP" sz="1100">
            <a:latin typeface="Meiryo UI" panose="020B0604030504040204" pitchFamily="50" charset="-128"/>
            <a:ea typeface="Meiryo UI" panose="020B0604030504040204" pitchFamily="50" charset="-128"/>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1</xdr:row>
      <xdr:rowOff>0</xdr:rowOff>
    </xdr:from>
    <xdr:to>
      <xdr:col>6</xdr:col>
      <xdr:colOff>1933575</xdr:colOff>
      <xdr:row>3</xdr:row>
      <xdr:rowOff>9525</xdr:rowOff>
    </xdr:to>
    <xdr:sp macro="" textlink="">
      <xdr:nvSpPr>
        <xdr:cNvPr id="2" name="正方形/長方形 1">
          <a:extLst>
            <a:ext uri="{FF2B5EF4-FFF2-40B4-BE49-F238E27FC236}">
              <a16:creationId xmlns:a16="http://schemas.microsoft.com/office/drawing/2014/main" id="{00000000-0008-0000-0B00-000002000000}"/>
            </a:ext>
          </a:extLst>
        </xdr:cNvPr>
        <xdr:cNvSpPr/>
      </xdr:nvSpPr>
      <xdr:spPr>
        <a:xfrm>
          <a:off x="7686675" y="200025"/>
          <a:ext cx="3876675"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latin typeface="Meiryo UI" panose="020B0604030504040204" pitchFamily="50" charset="-128"/>
              <a:ea typeface="Meiryo UI" panose="020B0604030504040204" pitchFamily="50" charset="-128"/>
            </a:rPr>
            <a:t>単体機能検査環境用であり、変更の必要はありません</a:t>
          </a:r>
          <a:endParaRPr kumimoji="1" lang="en-US" altLang="ja-JP" sz="1100">
            <a:latin typeface="Meiryo UI" panose="020B0604030504040204" pitchFamily="50" charset="-128"/>
            <a:ea typeface="Meiryo UI" panose="020B0604030504040204" pitchFamily="50" charset="-128"/>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1</xdr:row>
      <xdr:rowOff>0</xdr:rowOff>
    </xdr:from>
    <xdr:to>
      <xdr:col>6</xdr:col>
      <xdr:colOff>2543175</xdr:colOff>
      <xdr:row>3</xdr:row>
      <xdr:rowOff>9525</xdr:rowOff>
    </xdr:to>
    <xdr:sp macro="" textlink="">
      <xdr:nvSpPr>
        <xdr:cNvPr id="2" name="正方形/長方形 1">
          <a:extLst>
            <a:ext uri="{FF2B5EF4-FFF2-40B4-BE49-F238E27FC236}">
              <a16:creationId xmlns:a16="http://schemas.microsoft.com/office/drawing/2014/main" id="{00000000-0008-0000-0C00-000002000000}"/>
            </a:ext>
          </a:extLst>
        </xdr:cNvPr>
        <xdr:cNvSpPr/>
      </xdr:nvSpPr>
      <xdr:spPr>
        <a:xfrm>
          <a:off x="5991225" y="171450"/>
          <a:ext cx="3876675"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latin typeface="Meiryo UI" panose="020B0604030504040204" pitchFamily="50" charset="-128"/>
              <a:ea typeface="Meiryo UI" panose="020B0604030504040204" pitchFamily="50" charset="-128"/>
            </a:rPr>
            <a:t>単体機能検査環境用であり、変更の必要はありません</a:t>
          </a:r>
          <a:endParaRPr kumimoji="1" lang="en-US" altLang="ja-JP" sz="1100">
            <a:latin typeface="Meiryo UI" panose="020B0604030504040204" pitchFamily="50" charset="-128"/>
            <a:ea typeface="Meiryo UI" panose="020B0604030504040204" pitchFamily="50" charset="-128"/>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1</xdr:row>
      <xdr:rowOff>0</xdr:rowOff>
    </xdr:from>
    <xdr:to>
      <xdr:col>6</xdr:col>
      <xdr:colOff>1838325</xdr:colOff>
      <xdr:row>3</xdr:row>
      <xdr:rowOff>9525</xdr:rowOff>
    </xdr:to>
    <xdr:sp macro="" textlink="">
      <xdr:nvSpPr>
        <xdr:cNvPr id="2" name="正方形/長方形 1">
          <a:extLst>
            <a:ext uri="{FF2B5EF4-FFF2-40B4-BE49-F238E27FC236}">
              <a16:creationId xmlns:a16="http://schemas.microsoft.com/office/drawing/2014/main" id="{00000000-0008-0000-0D00-000002000000}"/>
            </a:ext>
          </a:extLst>
        </xdr:cNvPr>
        <xdr:cNvSpPr/>
      </xdr:nvSpPr>
      <xdr:spPr>
        <a:xfrm>
          <a:off x="7010400" y="171450"/>
          <a:ext cx="3876675"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latin typeface="Meiryo UI" panose="020B0604030504040204" pitchFamily="50" charset="-128"/>
              <a:ea typeface="Meiryo UI" panose="020B0604030504040204" pitchFamily="50" charset="-128"/>
            </a:rPr>
            <a:t>単体機能検査環境用であり、変更の必要はありません</a:t>
          </a:r>
          <a:endParaRPr kumimoji="1" lang="en-US" altLang="ja-JP" sz="1100">
            <a:latin typeface="Meiryo UI" panose="020B0604030504040204" pitchFamily="50" charset="-128"/>
            <a:ea typeface="Meiryo UI" panose="020B0604030504040204" pitchFamily="50"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1</xdr:row>
      <xdr:rowOff>0</xdr:rowOff>
    </xdr:from>
    <xdr:to>
      <xdr:col>6</xdr:col>
      <xdr:colOff>2543175</xdr:colOff>
      <xdr:row>3</xdr:row>
      <xdr:rowOff>9525</xdr:rowOff>
    </xdr:to>
    <xdr:sp macro="" textlink="">
      <xdr:nvSpPr>
        <xdr:cNvPr id="2" name="正方形/長方形 1">
          <a:extLst>
            <a:ext uri="{FF2B5EF4-FFF2-40B4-BE49-F238E27FC236}">
              <a16:creationId xmlns:a16="http://schemas.microsoft.com/office/drawing/2014/main" id="{00000000-0008-0000-0E00-000002000000}"/>
            </a:ext>
          </a:extLst>
        </xdr:cNvPr>
        <xdr:cNvSpPr/>
      </xdr:nvSpPr>
      <xdr:spPr>
        <a:xfrm>
          <a:off x="6276975" y="200025"/>
          <a:ext cx="3876675"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latin typeface="Meiryo UI" panose="020B0604030504040204" pitchFamily="50" charset="-128"/>
              <a:ea typeface="Meiryo UI" panose="020B0604030504040204" pitchFamily="50" charset="-128"/>
            </a:rPr>
            <a:t>単体機能検査環境用であり、変更の必要はありません</a:t>
          </a:r>
          <a:endParaRPr kumimoji="1" lang="en-US" altLang="ja-JP" sz="1100">
            <a:latin typeface="Meiryo UI" panose="020B0604030504040204" pitchFamily="50" charset="-128"/>
            <a:ea typeface="Meiryo UI"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123825</xdr:colOff>
          <xdr:row>3</xdr:row>
          <xdr:rowOff>57150</xdr:rowOff>
        </xdr:from>
        <xdr:to>
          <xdr:col>9</xdr:col>
          <xdr:colOff>571500</xdr:colOff>
          <xdr:row>4</xdr:row>
          <xdr:rowOff>142875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F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ＭＳ Ｐゴシック"/>
                  <a:ea typeface="ＭＳ Ｐゴシック"/>
                </a:rPr>
                <a:t>変換実行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3</xdr:row>
          <xdr:rowOff>57150</xdr:rowOff>
        </xdr:from>
        <xdr:to>
          <xdr:col>6</xdr:col>
          <xdr:colOff>571500</xdr:colOff>
          <xdr:row>4</xdr:row>
          <xdr:rowOff>142875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F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ＭＳ Ｐゴシック"/>
                  <a:ea typeface="ＭＳ Ｐゴシック"/>
                </a:rPr>
                <a:t>手順書抽出</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1466850</xdr:colOff>
      <xdr:row>0</xdr:row>
      <xdr:rowOff>85725</xdr:rowOff>
    </xdr:from>
    <xdr:to>
      <xdr:col>3</xdr:col>
      <xdr:colOff>2371725</xdr:colOff>
      <xdr:row>2</xdr:row>
      <xdr:rowOff>104775</xdr:rowOff>
    </xdr:to>
    <xdr:sp macro="" textlink="">
      <xdr:nvSpPr>
        <xdr:cNvPr id="2" name="正方形/長方形 1">
          <a:extLst>
            <a:ext uri="{FF2B5EF4-FFF2-40B4-BE49-F238E27FC236}">
              <a16:creationId xmlns:a16="http://schemas.microsoft.com/office/drawing/2014/main" id="{00000000-0008-0000-1000-000002000000}"/>
            </a:ext>
          </a:extLst>
        </xdr:cNvPr>
        <xdr:cNvSpPr/>
      </xdr:nvSpPr>
      <xdr:spPr>
        <a:xfrm>
          <a:off x="1724025" y="85725"/>
          <a:ext cx="3876675"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latin typeface="Meiryo UI" panose="020B0604030504040204" pitchFamily="50" charset="-128"/>
              <a:ea typeface="Meiryo UI" panose="020B0604030504040204" pitchFamily="50" charset="-128"/>
            </a:rPr>
            <a:t>単体機能検査環境用であり、変更の必要はありません</a:t>
          </a:r>
          <a:endParaRPr kumimoji="1" lang="en-US" altLang="ja-JP" sz="1100">
            <a:latin typeface="Meiryo UI" panose="020B0604030504040204" pitchFamily="50" charset="-128"/>
            <a:ea typeface="Meiryo UI" panose="020B0604030504040204" pitchFamily="50"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47625</xdr:colOff>
      <xdr:row>0</xdr:row>
      <xdr:rowOff>38100</xdr:rowOff>
    </xdr:from>
    <xdr:to>
      <xdr:col>9</xdr:col>
      <xdr:colOff>495300</xdr:colOff>
      <xdr:row>2</xdr:row>
      <xdr:rowOff>57150</xdr:rowOff>
    </xdr:to>
    <xdr:sp macro="" textlink="">
      <xdr:nvSpPr>
        <xdr:cNvPr id="2" name="正方形/長方形 1">
          <a:extLst>
            <a:ext uri="{FF2B5EF4-FFF2-40B4-BE49-F238E27FC236}">
              <a16:creationId xmlns:a16="http://schemas.microsoft.com/office/drawing/2014/main" id="{00000000-0008-0000-1100-000002000000}"/>
            </a:ext>
          </a:extLst>
        </xdr:cNvPr>
        <xdr:cNvSpPr/>
      </xdr:nvSpPr>
      <xdr:spPr>
        <a:xfrm>
          <a:off x="2362200" y="38100"/>
          <a:ext cx="3876675"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latin typeface="Meiryo UI" panose="020B0604030504040204" pitchFamily="50" charset="-128"/>
              <a:ea typeface="Meiryo UI" panose="020B0604030504040204" pitchFamily="50" charset="-128"/>
            </a:rPr>
            <a:t>単体機能検査環境用であり、変更の必要はありません</a:t>
          </a:r>
          <a:endParaRPr kumimoji="1" lang="en-US" altLang="ja-JP" sz="1100">
            <a:latin typeface="Meiryo UI" panose="020B0604030504040204" pitchFamily="50" charset="-128"/>
            <a:ea typeface="Meiryo UI" panose="020B0604030504040204" pitchFamily="50"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123825</xdr:colOff>
      <xdr:row>0</xdr:row>
      <xdr:rowOff>47625</xdr:rowOff>
    </xdr:from>
    <xdr:to>
      <xdr:col>9</xdr:col>
      <xdr:colOff>571500</xdr:colOff>
      <xdr:row>2</xdr:row>
      <xdr:rowOff>66675</xdr:rowOff>
    </xdr:to>
    <xdr:sp macro="" textlink="">
      <xdr:nvSpPr>
        <xdr:cNvPr id="2" name="正方形/長方形 1">
          <a:extLst>
            <a:ext uri="{FF2B5EF4-FFF2-40B4-BE49-F238E27FC236}">
              <a16:creationId xmlns:a16="http://schemas.microsoft.com/office/drawing/2014/main" id="{00000000-0008-0000-1200-000002000000}"/>
            </a:ext>
          </a:extLst>
        </xdr:cNvPr>
        <xdr:cNvSpPr/>
      </xdr:nvSpPr>
      <xdr:spPr>
        <a:xfrm>
          <a:off x="2409825" y="47625"/>
          <a:ext cx="3876675"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latin typeface="Meiryo UI" panose="020B0604030504040204" pitchFamily="50" charset="-128"/>
              <a:ea typeface="Meiryo UI" panose="020B0604030504040204" pitchFamily="50" charset="-128"/>
            </a:rPr>
            <a:t>単体機能検査環境用であり、変更の必要はありません</a:t>
          </a:r>
          <a:endParaRPr kumimoji="1" lang="en-US" altLang="ja-JP" sz="1100">
            <a:latin typeface="Meiryo UI" panose="020B0604030504040204" pitchFamily="50" charset="-128"/>
            <a:ea typeface="Meiryo UI" panose="020B0604030504040204" pitchFamily="50" charset="-128"/>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vx106.mazda.co.jp\z89_patto_file2\Documents%20and%20Settings\m071318\Local%20Settings\Temp\J64F&#27431;&#24030;BCM_&#65398;&#65433;&#6541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ep-fs01\common\Greenbelt\Part1_Auto_DVP&amp;R\Auto_DVP&amp;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vx106.mazda.co.jp\z89_patto_file2\Documents%20and%20Settings\m071318\Local%20Settings\Temporary%20Internet%20Files\OLK1\&#20877;&#29694;&#24615;&#12392;NTF&#12398;&#38306;&#20418;&#65288;SAM&#35069;HU&#21839;&#35386;&#31080;&#38598;&#35336;&#6528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QForm"/>
      <sheetName val="検索条件"/>
      <sheetName val="現象・場合・原因リスト"/>
      <sheetName val="走行距離別件数"/>
      <sheetName val="修理月別クレーム件数と部品交換率"/>
      <sheetName val="生産月別登録台数と件数(対策効果変化点)"/>
      <sheetName val="生産月別経過月別発生率"/>
      <sheetName val="ワイブル分析データ"/>
      <sheetName val="ワイブル分析"/>
      <sheetName val="ＤＴＣコード別件数"/>
      <sheetName val="部品番号別クレーム件数"/>
    </sheetNames>
    <sheetDataSet>
      <sheetData sheetId="0"/>
      <sheetData sheetId="1"/>
      <sheetData sheetId="2"/>
      <sheetData sheetId="3"/>
      <sheetData sheetId="4"/>
      <sheetData sheetId="5"/>
      <sheetData sheetId="6"/>
      <sheetData sheetId="7">
        <row r="1">
          <cell r="D1">
            <v>82927</v>
          </cell>
        </row>
      </sheetData>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to_DVP&amp;R"/>
    </sheetNames>
    <definedNames>
      <definedName name="Report3"/>
    </defined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まとめ"/>
      <sheetName val="(参考)元データ"/>
      <sheetName val="(参考)Sheet2"/>
    </sheetNames>
    <sheetDataSet>
      <sheetData sheetId="0"/>
      <sheetData sheetId="1">
        <row r="1">
          <cell r="A1" t="str">
            <v>受注No</v>
          </cell>
          <cell r="B1" t="str">
            <v>発送日</v>
          </cell>
          <cell r="C1" t="str">
            <v>部品番号</v>
          </cell>
          <cell r="D1" t="str">
            <v>車体形式</v>
          </cell>
          <cell r="E1" t="str">
            <v>車体番号</v>
          </cell>
          <cell r="F1" t="str">
            <v>登録</v>
          </cell>
          <cell r="G1" t="str">
            <v>取り付け</v>
          </cell>
          <cell r="H1" t="str">
            <v>不具合発生</v>
          </cell>
          <cell r="I1" t="str">
            <v>運転状態</v>
          </cell>
          <cell r="J1" t="str">
            <v>発生モード</v>
          </cell>
          <cell r="K1" t="str">
            <v>指摘症状</v>
          </cell>
          <cell r="L1" t="str">
            <v>再現性</v>
          </cell>
          <cell r="M1" t="str">
            <v>故障コード</v>
          </cell>
          <cell r="N1" t="str">
            <v>修理時エラー確認</v>
          </cell>
        </row>
        <row r="2">
          <cell r="A2" t="str">
            <v>47986</v>
          </cell>
          <cell r="B2">
            <v>39548</v>
          </cell>
          <cell r="C2" t="str">
            <v>C236 66 AR0</v>
          </cell>
          <cell r="D2" t="str">
            <v>CREW</v>
          </cell>
          <cell r="E2" t="str">
            <v>123118</v>
          </cell>
          <cell r="F2" t="str">
            <v>2006-04-28</v>
          </cell>
          <cell r="G2" t="str">
            <v>2006-04-28</v>
          </cell>
          <cell r="H2" t="str">
            <v>2008-04-06</v>
          </cell>
          <cell r="I2" t="str">
            <v>運転状態に関係なく常に</v>
          </cell>
          <cell r="J2" t="str">
            <v>全てのモード</v>
          </cell>
          <cell r="K2" t="str">
            <v>音声が出ない</v>
          </cell>
          <cell r="L2" t="str">
            <v>再現しないが故障コード表示有り</v>
          </cell>
          <cell r="M2" t="str">
            <v>09:Er21</v>
          </cell>
          <cell r="N2" t="str">
            <v>09:Er21</v>
          </cell>
        </row>
        <row r="3">
          <cell r="A3" t="str">
            <v>47991</v>
          </cell>
          <cell r="B3">
            <v>39549</v>
          </cell>
          <cell r="C3" t="str">
            <v>F151 61 1J0</v>
          </cell>
          <cell r="D3" t="str">
            <v>SE3P</v>
          </cell>
          <cell r="E3" t="str">
            <v>141191</v>
          </cell>
          <cell r="F3" t="str">
            <v>2007-02-27</v>
          </cell>
          <cell r="G3" t="str">
            <v>2007-02-27</v>
          </cell>
          <cell r="H3" t="str">
            <v>2008-04-10</v>
          </cell>
          <cell r="I3" t="str">
            <v>運転状態に関係なく常に</v>
          </cell>
          <cell r="J3" t="str">
            <v>全てのモード</v>
          </cell>
          <cell r="K3" t="str">
            <v>ディスプレイが異常表示する</v>
          </cell>
          <cell r="L3" t="str">
            <v>常時再現</v>
          </cell>
          <cell r="M3" t="str">
            <v>NoError</v>
          </cell>
        </row>
        <row r="4">
          <cell r="A4" t="str">
            <v>47995</v>
          </cell>
          <cell r="B4">
            <v>39550</v>
          </cell>
          <cell r="C4" t="str">
            <v>B36D 66 AR0</v>
          </cell>
          <cell r="D4" t="str">
            <v>BKEP</v>
          </cell>
          <cell r="E4" t="str">
            <v>305120</v>
          </cell>
          <cell r="F4" t="str">
            <v>2007-02-14</v>
          </cell>
          <cell r="G4" t="str">
            <v>2007-02-14</v>
          </cell>
          <cell r="H4" t="str">
            <v>2008-04-11</v>
          </cell>
          <cell r="I4" t="str">
            <v>運転状態に関係なく常に</v>
          </cell>
          <cell r="J4" t="str">
            <v>CD</v>
          </cell>
          <cell r="K4" t="str">
            <v>メディア(CD/TAPE/MD)が排出できない</v>
          </cell>
          <cell r="L4" t="str">
            <v>常時再現</v>
          </cell>
          <cell r="M4" t="str">
            <v>NoError</v>
          </cell>
          <cell r="N4" t="str">
            <v>10:Er01/07</v>
          </cell>
        </row>
        <row r="5">
          <cell r="A5" t="str">
            <v>48005</v>
          </cell>
          <cell r="B5">
            <v>39552</v>
          </cell>
          <cell r="C5" t="str">
            <v>B33A 66 AR0</v>
          </cell>
          <cell r="D5" t="str">
            <v>BK5P</v>
          </cell>
          <cell r="E5" t="str">
            <v>313873</v>
          </cell>
          <cell r="F5" t="str">
            <v>2007-05-29</v>
          </cell>
          <cell r="G5" t="str">
            <v>2007-05-29</v>
          </cell>
          <cell r="H5" t="str">
            <v>2008-04-01</v>
          </cell>
          <cell r="I5" t="str">
            <v>運転状態に関係なく常に</v>
          </cell>
          <cell r="J5" t="str">
            <v>CD</v>
          </cell>
          <cell r="K5" t="str">
            <v>メディア(CD/TAPE/MD)が排出できない</v>
          </cell>
          <cell r="L5" t="str">
            <v>時々再現</v>
          </cell>
          <cell r="N5" t="str">
            <v>03:Er01/02</v>
          </cell>
        </row>
        <row r="6">
          <cell r="A6" t="str">
            <v>48006</v>
          </cell>
          <cell r="B6">
            <v>39552</v>
          </cell>
          <cell r="C6" t="str">
            <v>B33A 66 AR0</v>
          </cell>
          <cell r="D6" t="str">
            <v>BKEP</v>
          </cell>
          <cell r="E6" t="str">
            <v>308771</v>
          </cell>
          <cell r="F6" t="str">
            <v>2007-06-28</v>
          </cell>
          <cell r="G6" t="str">
            <v>2007-06-28</v>
          </cell>
          <cell r="H6" t="str">
            <v>2008-04-12</v>
          </cell>
          <cell r="I6" t="str">
            <v>運転状態に関係なく常に</v>
          </cell>
          <cell r="J6" t="str">
            <v>全てのモード</v>
          </cell>
          <cell r="K6" t="str">
            <v>一部スピーカーの音声が出ない</v>
          </cell>
          <cell r="L6" t="str">
            <v>常時再現</v>
          </cell>
          <cell r="M6" t="str">
            <v>NoError</v>
          </cell>
        </row>
        <row r="7">
          <cell r="A7" t="str">
            <v>48028</v>
          </cell>
          <cell r="B7">
            <v>39554</v>
          </cell>
          <cell r="C7" t="str">
            <v>D651 66 9R0</v>
          </cell>
          <cell r="D7" t="str">
            <v>DE3FS</v>
          </cell>
          <cell r="E7" t="str">
            <v>108963</v>
          </cell>
          <cell r="F7" t="str">
            <v>2007-08-27</v>
          </cell>
          <cell r="G7" t="str">
            <v>2007-08-27</v>
          </cell>
          <cell r="H7" t="str">
            <v>2008-04-12</v>
          </cell>
          <cell r="I7" t="str">
            <v>時々</v>
          </cell>
          <cell r="J7" t="str">
            <v>ラジオ</v>
          </cell>
          <cell r="K7" t="str">
            <v>音声にノイズが入る</v>
          </cell>
          <cell r="L7" t="str">
            <v>再現せず故障コードも表示せず</v>
          </cell>
          <cell r="M7" t="str">
            <v>NoError</v>
          </cell>
        </row>
        <row r="8">
          <cell r="A8" t="str">
            <v>48040</v>
          </cell>
          <cell r="B8">
            <v>39556</v>
          </cell>
          <cell r="C8" t="str">
            <v>C237 66 AT0</v>
          </cell>
          <cell r="D8" t="str">
            <v>CREW</v>
          </cell>
          <cell r="E8" t="str">
            <v>142846</v>
          </cell>
          <cell r="F8" t="str">
            <v>2006-06-27</v>
          </cell>
          <cell r="G8" t="str">
            <v>2006-06-27</v>
          </cell>
          <cell r="H8" t="str">
            <v>2008-04-18</v>
          </cell>
          <cell r="I8" t="str">
            <v>時々</v>
          </cell>
          <cell r="J8" t="str">
            <v>CD</v>
          </cell>
          <cell r="K8" t="str">
            <v>再生しない</v>
          </cell>
          <cell r="L8" t="str">
            <v>時々再現</v>
          </cell>
          <cell r="M8" t="str">
            <v>NoError</v>
          </cell>
          <cell r="N8" t="str">
            <v>20:Er14/02/01</v>
          </cell>
        </row>
        <row r="9">
          <cell r="A9" t="str">
            <v>48060</v>
          </cell>
          <cell r="B9">
            <v>39559</v>
          </cell>
          <cell r="C9" t="str">
            <v>BP4K 66 EV0</v>
          </cell>
          <cell r="D9" t="str">
            <v>BK5P</v>
          </cell>
          <cell r="E9" t="str">
            <v>307480</v>
          </cell>
          <cell r="F9" t="str">
            <v>2006-11-27</v>
          </cell>
          <cell r="G9" t="str">
            <v>2006-11-27</v>
          </cell>
          <cell r="H9" t="str">
            <v>2008-04-19</v>
          </cell>
          <cell r="I9" t="str">
            <v>運転状態に関係なく常に</v>
          </cell>
          <cell r="J9" t="str">
            <v>全てのモード</v>
          </cell>
          <cell r="K9" t="str">
            <v>ディスプレイが文字が表示しない</v>
          </cell>
          <cell r="L9" t="str">
            <v>常時再現</v>
          </cell>
          <cell r="M9" t="str">
            <v>NoError</v>
          </cell>
        </row>
        <row r="10">
          <cell r="A10" t="str">
            <v>48073</v>
          </cell>
          <cell r="B10">
            <v>39560</v>
          </cell>
          <cell r="C10" t="str">
            <v>B30F 66 AD0</v>
          </cell>
          <cell r="D10" t="str">
            <v>GGEP</v>
          </cell>
          <cell r="E10" t="str">
            <v>401700</v>
          </cell>
          <cell r="F10" t="str">
            <v>2006-04-25</v>
          </cell>
          <cell r="G10" t="str">
            <v>2006-04-25</v>
          </cell>
          <cell r="H10" t="str">
            <v>2008-04-01</v>
          </cell>
          <cell r="I10" t="str">
            <v>運転状態に関係なく常に</v>
          </cell>
          <cell r="J10" t="str">
            <v>カセットテープ</v>
          </cell>
          <cell r="K10" t="str">
            <v>読み込まない</v>
          </cell>
          <cell r="L10" t="str">
            <v>常時再現</v>
          </cell>
          <cell r="M10" t="str">
            <v>NoError</v>
          </cell>
        </row>
        <row r="11">
          <cell r="A11" t="str">
            <v>48075</v>
          </cell>
          <cell r="B11">
            <v>39560</v>
          </cell>
          <cell r="C11" t="str">
            <v>B36D 66 AR0</v>
          </cell>
          <cell r="D11" t="str">
            <v>BKEP</v>
          </cell>
          <cell r="E11" t="str">
            <v>304211</v>
          </cell>
          <cell r="F11" t="str">
            <v>2006-10-27</v>
          </cell>
          <cell r="G11" t="str">
            <v>2006-10-27</v>
          </cell>
          <cell r="H11" t="str">
            <v>2008-04-22</v>
          </cell>
          <cell r="I11" t="str">
            <v>運転状態に関係なく常に</v>
          </cell>
          <cell r="J11" t="str">
            <v>CD</v>
          </cell>
          <cell r="K11" t="str">
            <v>メディア(CD/TAPE/MD)が排出できない</v>
          </cell>
          <cell r="L11" t="str">
            <v>時々再現</v>
          </cell>
          <cell r="N11" t="str">
            <v>21:Er19 10:Er07/10</v>
          </cell>
        </row>
        <row r="12">
          <cell r="A12" t="str">
            <v>48076</v>
          </cell>
          <cell r="B12">
            <v>39560</v>
          </cell>
          <cell r="C12" t="str">
            <v>C236 66 AR0</v>
          </cell>
          <cell r="D12" t="str">
            <v>CREW</v>
          </cell>
          <cell r="E12" t="str">
            <v>150658</v>
          </cell>
          <cell r="F12" t="str">
            <v>2007-10-31</v>
          </cell>
          <cell r="G12" t="str">
            <v>2007-10-31</v>
          </cell>
          <cell r="H12" t="str">
            <v>2008-04-22</v>
          </cell>
          <cell r="I12" t="str">
            <v>運転状態に関係なく常に</v>
          </cell>
          <cell r="J12" t="str">
            <v>CD</v>
          </cell>
          <cell r="K12" t="str">
            <v>音飛びする</v>
          </cell>
          <cell r="L12" t="str">
            <v>時々再現</v>
          </cell>
          <cell r="M12" t="str">
            <v>NoError</v>
          </cell>
          <cell r="N12" t="str">
            <v>03:Er02</v>
          </cell>
        </row>
        <row r="13">
          <cell r="A13" t="str">
            <v>48069</v>
          </cell>
          <cell r="B13">
            <v>39560</v>
          </cell>
          <cell r="C13" t="str">
            <v>D651 66 9R0</v>
          </cell>
          <cell r="D13" t="str">
            <v>DE3FS</v>
          </cell>
          <cell r="E13" t="str">
            <v>119891</v>
          </cell>
          <cell r="F13" t="str">
            <v>2007-11-30</v>
          </cell>
          <cell r="G13" t="str">
            <v>2007-11-30</v>
          </cell>
          <cell r="H13" t="str">
            <v>2008-04-20</v>
          </cell>
          <cell r="I13" t="str">
            <v>時々</v>
          </cell>
          <cell r="J13" t="str">
            <v>全てのモード</v>
          </cell>
          <cell r="K13" t="str">
            <v>音声が出ない</v>
          </cell>
          <cell r="L13" t="str">
            <v>時々再現</v>
          </cell>
          <cell r="M13" t="str">
            <v>NoError</v>
          </cell>
        </row>
        <row r="14">
          <cell r="A14" t="str">
            <v>48092</v>
          </cell>
          <cell r="B14">
            <v>39562</v>
          </cell>
          <cell r="C14" t="str">
            <v>F151 61 1J0</v>
          </cell>
          <cell r="D14" t="str">
            <v>SE3P</v>
          </cell>
          <cell r="E14" t="str">
            <v>133716</v>
          </cell>
          <cell r="F14" t="str">
            <v>2005-10-31</v>
          </cell>
          <cell r="G14" t="str">
            <v>2005-10-31</v>
          </cell>
          <cell r="H14" t="str">
            <v>2008-04-20</v>
          </cell>
          <cell r="I14" t="str">
            <v>時々</v>
          </cell>
          <cell r="J14" t="str">
            <v>全てのモード</v>
          </cell>
          <cell r="K14" t="str">
            <v>ディスプレイが異常表示する</v>
          </cell>
          <cell r="L14" t="str">
            <v>時々再現</v>
          </cell>
          <cell r="M14" t="str">
            <v>NoError</v>
          </cell>
        </row>
        <row r="15">
          <cell r="A15" t="str">
            <v>48116</v>
          </cell>
          <cell r="B15">
            <v>39568</v>
          </cell>
          <cell r="C15" t="str">
            <v>B32H 66 AS0</v>
          </cell>
          <cell r="D15" t="str">
            <v>BK5P</v>
          </cell>
          <cell r="E15" t="str">
            <v>211934</v>
          </cell>
          <cell r="F15" t="str">
            <v>2005-07-28</v>
          </cell>
          <cell r="G15" t="str">
            <v>2005-07-28</v>
          </cell>
          <cell r="H15" t="str">
            <v>2008-04-20</v>
          </cell>
          <cell r="I15" t="str">
            <v>時々</v>
          </cell>
          <cell r="J15" t="str">
            <v>全てのモード</v>
          </cell>
          <cell r="K15" t="str">
            <v>音声が出ない</v>
          </cell>
          <cell r="L15" t="str">
            <v>時々再現</v>
          </cell>
          <cell r="M15" t="str">
            <v>NoError</v>
          </cell>
          <cell r="N15" t="str">
            <v>03:Er02</v>
          </cell>
        </row>
        <row r="16">
          <cell r="A16" t="str">
            <v>48118</v>
          </cell>
          <cell r="B16">
            <v>39568</v>
          </cell>
          <cell r="C16" t="str">
            <v>D651 66 9R0</v>
          </cell>
          <cell r="D16" t="str">
            <v>DE3FS</v>
          </cell>
          <cell r="E16" t="str">
            <v>106629</v>
          </cell>
          <cell r="F16" t="str">
            <v>2007-11-16</v>
          </cell>
          <cell r="G16" t="str">
            <v>2007-11-16</v>
          </cell>
          <cell r="H16" t="str">
            <v>2008-04-27</v>
          </cell>
          <cell r="I16" t="str">
            <v>時々</v>
          </cell>
          <cell r="J16" t="str">
            <v>CD</v>
          </cell>
          <cell r="K16" t="str">
            <v>音飛びする</v>
          </cell>
          <cell r="L16" t="str">
            <v>時々再現</v>
          </cell>
          <cell r="M16" t="str">
            <v>NoError</v>
          </cell>
        </row>
        <row r="17">
          <cell r="A17" t="str">
            <v>48139</v>
          </cell>
          <cell r="B17">
            <v>39570</v>
          </cell>
          <cell r="C17" t="str">
            <v>B36D 66 AR0</v>
          </cell>
          <cell r="D17" t="str">
            <v>BK3P</v>
          </cell>
          <cell r="E17" t="str">
            <v>301271</v>
          </cell>
          <cell r="F17" t="str">
            <v>2006-10-11</v>
          </cell>
          <cell r="G17" t="str">
            <v>2006-10-11</v>
          </cell>
          <cell r="H17" t="str">
            <v>2008-04-26</v>
          </cell>
          <cell r="I17" t="str">
            <v>その他</v>
          </cell>
          <cell r="J17" t="str">
            <v>その他</v>
          </cell>
          <cell r="K17" t="str">
            <v>その他（備考に記入）</v>
          </cell>
          <cell r="L17" t="str">
            <v>常時再現</v>
          </cell>
          <cell r="M17" t="str">
            <v>NoError</v>
          </cell>
          <cell r="N17" t="str">
            <v>10:Er07/01 05:Er10</v>
          </cell>
        </row>
        <row r="18">
          <cell r="A18" t="str">
            <v>48148</v>
          </cell>
          <cell r="B18">
            <v>39575</v>
          </cell>
          <cell r="C18" t="str">
            <v>C236 79 AGX (AR0)</v>
          </cell>
          <cell r="D18" t="str">
            <v>CREW</v>
          </cell>
          <cell r="E18" t="str">
            <v>109708</v>
          </cell>
          <cell r="F18" t="str">
            <v>2005-04-14</v>
          </cell>
          <cell r="G18" t="str">
            <v>2005-04-14</v>
          </cell>
          <cell r="H18" t="str">
            <v>2008-04-10</v>
          </cell>
          <cell r="I18" t="str">
            <v>時間がたつと</v>
          </cell>
          <cell r="J18" t="str">
            <v>CD</v>
          </cell>
          <cell r="K18" t="str">
            <v>メディア(CD/TAPE/MD)が排出できない</v>
          </cell>
          <cell r="L18" t="str">
            <v>時々再現</v>
          </cell>
          <cell r="N18" t="str">
            <v>03:Er01</v>
          </cell>
        </row>
        <row r="19">
          <cell r="A19" t="str">
            <v>48157</v>
          </cell>
          <cell r="B19">
            <v>39575</v>
          </cell>
          <cell r="C19" t="str">
            <v>C305 66 DV0</v>
          </cell>
          <cell r="D19" t="str">
            <v>CREW</v>
          </cell>
          <cell r="E19" t="str">
            <v>317205</v>
          </cell>
          <cell r="F19" t="str">
            <v>2008-03-25</v>
          </cell>
          <cell r="G19" t="str">
            <v>2008-03-25</v>
          </cell>
          <cell r="H19" t="str">
            <v>2008-05-05</v>
          </cell>
          <cell r="I19" t="str">
            <v>運転状態に関係なく常に</v>
          </cell>
          <cell r="J19" t="str">
            <v>ハードディスク</v>
          </cell>
          <cell r="K19" t="str">
            <v>録音ができない</v>
          </cell>
          <cell r="L19" t="str">
            <v>時々再現</v>
          </cell>
        </row>
        <row r="20">
          <cell r="A20" t="str">
            <v>48152</v>
          </cell>
          <cell r="B20">
            <v>39575</v>
          </cell>
          <cell r="C20" t="str">
            <v>N135 66 ARX</v>
          </cell>
          <cell r="D20" t="str">
            <v>NCEC</v>
          </cell>
          <cell r="E20" t="str">
            <v>100953</v>
          </cell>
          <cell r="F20" t="str">
            <v>2005-12-15</v>
          </cell>
          <cell r="G20" t="str">
            <v>2005-12-15</v>
          </cell>
          <cell r="H20" t="str">
            <v>2008-05-01</v>
          </cell>
          <cell r="I20" t="str">
            <v>走行中に</v>
          </cell>
          <cell r="J20" t="str">
            <v>CD</v>
          </cell>
          <cell r="K20" t="str">
            <v>音飛びする</v>
          </cell>
          <cell r="L20" t="str">
            <v>時々再現</v>
          </cell>
          <cell r="N20" t="str">
            <v>21:Er19 22:Er07/02</v>
          </cell>
        </row>
        <row r="21">
          <cell r="A21" t="str">
            <v>48164</v>
          </cell>
          <cell r="B21">
            <v>39576</v>
          </cell>
          <cell r="C21" t="str">
            <v>D462 66 AT0(A)</v>
          </cell>
          <cell r="D21" t="str">
            <v>DC5R</v>
          </cell>
          <cell r="E21" t="str">
            <v>102124</v>
          </cell>
          <cell r="F21" t="str">
            <v>2005-03-28</v>
          </cell>
          <cell r="G21" t="str">
            <v>2005-03-28</v>
          </cell>
          <cell r="H21" t="str">
            <v>2008-04-28</v>
          </cell>
          <cell r="I21" t="str">
            <v>時々</v>
          </cell>
          <cell r="J21" t="str">
            <v>ハードディスク</v>
          </cell>
          <cell r="K21" t="str">
            <v>録音ができない</v>
          </cell>
          <cell r="L21" t="str">
            <v>時々再現</v>
          </cell>
          <cell r="M21" t="str">
            <v>NoError</v>
          </cell>
          <cell r="N21" t="str">
            <v>20:Er07/01</v>
          </cell>
        </row>
        <row r="22">
          <cell r="A22" t="str">
            <v>48183</v>
          </cell>
          <cell r="B22">
            <v>39578</v>
          </cell>
          <cell r="C22" t="str">
            <v>C305 66 DV0</v>
          </cell>
          <cell r="D22" t="str">
            <v>CREW</v>
          </cell>
          <cell r="E22" t="str">
            <v>316463</v>
          </cell>
          <cell r="F22" t="str">
            <v>2008-03-19</v>
          </cell>
          <cell r="G22" t="str">
            <v>2008-03-19</v>
          </cell>
          <cell r="H22" t="str">
            <v>2008-05-02</v>
          </cell>
          <cell r="I22" t="str">
            <v>時々</v>
          </cell>
          <cell r="J22" t="str">
            <v>全てのモード</v>
          </cell>
          <cell r="K22" t="str">
            <v>音声が出ない</v>
          </cell>
          <cell r="L22" t="str">
            <v>再現しないが故障コード表示有り</v>
          </cell>
        </row>
        <row r="23">
          <cell r="A23" t="str">
            <v>48240</v>
          </cell>
          <cell r="B23">
            <v>39584</v>
          </cell>
          <cell r="C23" t="str">
            <v>B36D 66 AR0</v>
          </cell>
          <cell r="D23" t="str">
            <v>BK3P</v>
          </cell>
          <cell r="E23" t="str">
            <v>304052</v>
          </cell>
          <cell r="F23" t="str">
            <v>2007-10-30</v>
          </cell>
          <cell r="G23" t="str">
            <v>2007-10-30</v>
          </cell>
          <cell r="H23" t="str">
            <v>2008-04-09</v>
          </cell>
          <cell r="I23" t="str">
            <v>時々</v>
          </cell>
          <cell r="J23" t="str">
            <v>CD</v>
          </cell>
          <cell r="K23" t="str">
            <v>メディア(CD/TAPE/MD)が排出できない</v>
          </cell>
          <cell r="L23" t="str">
            <v>時々再現</v>
          </cell>
          <cell r="N23" t="str">
            <v>10:Er01/07</v>
          </cell>
        </row>
        <row r="24">
          <cell r="A24" t="str">
            <v>48257</v>
          </cell>
          <cell r="B24">
            <v>39585</v>
          </cell>
          <cell r="C24" t="str">
            <v>F152 66 AS0</v>
          </cell>
          <cell r="D24" t="str">
            <v>SE3P</v>
          </cell>
          <cell r="E24" t="str">
            <v>143536</v>
          </cell>
          <cell r="F24" t="str">
            <v>2007-09-26</v>
          </cell>
          <cell r="G24" t="str">
            <v>2007-09-26</v>
          </cell>
          <cell r="H24" t="str">
            <v>2008-05-16</v>
          </cell>
          <cell r="I24" t="str">
            <v>時々</v>
          </cell>
          <cell r="J24" t="str">
            <v>ラジオ</v>
          </cell>
          <cell r="K24" t="str">
            <v>再生しない</v>
          </cell>
          <cell r="L24" t="str">
            <v>再現せず故障コードも表示せず</v>
          </cell>
          <cell r="M24" t="str">
            <v>NoError</v>
          </cell>
        </row>
        <row r="25">
          <cell r="A25" t="str">
            <v>48267</v>
          </cell>
          <cell r="B25">
            <v>39587</v>
          </cell>
          <cell r="C25" t="str">
            <v>C236 66 AR0</v>
          </cell>
          <cell r="D25" t="str">
            <v>CREW</v>
          </cell>
          <cell r="E25" t="str">
            <v>112519</v>
          </cell>
          <cell r="F25" t="str">
            <v>2005-05-23</v>
          </cell>
          <cell r="G25" t="str">
            <v>2005-05-23</v>
          </cell>
          <cell r="H25" t="str">
            <v>2008-05-18</v>
          </cell>
          <cell r="I25" t="str">
            <v>運転状態に関係なく常に</v>
          </cell>
          <cell r="J25" t="str">
            <v>CD</v>
          </cell>
          <cell r="K25" t="str">
            <v>メディア(CD/TAPE/MD)が排出できない</v>
          </cell>
          <cell r="L25" t="str">
            <v>時々再現</v>
          </cell>
          <cell r="M25" t="str">
            <v>NoError</v>
          </cell>
          <cell r="N25" t="str">
            <v>03:Er01</v>
          </cell>
        </row>
        <row r="26">
          <cell r="A26" t="str">
            <v>48268</v>
          </cell>
          <cell r="B26">
            <v>39587</v>
          </cell>
          <cell r="C26" t="str">
            <v>C236 66 AR0</v>
          </cell>
          <cell r="D26" t="str">
            <v>CREW</v>
          </cell>
          <cell r="E26" t="str">
            <v>112002</v>
          </cell>
          <cell r="F26" t="str">
            <v>2005-05-17</v>
          </cell>
          <cell r="G26" t="str">
            <v>2005-05-17</v>
          </cell>
          <cell r="H26" t="str">
            <v>2008-04-26</v>
          </cell>
          <cell r="I26" t="str">
            <v>走行中に</v>
          </cell>
          <cell r="J26" t="str">
            <v>CD</v>
          </cell>
          <cell r="K26" t="str">
            <v>音飛びする</v>
          </cell>
          <cell r="L26" t="str">
            <v>時々再現</v>
          </cell>
          <cell r="M26" t="str">
            <v>NoError</v>
          </cell>
          <cell r="N26" t="str">
            <v>07:Er07 03:Er01/07</v>
          </cell>
        </row>
        <row r="27">
          <cell r="A27" t="str">
            <v>48285</v>
          </cell>
          <cell r="B27">
            <v>39590</v>
          </cell>
          <cell r="C27" t="str">
            <v>C235 66 AH0</v>
          </cell>
          <cell r="D27" t="str">
            <v>CREW</v>
          </cell>
          <cell r="E27" t="str">
            <v>101114</v>
          </cell>
          <cell r="F27" t="str">
            <v>2005-11-30</v>
          </cell>
          <cell r="G27" t="str">
            <v>2005-11-30</v>
          </cell>
          <cell r="H27" t="str">
            <v>2008-05-01</v>
          </cell>
          <cell r="I27" t="str">
            <v>ショックを与えると</v>
          </cell>
          <cell r="J27" t="str">
            <v>全てのモード</v>
          </cell>
          <cell r="K27" t="str">
            <v>音声が出ない</v>
          </cell>
          <cell r="L27" t="str">
            <v>時々再現</v>
          </cell>
          <cell r="M27" t="str">
            <v>NoError</v>
          </cell>
        </row>
        <row r="28">
          <cell r="A28" t="str">
            <v>48306</v>
          </cell>
          <cell r="B28">
            <v>39592</v>
          </cell>
          <cell r="C28" t="str">
            <v>B32H 66 AS0</v>
          </cell>
          <cell r="D28" t="str">
            <v>BK5P</v>
          </cell>
          <cell r="E28" t="str">
            <v>211574</v>
          </cell>
          <cell r="F28" t="str">
            <v>2005-09-15</v>
          </cell>
          <cell r="G28" t="str">
            <v>2005-08-15</v>
          </cell>
          <cell r="H28" t="str">
            <v>2008-05-23</v>
          </cell>
          <cell r="I28" t="str">
            <v>走行中に</v>
          </cell>
          <cell r="J28" t="str">
            <v>ラジオ</v>
          </cell>
          <cell r="K28" t="str">
            <v>音声が出ない</v>
          </cell>
          <cell r="L28" t="str">
            <v>再現せず故障コードも表示せず</v>
          </cell>
        </row>
        <row r="29">
          <cell r="A29" t="str">
            <v>48302</v>
          </cell>
          <cell r="B29">
            <v>39592</v>
          </cell>
          <cell r="C29" t="str">
            <v>B33A 66 AR0</v>
          </cell>
          <cell r="D29" t="str">
            <v>BK5P</v>
          </cell>
          <cell r="E29" t="str">
            <v>222802</v>
          </cell>
          <cell r="F29" t="str">
            <v>2006-11-10</v>
          </cell>
          <cell r="G29" t="str">
            <v>2006-11-10</v>
          </cell>
          <cell r="H29" t="str">
            <v>2008-05-22</v>
          </cell>
          <cell r="I29" t="str">
            <v>時々</v>
          </cell>
          <cell r="J29" t="str">
            <v>CD</v>
          </cell>
          <cell r="K29" t="str">
            <v>音声にノイズが入る</v>
          </cell>
          <cell r="L29" t="str">
            <v>時々再現</v>
          </cell>
          <cell r="M29" t="str">
            <v>NoError</v>
          </cell>
          <cell r="N29" t="str">
            <v>21:Er19 03:Er07/02</v>
          </cell>
        </row>
        <row r="30">
          <cell r="A30" t="str">
            <v>48319</v>
          </cell>
          <cell r="B30">
            <v>39594</v>
          </cell>
          <cell r="C30" t="str">
            <v>F152 66 AS0</v>
          </cell>
          <cell r="D30" t="str">
            <v>SE3P</v>
          </cell>
          <cell r="E30" t="str">
            <v>138565</v>
          </cell>
          <cell r="F30" t="str">
            <v>2006-08-31</v>
          </cell>
          <cell r="G30" t="str">
            <v>2006-08-31</v>
          </cell>
          <cell r="H30" t="str">
            <v>2008-05-24</v>
          </cell>
          <cell r="I30" t="str">
            <v>時々</v>
          </cell>
          <cell r="J30" t="str">
            <v>ラジオ</v>
          </cell>
          <cell r="K30" t="str">
            <v>音声が出ない</v>
          </cell>
          <cell r="L30" t="str">
            <v>時々再現</v>
          </cell>
        </row>
        <row r="31">
          <cell r="A31" t="str">
            <v>48355</v>
          </cell>
          <cell r="B31">
            <v>39599</v>
          </cell>
          <cell r="C31" t="str">
            <v>C250 79 EGX</v>
          </cell>
          <cell r="D31" t="str">
            <v>CREW</v>
          </cell>
          <cell r="E31" t="str">
            <v>127091</v>
          </cell>
          <cell r="F31" t="str">
            <v>2005-12-26</v>
          </cell>
          <cell r="G31" t="str">
            <v>2005-12-26</v>
          </cell>
          <cell r="H31" t="str">
            <v>2008-05-28</v>
          </cell>
          <cell r="I31" t="str">
            <v>時々</v>
          </cell>
          <cell r="J31" t="str">
            <v>CD</v>
          </cell>
          <cell r="K31" t="str">
            <v>音飛びする</v>
          </cell>
          <cell r="L31" t="str">
            <v>常時再現</v>
          </cell>
          <cell r="M31" t="str">
            <v>NoError</v>
          </cell>
          <cell r="N31" t="str">
            <v>21:Er19 22:Er10</v>
          </cell>
        </row>
        <row r="32">
          <cell r="A32" t="str">
            <v>48368</v>
          </cell>
          <cell r="B32">
            <v>39601</v>
          </cell>
          <cell r="C32" t="str">
            <v>B37A 66 AT0</v>
          </cell>
          <cell r="D32" t="str">
            <v>BKEP</v>
          </cell>
          <cell r="E32" t="str">
            <v>309367</v>
          </cell>
          <cell r="F32" t="str">
            <v>2007-06-27</v>
          </cell>
          <cell r="G32" t="str">
            <v>2007-06-27</v>
          </cell>
          <cell r="H32" t="str">
            <v>2008-06-01</v>
          </cell>
          <cell r="I32" t="str">
            <v>運転状態に関係なく常に</v>
          </cell>
          <cell r="J32" t="str">
            <v>CD</v>
          </cell>
          <cell r="K32" t="str">
            <v>頭出しができない</v>
          </cell>
          <cell r="L32" t="str">
            <v>常時再現</v>
          </cell>
          <cell r="M32" t="str">
            <v>NoError</v>
          </cell>
          <cell r="N32" t="str">
            <v>20:Er14/02</v>
          </cell>
        </row>
        <row r="33">
          <cell r="A33" t="str">
            <v>48371</v>
          </cell>
          <cell r="B33">
            <v>39602</v>
          </cell>
          <cell r="C33" t="str">
            <v>B32H 66 AS0</v>
          </cell>
          <cell r="D33" t="str">
            <v>BK3P</v>
          </cell>
          <cell r="E33" t="str">
            <v>202715</v>
          </cell>
          <cell r="F33" t="str">
            <v>2005-06-30</v>
          </cell>
          <cell r="G33" t="str">
            <v>2005-06-30</v>
          </cell>
          <cell r="H33" t="str">
            <v>2008-05-31</v>
          </cell>
          <cell r="I33" t="str">
            <v>走行中に</v>
          </cell>
          <cell r="J33" t="str">
            <v>全てのモード</v>
          </cell>
          <cell r="K33" t="str">
            <v>その他（備考に記入）</v>
          </cell>
          <cell r="L33" t="str">
            <v>常時再現</v>
          </cell>
          <cell r="N33" t="str">
            <v>10:Er02</v>
          </cell>
        </row>
        <row r="34">
          <cell r="A34" t="str">
            <v>48372</v>
          </cell>
          <cell r="B34">
            <v>39602</v>
          </cell>
          <cell r="C34" t="str">
            <v>B33A 66 AR0</v>
          </cell>
          <cell r="D34" t="str">
            <v>BK5P</v>
          </cell>
          <cell r="E34" t="str">
            <v>313434</v>
          </cell>
          <cell r="F34" t="str">
            <v>2007-04-18</v>
          </cell>
          <cell r="G34" t="str">
            <v>2007-04-18</v>
          </cell>
          <cell r="H34" t="str">
            <v>2007-10-06</v>
          </cell>
          <cell r="I34" t="str">
            <v>時々</v>
          </cell>
          <cell r="J34" t="str">
            <v>ハードディスク</v>
          </cell>
          <cell r="K34" t="str">
            <v>一部スピーカーの音声が出ない</v>
          </cell>
          <cell r="L34" t="str">
            <v>時々再現</v>
          </cell>
          <cell r="M34" t="str">
            <v>NoError</v>
          </cell>
        </row>
        <row r="35">
          <cell r="A35" t="str">
            <v>48376</v>
          </cell>
          <cell r="B35">
            <v>39602</v>
          </cell>
          <cell r="C35" t="str">
            <v>D651 66 9R0</v>
          </cell>
          <cell r="D35" t="str">
            <v>DE3FS</v>
          </cell>
          <cell r="E35" t="str">
            <v>106996</v>
          </cell>
          <cell r="F35" t="str">
            <v>2007-11-28</v>
          </cell>
          <cell r="G35" t="str">
            <v>2007-11-28</v>
          </cell>
          <cell r="H35" t="str">
            <v>2008-06-01</v>
          </cell>
          <cell r="I35" t="str">
            <v>時々</v>
          </cell>
          <cell r="J35" t="str">
            <v>CD</v>
          </cell>
          <cell r="K35" t="str">
            <v>ボタン操作が効かない</v>
          </cell>
          <cell r="L35" t="str">
            <v>時々再現</v>
          </cell>
          <cell r="M35" t="str">
            <v>NoError</v>
          </cell>
        </row>
        <row r="36">
          <cell r="A36" t="str">
            <v>48405</v>
          </cell>
          <cell r="B36">
            <v>39608</v>
          </cell>
          <cell r="C36" t="str">
            <v>B33A 66 AR0</v>
          </cell>
          <cell r="D36" t="str">
            <v>BK5P</v>
          </cell>
          <cell r="E36" t="str">
            <v>305242</v>
          </cell>
          <cell r="F36" t="str">
            <v>2006-09-25</v>
          </cell>
          <cell r="G36" t="str">
            <v>2006-09-25</v>
          </cell>
          <cell r="H36" t="str">
            <v>2008-06-06</v>
          </cell>
          <cell r="I36" t="str">
            <v>時々</v>
          </cell>
          <cell r="J36" t="str">
            <v>CD</v>
          </cell>
          <cell r="K36" t="str">
            <v>読み込まない</v>
          </cell>
          <cell r="L36" t="str">
            <v>時々再現</v>
          </cell>
          <cell r="M36" t="str">
            <v>NoError</v>
          </cell>
        </row>
        <row r="37">
          <cell r="A37" t="str">
            <v>48416</v>
          </cell>
          <cell r="B37">
            <v>39608</v>
          </cell>
          <cell r="C37" t="str">
            <v>C236 79 AGX (AR0)</v>
          </cell>
          <cell r="D37" t="str">
            <v>CREW</v>
          </cell>
          <cell r="E37" t="str">
            <v>118138</v>
          </cell>
          <cell r="F37" t="str">
            <v>2005-07-15</v>
          </cell>
          <cell r="G37" t="str">
            <v>2005-07-15</v>
          </cell>
          <cell r="H37" t="str">
            <v>2008-06-09</v>
          </cell>
          <cell r="I37" t="str">
            <v>時々</v>
          </cell>
          <cell r="J37" t="str">
            <v>CD</v>
          </cell>
          <cell r="K37" t="str">
            <v>読み込まない</v>
          </cell>
          <cell r="L37" t="str">
            <v>時々再現</v>
          </cell>
        </row>
        <row r="38">
          <cell r="A38" t="str">
            <v>48429</v>
          </cell>
          <cell r="B38">
            <v>39610</v>
          </cell>
          <cell r="C38" t="str">
            <v>B32H 66 AS0</v>
          </cell>
          <cell r="D38" t="str">
            <v>BK5P</v>
          </cell>
          <cell r="E38" t="str">
            <v>208805</v>
          </cell>
          <cell r="F38" t="str">
            <v>2005-06-28</v>
          </cell>
          <cell r="G38" t="str">
            <v>2005-06-27</v>
          </cell>
          <cell r="H38" t="str">
            <v>2008-06-11</v>
          </cell>
          <cell r="I38" t="str">
            <v>運転状態に関係なく常に</v>
          </cell>
          <cell r="J38" t="str">
            <v>その他</v>
          </cell>
          <cell r="K38" t="str">
            <v>時計が遅れる（備考に詳細記入）</v>
          </cell>
          <cell r="L38" t="str">
            <v>時々再現</v>
          </cell>
          <cell r="M38" t="str">
            <v>NoError</v>
          </cell>
          <cell r="N38" t="str">
            <v>03:Er02/07 08:Er11</v>
          </cell>
        </row>
        <row r="39">
          <cell r="A39" t="str">
            <v>48427</v>
          </cell>
          <cell r="B39">
            <v>39610</v>
          </cell>
          <cell r="C39" t="str">
            <v>D462 66 AT0(A)</v>
          </cell>
          <cell r="D39" t="str">
            <v>DY3W</v>
          </cell>
          <cell r="E39" t="str">
            <v>430408</v>
          </cell>
          <cell r="F39" t="str">
            <v>2006-11-28</v>
          </cell>
          <cell r="G39" t="str">
            <v>2005-11-28</v>
          </cell>
          <cell r="H39" t="str">
            <v>2008-06-08</v>
          </cell>
          <cell r="I39" t="str">
            <v>運転状態に関係なく常に</v>
          </cell>
          <cell r="J39" t="str">
            <v>CD</v>
          </cell>
          <cell r="K39" t="str">
            <v>再生しない</v>
          </cell>
          <cell r="L39" t="str">
            <v>常時再現</v>
          </cell>
          <cell r="M39" t="str">
            <v>NoError</v>
          </cell>
          <cell r="N39" t="str">
            <v>20:Er16</v>
          </cell>
        </row>
        <row r="40">
          <cell r="A40" t="str">
            <v>48443</v>
          </cell>
          <cell r="B40">
            <v>39613</v>
          </cell>
          <cell r="C40" t="str">
            <v>B32H 66 AS0</v>
          </cell>
          <cell r="D40" t="str">
            <v>BK5P</v>
          </cell>
          <cell r="E40" t="str">
            <v>208446</v>
          </cell>
          <cell r="F40" t="str">
            <v>2005-06-29</v>
          </cell>
          <cell r="G40" t="str">
            <v>2005-06-29</v>
          </cell>
          <cell r="H40" t="str">
            <v>2008-06-12</v>
          </cell>
          <cell r="I40" t="str">
            <v>時々</v>
          </cell>
          <cell r="J40" t="str">
            <v>その他</v>
          </cell>
          <cell r="K40" t="str">
            <v>時計が遅れる（備考に詳細記入）</v>
          </cell>
          <cell r="L40" t="str">
            <v>時々再現</v>
          </cell>
          <cell r="M40" t="str">
            <v>NoError</v>
          </cell>
        </row>
        <row r="41">
          <cell r="A41" t="str">
            <v>48447</v>
          </cell>
          <cell r="B41">
            <v>39613</v>
          </cell>
          <cell r="C41" t="str">
            <v>C305 66 DV0</v>
          </cell>
          <cell r="D41" t="str">
            <v>CREW</v>
          </cell>
          <cell r="E41" t="str">
            <v>307398</v>
          </cell>
          <cell r="F41" t="str">
            <v>2007-12-21</v>
          </cell>
          <cell r="G41" t="str">
            <v>2007-12-21</v>
          </cell>
          <cell r="H41" t="str">
            <v>2008-06-13</v>
          </cell>
          <cell r="I41" t="str">
            <v>時々</v>
          </cell>
          <cell r="J41" t="str">
            <v>全てのモード</v>
          </cell>
          <cell r="K41" t="str">
            <v>画面が出ない</v>
          </cell>
          <cell r="L41" t="str">
            <v>時々再現</v>
          </cell>
          <cell r="M41" t="str">
            <v>NoError</v>
          </cell>
        </row>
        <row r="42">
          <cell r="A42" t="str">
            <v>48460</v>
          </cell>
          <cell r="B42">
            <v>39615</v>
          </cell>
          <cell r="C42" t="str">
            <v>B33A 66 AH0</v>
          </cell>
          <cell r="D42" t="str">
            <v>BK5P</v>
          </cell>
          <cell r="E42" t="str">
            <v>313434</v>
          </cell>
          <cell r="F42" t="str">
            <v>2007-04-18</v>
          </cell>
          <cell r="G42" t="str">
            <v>2007-04-18</v>
          </cell>
          <cell r="H42" t="str">
            <v>2008-06-11</v>
          </cell>
          <cell r="I42" t="str">
            <v>時々</v>
          </cell>
          <cell r="J42" t="str">
            <v>外部入力</v>
          </cell>
          <cell r="K42" t="str">
            <v>一部スピーカーの音声が出ない</v>
          </cell>
          <cell r="L42" t="str">
            <v>時々再現</v>
          </cell>
          <cell r="M42" t="str">
            <v>NoError</v>
          </cell>
        </row>
        <row r="43">
          <cell r="A43" t="str">
            <v>48466</v>
          </cell>
          <cell r="B43">
            <v>39615</v>
          </cell>
          <cell r="C43" t="str">
            <v>GK1R 66 AG0</v>
          </cell>
          <cell r="D43" t="str">
            <v>NB8C</v>
          </cell>
          <cell r="E43" t="str">
            <v>400653</v>
          </cell>
          <cell r="F43" t="str">
            <v>2005-06-29</v>
          </cell>
          <cell r="G43" t="str">
            <v>2005-09-30</v>
          </cell>
          <cell r="H43" t="str">
            <v>2008-06-16</v>
          </cell>
          <cell r="I43" t="str">
            <v>時々</v>
          </cell>
          <cell r="J43" t="str">
            <v>CD</v>
          </cell>
          <cell r="K43" t="str">
            <v>読み込まない</v>
          </cell>
          <cell r="L43" t="str">
            <v>時々再現</v>
          </cell>
          <cell r="M43" t="str">
            <v>NoError</v>
          </cell>
        </row>
        <row r="44">
          <cell r="A44" t="str">
            <v>48469</v>
          </cell>
          <cell r="B44">
            <v>39616</v>
          </cell>
          <cell r="C44" t="str">
            <v>B33A 66 AR0</v>
          </cell>
          <cell r="D44" t="str">
            <v>BK5P</v>
          </cell>
          <cell r="E44" t="str">
            <v>327145</v>
          </cell>
          <cell r="F44" t="str">
            <v>2008-04-23</v>
          </cell>
          <cell r="G44" t="str">
            <v>2008-04-23</v>
          </cell>
          <cell r="H44" t="str">
            <v>2008-06-15</v>
          </cell>
          <cell r="I44" t="str">
            <v>走行中に</v>
          </cell>
          <cell r="J44" t="str">
            <v>外部入力</v>
          </cell>
          <cell r="K44" t="str">
            <v>一部スピーカーの音声が出ない</v>
          </cell>
          <cell r="L44" t="str">
            <v>時々再現</v>
          </cell>
          <cell r="M44" t="str">
            <v>NoError</v>
          </cell>
        </row>
        <row r="45">
          <cell r="A45" t="str">
            <v>48528</v>
          </cell>
          <cell r="B45">
            <v>39622</v>
          </cell>
          <cell r="C45" t="str">
            <v>BP4R 61 1J0A</v>
          </cell>
          <cell r="D45" t="str">
            <v>BK5P</v>
          </cell>
          <cell r="E45" t="str">
            <v>322678</v>
          </cell>
          <cell r="F45" t="str">
            <v>2007-12-25</v>
          </cell>
          <cell r="G45" t="str">
            <v>2007-12-25</v>
          </cell>
          <cell r="H45" t="str">
            <v>2008-06-22</v>
          </cell>
          <cell r="I45" t="str">
            <v>運転状態に関係なく常に</v>
          </cell>
          <cell r="J45" t="str">
            <v>その他</v>
          </cell>
          <cell r="K45" t="str">
            <v>時計が遅れる（備考に詳細記入）</v>
          </cell>
          <cell r="L45" t="str">
            <v>時々再現</v>
          </cell>
          <cell r="M45" t="str">
            <v>NoError</v>
          </cell>
        </row>
        <row r="46">
          <cell r="A46" t="str">
            <v>48535</v>
          </cell>
          <cell r="B46">
            <v>39622</v>
          </cell>
          <cell r="C46" t="str">
            <v>D651 66 9R0</v>
          </cell>
          <cell r="D46" t="str">
            <v>DE5FS</v>
          </cell>
          <cell r="E46" t="str">
            <v>107191</v>
          </cell>
          <cell r="F46" t="str">
            <v>2007-11-28</v>
          </cell>
          <cell r="G46" t="str">
            <v>2007-11-28</v>
          </cell>
          <cell r="H46" t="str">
            <v>2008-06-23</v>
          </cell>
          <cell r="I46" t="str">
            <v>時々</v>
          </cell>
          <cell r="J46" t="str">
            <v>CD</v>
          </cell>
          <cell r="K46" t="str">
            <v>音飛びする</v>
          </cell>
          <cell r="L46" t="str">
            <v>時々再現</v>
          </cell>
          <cell r="M46" t="str">
            <v>NoError</v>
          </cell>
        </row>
        <row r="47">
          <cell r="A47" t="str">
            <v>48545</v>
          </cell>
          <cell r="B47">
            <v>39624</v>
          </cell>
          <cell r="C47" t="str">
            <v>C250 79 EGX</v>
          </cell>
          <cell r="D47" t="str">
            <v>DY3W</v>
          </cell>
          <cell r="E47" t="str">
            <v>401109</v>
          </cell>
          <cell r="F47" t="str">
            <v>2005-06-14</v>
          </cell>
          <cell r="G47" t="str">
            <v>2005-07-01</v>
          </cell>
          <cell r="H47" t="str">
            <v>2008-06-15</v>
          </cell>
          <cell r="I47" t="str">
            <v>時々</v>
          </cell>
          <cell r="J47" t="str">
            <v>CD</v>
          </cell>
          <cell r="K47" t="str">
            <v>読み込まない</v>
          </cell>
          <cell r="L47" t="str">
            <v>時々再現</v>
          </cell>
          <cell r="M47" t="str">
            <v>NoError</v>
          </cell>
          <cell r="N47" t="str">
            <v>22:Er10/22:Er01</v>
          </cell>
        </row>
        <row r="48">
          <cell r="A48" t="str">
            <v>48552</v>
          </cell>
          <cell r="B48">
            <v>39625</v>
          </cell>
          <cell r="C48" t="str">
            <v>C305 66 DV0</v>
          </cell>
          <cell r="D48" t="str">
            <v>CREW</v>
          </cell>
          <cell r="E48" t="str">
            <v>315242</v>
          </cell>
          <cell r="F48" t="str">
            <v>2008-03-13</v>
          </cell>
          <cell r="G48" t="str">
            <v>2008-03-13</v>
          </cell>
          <cell r="H48" t="str">
            <v>2008-06-25</v>
          </cell>
          <cell r="I48" t="str">
            <v>時々</v>
          </cell>
          <cell r="J48" t="str">
            <v>全てのモード</v>
          </cell>
          <cell r="K48" t="str">
            <v>音声が出ない</v>
          </cell>
          <cell r="L48" t="str">
            <v>時々再現</v>
          </cell>
          <cell r="M48" t="str">
            <v>NoError</v>
          </cell>
        </row>
        <row r="49">
          <cell r="A49" t="str">
            <v>48574</v>
          </cell>
          <cell r="B49">
            <v>39627</v>
          </cell>
          <cell r="C49" t="str">
            <v>D651 66 9R0</v>
          </cell>
          <cell r="D49" t="str">
            <v>DE3FS</v>
          </cell>
          <cell r="E49" t="str">
            <v>145235</v>
          </cell>
          <cell r="F49" t="str">
            <v>2008-04-30</v>
          </cell>
          <cell r="G49" t="str">
            <v>2008-04-30</v>
          </cell>
          <cell r="H49" t="str">
            <v>2008-05-18</v>
          </cell>
          <cell r="I49" t="str">
            <v>走行中に</v>
          </cell>
          <cell r="J49" t="str">
            <v>全てのモード</v>
          </cell>
          <cell r="K49" t="str">
            <v>音飛びする</v>
          </cell>
          <cell r="L49" t="str">
            <v>時々再現</v>
          </cell>
          <cell r="M49" t="str">
            <v>NoError</v>
          </cell>
        </row>
        <row r="50">
          <cell r="A50" t="str">
            <v>48585</v>
          </cell>
          <cell r="B50">
            <v>39627</v>
          </cell>
          <cell r="C50" t="str">
            <v>G33C 66 DV0</v>
          </cell>
          <cell r="D50" t="str">
            <v>GH5FW</v>
          </cell>
          <cell r="E50" t="str">
            <v>102982</v>
          </cell>
          <cell r="F50" t="str">
            <v>2008-06-13</v>
          </cell>
          <cell r="G50" t="str">
            <v>2008-06-13</v>
          </cell>
          <cell r="H50" t="str">
            <v>2008-06-28</v>
          </cell>
          <cell r="I50" t="str">
            <v>時々</v>
          </cell>
          <cell r="J50" t="str">
            <v>外部入力</v>
          </cell>
          <cell r="K50" t="str">
            <v>画面が出ない</v>
          </cell>
          <cell r="L50" t="str">
            <v>時々再現</v>
          </cell>
        </row>
        <row r="51">
          <cell r="A51" t="str">
            <v>48598</v>
          </cell>
          <cell r="B51">
            <v>39629</v>
          </cell>
          <cell r="C51" t="str">
            <v>B35G 79 AGX</v>
          </cell>
          <cell r="D51" t="str">
            <v>BK3P</v>
          </cell>
          <cell r="E51" t="str">
            <v>303457</v>
          </cell>
          <cell r="F51" t="str">
            <v>2007-07-31</v>
          </cell>
          <cell r="G51" t="str">
            <v>2007-07-31</v>
          </cell>
          <cell r="H51" t="str">
            <v>2008-06-29</v>
          </cell>
          <cell r="I51" t="str">
            <v>時々</v>
          </cell>
          <cell r="J51" t="str">
            <v>CD</v>
          </cell>
          <cell r="K51" t="str">
            <v>読み込まない</v>
          </cell>
          <cell r="L51" t="str">
            <v>再現しないが故障コード表示有り</v>
          </cell>
          <cell r="M51" t="str">
            <v>03:Er02</v>
          </cell>
          <cell r="N51" t="str">
            <v>03:Er02</v>
          </cell>
        </row>
        <row r="52">
          <cell r="A52" t="str">
            <v>48589</v>
          </cell>
          <cell r="B52">
            <v>39629</v>
          </cell>
          <cell r="C52" t="str">
            <v>C250 79 EGX</v>
          </cell>
          <cell r="D52" t="str">
            <v>CREW</v>
          </cell>
          <cell r="E52" t="str">
            <v>136705</v>
          </cell>
          <cell r="F52" t="str">
            <v>2006-06-30</v>
          </cell>
          <cell r="G52" t="str">
            <v>2006-07-03</v>
          </cell>
          <cell r="H52" t="str">
            <v>2008-06-03</v>
          </cell>
          <cell r="I52" t="str">
            <v>運転状態に関係なく常に</v>
          </cell>
          <cell r="J52" t="str">
            <v>CD</v>
          </cell>
          <cell r="K52" t="str">
            <v>音飛びする</v>
          </cell>
          <cell r="L52" t="str">
            <v>常時再現</v>
          </cell>
          <cell r="M52" t="str">
            <v>NoError</v>
          </cell>
          <cell r="N52" t="str">
            <v>21:Er19 22:Er02</v>
          </cell>
        </row>
        <row r="53">
          <cell r="A53" t="str">
            <v>48597</v>
          </cell>
          <cell r="B53">
            <v>39629</v>
          </cell>
          <cell r="C53" t="str">
            <v>D651 66 9R0</v>
          </cell>
          <cell r="D53" t="str">
            <v>DE3FS</v>
          </cell>
          <cell r="E53" t="str">
            <v>120838</v>
          </cell>
          <cell r="F53" t="str">
            <v>2007-11-14</v>
          </cell>
          <cell r="G53" t="str">
            <v>2007-11-14</v>
          </cell>
          <cell r="H53" t="str">
            <v>2008-06-28</v>
          </cell>
          <cell r="I53" t="str">
            <v>運転状態に関係なく常に</v>
          </cell>
          <cell r="J53" t="str">
            <v>CD</v>
          </cell>
          <cell r="K53" t="str">
            <v>メディア(CD/TAPE/MD)が排出できない</v>
          </cell>
          <cell r="L53" t="str">
            <v>常時再現</v>
          </cell>
          <cell r="N53" t="str">
            <v>03:Er01</v>
          </cell>
        </row>
        <row r="54">
          <cell r="A54" t="str">
            <v>48601</v>
          </cell>
          <cell r="B54">
            <v>39629</v>
          </cell>
          <cell r="C54" t="str">
            <v>F152 66 AS0</v>
          </cell>
          <cell r="D54" t="str">
            <v>SE3P</v>
          </cell>
          <cell r="E54" t="str">
            <v>130050</v>
          </cell>
          <cell r="F54" t="str">
            <v>2005-07-28</v>
          </cell>
          <cell r="G54" t="str">
            <v>2005-07-28</v>
          </cell>
          <cell r="H54" t="str">
            <v>2008-06-21</v>
          </cell>
          <cell r="I54" t="str">
            <v>走行中に</v>
          </cell>
          <cell r="J54" t="str">
            <v>ラジオ</v>
          </cell>
          <cell r="K54" t="str">
            <v>ＦＭのチューニングがずれる</v>
          </cell>
          <cell r="L54" t="str">
            <v>時々再現</v>
          </cell>
          <cell r="M54" t="str">
            <v>NoError</v>
          </cell>
        </row>
        <row r="55">
          <cell r="A55" t="str">
            <v>48692</v>
          </cell>
          <cell r="B55">
            <v>39639</v>
          </cell>
          <cell r="C55" t="str">
            <v>D651 66 9R0</v>
          </cell>
          <cell r="D55" t="str">
            <v>DE3AS</v>
          </cell>
          <cell r="E55" t="str">
            <v>100920</v>
          </cell>
          <cell r="F55" t="str">
            <v>2007-10-22</v>
          </cell>
          <cell r="G55" t="str">
            <v>2007-10-22</v>
          </cell>
          <cell r="H55" t="str">
            <v>2008-07-01</v>
          </cell>
          <cell r="I55" t="str">
            <v>時々</v>
          </cell>
          <cell r="J55" t="str">
            <v>CD</v>
          </cell>
          <cell r="K55" t="str">
            <v>音飛びする</v>
          </cell>
          <cell r="L55" t="str">
            <v>時々再現</v>
          </cell>
          <cell r="M55" t="str">
            <v>NoError</v>
          </cell>
        </row>
        <row r="56">
          <cell r="A56" t="str">
            <v>48706</v>
          </cell>
          <cell r="B56">
            <v>39640</v>
          </cell>
          <cell r="C56" t="str">
            <v>B33A 66 AR0</v>
          </cell>
          <cell r="D56" t="str">
            <v>BK5P</v>
          </cell>
          <cell r="E56" t="str">
            <v>302956</v>
          </cell>
          <cell r="F56" t="str">
            <v>2006-07-28</v>
          </cell>
          <cell r="G56" t="str">
            <v>2006-07-28</v>
          </cell>
          <cell r="H56" t="str">
            <v>2008-07-09</v>
          </cell>
          <cell r="I56" t="str">
            <v>イルミON時</v>
          </cell>
          <cell r="J56" t="str">
            <v>CD</v>
          </cell>
          <cell r="K56" t="str">
            <v>イルミネーションが点灯しない</v>
          </cell>
          <cell r="L56" t="str">
            <v>常時再現</v>
          </cell>
          <cell r="N56" t="str">
            <v>03:Er02/07</v>
          </cell>
        </row>
        <row r="57">
          <cell r="A57" t="str">
            <v>48716</v>
          </cell>
          <cell r="B57">
            <v>39641</v>
          </cell>
          <cell r="C57" t="str">
            <v>GK1R 66 AG0</v>
          </cell>
          <cell r="D57" t="str">
            <v>SE3P</v>
          </cell>
          <cell r="E57" t="str">
            <v>143220</v>
          </cell>
          <cell r="F57" t="str">
            <v>2007-09-18</v>
          </cell>
          <cell r="G57" t="str">
            <v>2007-09-18</v>
          </cell>
          <cell r="H57" t="str">
            <v>2008-07-01</v>
          </cell>
          <cell r="I57" t="str">
            <v>走行中に</v>
          </cell>
          <cell r="J57" t="str">
            <v>CD</v>
          </cell>
          <cell r="K57" t="str">
            <v>音飛びする</v>
          </cell>
          <cell r="L57" t="str">
            <v>時々再現</v>
          </cell>
          <cell r="M57" t="str">
            <v>NoError</v>
          </cell>
        </row>
        <row r="58">
          <cell r="A58" t="str">
            <v>48730</v>
          </cell>
          <cell r="B58">
            <v>39643</v>
          </cell>
          <cell r="C58" t="str">
            <v>B33E 79 EGX</v>
          </cell>
          <cell r="D58" t="str">
            <v>BK5P</v>
          </cell>
          <cell r="E58" t="str">
            <v>309036</v>
          </cell>
          <cell r="F58" t="str">
            <v>2007-01-18</v>
          </cell>
          <cell r="G58" t="str">
            <v>2007-01-18</v>
          </cell>
          <cell r="H58" t="str">
            <v>2008-07-12</v>
          </cell>
          <cell r="I58" t="str">
            <v>時々</v>
          </cell>
          <cell r="J58" t="str">
            <v>CD</v>
          </cell>
          <cell r="K58" t="str">
            <v>音飛びする</v>
          </cell>
          <cell r="L58" t="str">
            <v>時々再現</v>
          </cell>
          <cell r="M58" t="str">
            <v>22:Er02</v>
          </cell>
          <cell r="N58" t="str">
            <v>21:Er19 22:Er02</v>
          </cell>
        </row>
        <row r="59">
          <cell r="A59" t="str">
            <v>48726</v>
          </cell>
          <cell r="B59">
            <v>39643</v>
          </cell>
          <cell r="C59" t="str">
            <v>C305 66 DV0</v>
          </cell>
          <cell r="D59" t="str">
            <v>CREW</v>
          </cell>
          <cell r="E59" t="str">
            <v>308919</v>
          </cell>
          <cell r="F59" t="str">
            <v>2008-01-16</v>
          </cell>
          <cell r="G59" t="str">
            <v>2008-01-16</v>
          </cell>
          <cell r="H59" t="str">
            <v>2008-07-05</v>
          </cell>
          <cell r="I59" t="str">
            <v>気温が上がると</v>
          </cell>
          <cell r="J59" t="str">
            <v>全てのモード</v>
          </cell>
          <cell r="K59" t="str">
            <v>ディスプレイが異常表示する</v>
          </cell>
          <cell r="L59" t="str">
            <v>時々再現</v>
          </cell>
          <cell r="M59" t="str">
            <v>NoError</v>
          </cell>
        </row>
        <row r="60">
          <cell r="A60" t="str">
            <v>48734</v>
          </cell>
          <cell r="B60">
            <v>39643</v>
          </cell>
          <cell r="C60" t="str">
            <v>C305 66 DV0</v>
          </cell>
          <cell r="D60" t="str">
            <v>CREW</v>
          </cell>
          <cell r="E60" t="str">
            <v>300721</v>
          </cell>
          <cell r="F60" t="str">
            <v>2007-09-06</v>
          </cell>
          <cell r="G60" t="str">
            <v>2007-09-06</v>
          </cell>
          <cell r="H60" t="str">
            <v>2008-07-13</v>
          </cell>
          <cell r="I60" t="str">
            <v>走行中に</v>
          </cell>
          <cell r="J60" t="str">
            <v>ナビゲーション</v>
          </cell>
          <cell r="K60" t="str">
            <v>その他（備考に記入）</v>
          </cell>
          <cell r="L60" t="str">
            <v>時々再現</v>
          </cell>
          <cell r="M60" t="str">
            <v>NoError</v>
          </cell>
        </row>
        <row r="61">
          <cell r="A61" t="str">
            <v>48718</v>
          </cell>
          <cell r="B61">
            <v>39643</v>
          </cell>
          <cell r="C61" t="str">
            <v>D462 66 AT0(A)</v>
          </cell>
          <cell r="D61" t="str">
            <v>DC5W</v>
          </cell>
          <cell r="E61" t="str">
            <v>119308</v>
          </cell>
          <cell r="F61" t="str">
            <v>2005-09-29</v>
          </cell>
          <cell r="G61" t="str">
            <v>2005-09-29</v>
          </cell>
          <cell r="H61" t="str">
            <v>2008-07-12</v>
          </cell>
          <cell r="I61" t="str">
            <v>時々</v>
          </cell>
          <cell r="J61" t="str">
            <v>ハードディスク</v>
          </cell>
          <cell r="K61" t="str">
            <v>読み込まない</v>
          </cell>
          <cell r="L61" t="str">
            <v>時々再現</v>
          </cell>
          <cell r="M61" t="str">
            <v>NoError</v>
          </cell>
          <cell r="N61" t="str">
            <v>20:Er10/14/02</v>
          </cell>
        </row>
        <row r="62">
          <cell r="A62" t="str">
            <v>48743</v>
          </cell>
          <cell r="B62">
            <v>39643</v>
          </cell>
          <cell r="C62" t="str">
            <v>D651 66 9R0</v>
          </cell>
          <cell r="D62" t="str">
            <v>DE3FS</v>
          </cell>
          <cell r="E62" t="str">
            <v>129687</v>
          </cell>
          <cell r="F62" t="str">
            <v>2008-01-30</v>
          </cell>
          <cell r="G62" t="str">
            <v>2008-01-30</v>
          </cell>
          <cell r="H62" t="str">
            <v>2008-07-14</v>
          </cell>
          <cell r="I62" t="str">
            <v>運転状態に関係なく常に</v>
          </cell>
          <cell r="J62" t="str">
            <v>ラジオ</v>
          </cell>
          <cell r="K62" t="str">
            <v>音声にノイズが入る</v>
          </cell>
          <cell r="L62" t="str">
            <v>常時再現</v>
          </cell>
          <cell r="M62" t="str">
            <v>NoError</v>
          </cell>
        </row>
        <row r="63">
          <cell r="A63" t="str">
            <v>48745</v>
          </cell>
          <cell r="B63">
            <v>39644</v>
          </cell>
          <cell r="C63" t="str">
            <v>C236 66 AR0</v>
          </cell>
          <cell r="D63" t="str">
            <v>CREW</v>
          </cell>
          <cell r="E63" t="str">
            <v>143496</v>
          </cell>
          <cell r="F63" t="str">
            <v>2006-06-30</v>
          </cell>
          <cell r="G63" t="str">
            <v>2006-06-30</v>
          </cell>
          <cell r="H63" t="str">
            <v>2008-07-14</v>
          </cell>
          <cell r="I63" t="str">
            <v>運転状態に関係なく常に</v>
          </cell>
          <cell r="J63" t="str">
            <v>全てのモード</v>
          </cell>
          <cell r="K63" t="str">
            <v>メディア(CD/TAPE/MD)が挿入できない</v>
          </cell>
          <cell r="L63" t="str">
            <v>常時再現</v>
          </cell>
          <cell r="N63" t="str">
            <v>03:Er01/07/02</v>
          </cell>
        </row>
        <row r="64">
          <cell r="A64" t="str">
            <v>48766</v>
          </cell>
          <cell r="B64">
            <v>39646</v>
          </cell>
          <cell r="C64" t="str">
            <v>D651 66 9R0</v>
          </cell>
          <cell r="D64" t="str">
            <v>DE3AS</v>
          </cell>
          <cell r="E64" t="str">
            <v>101219</v>
          </cell>
          <cell r="F64" t="str">
            <v>2007-12-03</v>
          </cell>
          <cell r="G64" t="str">
            <v>2007-12-03</v>
          </cell>
          <cell r="H64" t="str">
            <v>2008-07-17</v>
          </cell>
          <cell r="I64" t="str">
            <v>運転状態に関係なく常に</v>
          </cell>
          <cell r="J64" t="str">
            <v>CD</v>
          </cell>
          <cell r="K64" t="str">
            <v>メディア(CD/TAPE/MD)が排出できない</v>
          </cell>
          <cell r="L64" t="str">
            <v>常時再現</v>
          </cell>
          <cell r="M64" t="str">
            <v>NoError</v>
          </cell>
        </row>
        <row r="65">
          <cell r="A65" t="str">
            <v>48809</v>
          </cell>
          <cell r="B65">
            <v>39651</v>
          </cell>
          <cell r="C65" t="str">
            <v>B36D 66 AR0</v>
          </cell>
          <cell r="D65" t="str">
            <v>BK3P</v>
          </cell>
          <cell r="E65" t="str">
            <v>302343</v>
          </cell>
          <cell r="F65" t="str">
            <v>2007-01-30</v>
          </cell>
          <cell r="G65" t="str">
            <v>2007-01-30</v>
          </cell>
          <cell r="H65" t="str">
            <v>2008-07-21</v>
          </cell>
          <cell r="I65" t="str">
            <v>時々</v>
          </cell>
          <cell r="J65" t="str">
            <v>CD</v>
          </cell>
          <cell r="K65" t="str">
            <v>メディア(CD/TAPE/MD)が排出できない</v>
          </cell>
          <cell r="L65" t="str">
            <v>再現しないが故障コード表示有り</v>
          </cell>
          <cell r="M65" t="str">
            <v>10:Er01</v>
          </cell>
          <cell r="N65" t="str">
            <v>21:Er19 10:Er01</v>
          </cell>
        </row>
        <row r="66">
          <cell r="A66" t="str">
            <v>48812</v>
          </cell>
          <cell r="B66">
            <v>39651</v>
          </cell>
          <cell r="C66" t="str">
            <v>C305 66 DV0</v>
          </cell>
          <cell r="D66" t="str">
            <v>CREW</v>
          </cell>
          <cell r="E66" t="str">
            <v>316292</v>
          </cell>
          <cell r="F66" t="str">
            <v>2008-04-09</v>
          </cell>
          <cell r="G66" t="str">
            <v>2008-04-10</v>
          </cell>
          <cell r="H66" t="str">
            <v>2008-07-20</v>
          </cell>
          <cell r="I66" t="str">
            <v>運転状態に関係なく常に</v>
          </cell>
          <cell r="J66" t="str">
            <v>ナビゲーション</v>
          </cell>
          <cell r="K66" t="str">
            <v>画面が出ない</v>
          </cell>
          <cell r="L66" t="str">
            <v>常時再現</v>
          </cell>
          <cell r="M66" t="str">
            <v>NoError</v>
          </cell>
        </row>
        <row r="67">
          <cell r="A67" t="str">
            <v>48836</v>
          </cell>
          <cell r="B67">
            <v>39654</v>
          </cell>
          <cell r="C67" t="str">
            <v>D651 66 9R0</v>
          </cell>
          <cell r="D67" t="str">
            <v>DE3FS</v>
          </cell>
          <cell r="E67" t="str">
            <v>101899</v>
          </cell>
          <cell r="F67" t="str">
            <v>2007-10-12</v>
          </cell>
          <cell r="G67" t="str">
            <v>2007-10-12</v>
          </cell>
          <cell r="H67" t="str">
            <v>2008-07-25</v>
          </cell>
          <cell r="I67" t="str">
            <v>時間がたつと</v>
          </cell>
          <cell r="J67" t="str">
            <v>CD</v>
          </cell>
          <cell r="K67" t="str">
            <v>音飛びする</v>
          </cell>
          <cell r="L67" t="str">
            <v>時々再現</v>
          </cell>
          <cell r="M67" t="str">
            <v>NoError</v>
          </cell>
          <cell r="N67" t="str">
            <v>03:Er07</v>
          </cell>
        </row>
        <row r="68">
          <cell r="A68" t="str">
            <v>48868</v>
          </cell>
          <cell r="B68">
            <v>39658</v>
          </cell>
          <cell r="C68" t="str">
            <v>B33A 66 AH0</v>
          </cell>
          <cell r="D68" t="str">
            <v>BKEP</v>
          </cell>
          <cell r="E68" t="str">
            <v>208814</v>
          </cell>
          <cell r="F68" t="str">
            <v>2006-03-31</v>
          </cell>
          <cell r="G68" t="str">
            <v>2006-03-31</v>
          </cell>
          <cell r="H68" t="str">
            <v>2008-07-20</v>
          </cell>
          <cell r="I68" t="str">
            <v>運転状態に関係なく常に</v>
          </cell>
          <cell r="J68" t="str">
            <v>全てのモード</v>
          </cell>
          <cell r="K68" t="str">
            <v>イルミネーションが点灯しない</v>
          </cell>
          <cell r="L68" t="str">
            <v>常時再現</v>
          </cell>
          <cell r="M68" t="str">
            <v>NoError</v>
          </cell>
          <cell r="N68" t="str">
            <v>21:Er19</v>
          </cell>
        </row>
        <row r="69">
          <cell r="A69" t="str">
            <v>48868</v>
          </cell>
          <cell r="B69">
            <v>39658</v>
          </cell>
          <cell r="C69" t="str">
            <v>C250 79 EGX</v>
          </cell>
          <cell r="D69" t="str">
            <v>DC5W</v>
          </cell>
          <cell r="E69" t="str">
            <v>201354</v>
          </cell>
          <cell r="F69" t="str">
            <v>2005-06-30</v>
          </cell>
          <cell r="G69" t="str">
            <v>2008-07-26</v>
          </cell>
          <cell r="H69" t="str">
            <v>2008-07-26</v>
          </cell>
          <cell r="I69" t="str">
            <v>運転状態に関係なく常に</v>
          </cell>
          <cell r="J69" t="str">
            <v>CD</v>
          </cell>
          <cell r="K69" t="str">
            <v>メディア(CD/TAPE/MD)が挿入できない</v>
          </cell>
          <cell r="L69" t="str">
            <v>常時再現</v>
          </cell>
          <cell r="N69" t="str">
            <v>21:Er19</v>
          </cell>
        </row>
        <row r="70">
          <cell r="A70" t="str">
            <v>48888</v>
          </cell>
          <cell r="B70">
            <v>39662</v>
          </cell>
          <cell r="C70" t="str">
            <v>N135 66 ARX</v>
          </cell>
          <cell r="D70" t="str">
            <v>NCEC</v>
          </cell>
          <cell r="E70" t="str">
            <v>104573</v>
          </cell>
          <cell r="F70" t="str">
            <v>2006-03-02</v>
          </cell>
          <cell r="G70" t="str">
            <v>2008-08-02</v>
          </cell>
          <cell r="H70" t="str">
            <v>2008-08-02</v>
          </cell>
          <cell r="I70" t="str">
            <v>ACC状態で</v>
          </cell>
          <cell r="J70" t="str">
            <v>CD</v>
          </cell>
          <cell r="K70" t="str">
            <v>メディア(CD/TAPE/MD)に傷が付く</v>
          </cell>
          <cell r="L70" t="str">
            <v>時々再現</v>
          </cell>
          <cell r="N70" t="str">
            <v>21:Er19 22:Er01</v>
          </cell>
        </row>
        <row r="71">
          <cell r="A71" t="str">
            <v>48901</v>
          </cell>
          <cell r="B71">
            <v>39664</v>
          </cell>
          <cell r="C71" t="str">
            <v>C237 66 AT0</v>
          </cell>
          <cell r="D71" t="str">
            <v>CREW</v>
          </cell>
          <cell r="E71" t="str">
            <v>143538</v>
          </cell>
          <cell r="F71" t="str">
            <v>2006-06-29</v>
          </cell>
          <cell r="G71" t="str">
            <v>2006-06-29</v>
          </cell>
          <cell r="H71" t="str">
            <v>2008-08-03</v>
          </cell>
          <cell r="I71" t="str">
            <v>運転状態に関係なく常に</v>
          </cell>
          <cell r="J71" t="str">
            <v>CD</v>
          </cell>
          <cell r="K71" t="str">
            <v>再生しない</v>
          </cell>
          <cell r="L71" t="str">
            <v>常時再現</v>
          </cell>
          <cell r="M71" t="str">
            <v>20:Er16/20:Er14</v>
          </cell>
          <cell r="N71" t="str">
            <v>20:Er16/14</v>
          </cell>
        </row>
        <row r="72">
          <cell r="A72" t="str">
            <v>48897</v>
          </cell>
          <cell r="B72">
            <v>39664</v>
          </cell>
          <cell r="C72" t="str">
            <v>N135 66 ARX</v>
          </cell>
          <cell r="D72" t="str">
            <v>NCEC</v>
          </cell>
          <cell r="E72" t="str">
            <v>100902</v>
          </cell>
          <cell r="F72" t="str">
            <v>2005-08-29</v>
          </cell>
          <cell r="G72" t="str">
            <v>2005-08-29</v>
          </cell>
          <cell r="H72" t="str">
            <v>2008-07-01</v>
          </cell>
          <cell r="I72" t="str">
            <v>時々</v>
          </cell>
          <cell r="J72" t="str">
            <v>CD</v>
          </cell>
          <cell r="K72" t="str">
            <v>音がゆがむ、音質が悪い</v>
          </cell>
          <cell r="L72" t="str">
            <v>時々再現</v>
          </cell>
          <cell r="M72" t="str">
            <v>NoError</v>
          </cell>
          <cell r="N72" t="str">
            <v>21:Er19 22:Er01/07</v>
          </cell>
        </row>
        <row r="73">
          <cell r="A73" t="str">
            <v>48918</v>
          </cell>
          <cell r="B73">
            <v>39668</v>
          </cell>
          <cell r="C73" t="str">
            <v>B33A 66 AR0</v>
          </cell>
          <cell r="D73" t="str">
            <v>BK5P</v>
          </cell>
          <cell r="E73" t="str">
            <v>312841</v>
          </cell>
          <cell r="F73" t="str">
            <v>2007-03-26</v>
          </cell>
          <cell r="G73" t="str">
            <v>2007-03-26</v>
          </cell>
          <cell r="H73" t="str">
            <v>2008-08-08</v>
          </cell>
          <cell r="I73" t="str">
            <v>運転状態に関係なく常に</v>
          </cell>
          <cell r="J73" t="str">
            <v>全てのモード</v>
          </cell>
          <cell r="K73" t="str">
            <v>音声が出ない</v>
          </cell>
          <cell r="L73" t="str">
            <v>常時再現</v>
          </cell>
          <cell r="N73" t="str">
            <v>05:Er10</v>
          </cell>
        </row>
        <row r="74">
          <cell r="A74" t="str">
            <v>48963</v>
          </cell>
          <cell r="B74">
            <v>39678</v>
          </cell>
          <cell r="C74" t="str">
            <v>B33A 66 AR0</v>
          </cell>
          <cell r="D74" t="str">
            <v>BK5P</v>
          </cell>
          <cell r="E74" t="str">
            <v>216292</v>
          </cell>
          <cell r="F74" t="str">
            <v>2005-11-30</v>
          </cell>
          <cell r="G74" t="str">
            <v>2005-11-30</v>
          </cell>
          <cell r="H74" t="str">
            <v>2008-08-10</v>
          </cell>
          <cell r="I74" t="str">
            <v>時々</v>
          </cell>
          <cell r="J74" t="str">
            <v>CD</v>
          </cell>
          <cell r="K74" t="str">
            <v>メディア(CD/TAPE/MD)が挿入できない</v>
          </cell>
          <cell r="L74" t="str">
            <v>再現せず故障コードも表示せず</v>
          </cell>
          <cell r="N74" t="str">
            <v>03:Er01 07:Er07/02</v>
          </cell>
        </row>
        <row r="75">
          <cell r="A75" t="str">
            <v>48958</v>
          </cell>
          <cell r="B75">
            <v>39678</v>
          </cell>
          <cell r="C75" t="str">
            <v>B33F 79 EGX</v>
          </cell>
          <cell r="D75" t="str">
            <v>BK3P</v>
          </cell>
          <cell r="E75" t="str">
            <v>301333</v>
          </cell>
          <cell r="F75" t="str">
            <v>2006-10-16</v>
          </cell>
          <cell r="G75" t="str">
            <v>2006-10-16</v>
          </cell>
          <cell r="H75" t="str">
            <v>2008-08-17</v>
          </cell>
          <cell r="I75" t="str">
            <v>時々</v>
          </cell>
          <cell r="J75" t="str">
            <v>CD</v>
          </cell>
          <cell r="K75" t="str">
            <v>音飛びする</v>
          </cell>
          <cell r="L75" t="str">
            <v>時々再現</v>
          </cell>
          <cell r="M75" t="str">
            <v>NoError</v>
          </cell>
          <cell r="N75" t="str">
            <v>22:Er02 21:Er19</v>
          </cell>
        </row>
        <row r="76">
          <cell r="A76" t="str">
            <v>48967</v>
          </cell>
          <cell r="B76">
            <v>39678</v>
          </cell>
          <cell r="C76" t="str">
            <v>D651 66 9R0</v>
          </cell>
          <cell r="D76" t="str">
            <v>DE5FS</v>
          </cell>
          <cell r="E76" t="str">
            <v>102666</v>
          </cell>
          <cell r="F76" t="str">
            <v>2007-09-06</v>
          </cell>
          <cell r="G76" t="str">
            <v>2007-09-06</v>
          </cell>
          <cell r="H76" t="str">
            <v>2008-08-17</v>
          </cell>
          <cell r="I76" t="str">
            <v>運転状態に関係なく常に</v>
          </cell>
          <cell r="J76" t="str">
            <v>CD</v>
          </cell>
          <cell r="K76" t="str">
            <v>メディア(CD/TAPE/MD)が排出できない</v>
          </cell>
          <cell r="L76" t="str">
            <v>時々再現</v>
          </cell>
          <cell r="N76" t="str">
            <v>03:Er01</v>
          </cell>
        </row>
        <row r="77">
          <cell r="A77" t="str">
            <v>48956</v>
          </cell>
          <cell r="B77">
            <v>39678</v>
          </cell>
          <cell r="C77" t="str">
            <v>N135 66 ARX</v>
          </cell>
          <cell r="D77" t="str">
            <v>NCEC</v>
          </cell>
          <cell r="E77" t="str">
            <v>105295</v>
          </cell>
          <cell r="F77" t="str">
            <v>2006-06-06</v>
          </cell>
          <cell r="G77" t="str">
            <v>2006-06-06</v>
          </cell>
          <cell r="H77" t="str">
            <v>2008-08-17</v>
          </cell>
          <cell r="I77" t="str">
            <v>時々</v>
          </cell>
          <cell r="J77" t="str">
            <v>全てのモード</v>
          </cell>
          <cell r="K77" t="str">
            <v>ＦＭのチューニングがずれる</v>
          </cell>
          <cell r="L77" t="str">
            <v>時々再現</v>
          </cell>
          <cell r="M77" t="str">
            <v>NoError</v>
          </cell>
          <cell r="N77" t="str">
            <v>21:Er19</v>
          </cell>
        </row>
        <row r="78">
          <cell r="A78" t="str">
            <v>49059</v>
          </cell>
          <cell r="B78">
            <v>39687</v>
          </cell>
          <cell r="C78" t="str">
            <v>F151 66 AS0</v>
          </cell>
          <cell r="D78" t="str">
            <v>SE3P</v>
          </cell>
          <cell r="E78" t="str">
            <v>138872</v>
          </cell>
          <cell r="F78" t="str">
            <v>2007-01-24</v>
          </cell>
          <cell r="G78" t="str">
            <v>2007-01-24</v>
          </cell>
          <cell r="H78" t="str">
            <v>2008-08-25</v>
          </cell>
          <cell r="I78" t="str">
            <v>走行中に</v>
          </cell>
          <cell r="J78" t="str">
            <v>全てのモード</v>
          </cell>
          <cell r="K78" t="str">
            <v>その他（備考に記入）</v>
          </cell>
          <cell r="L78" t="str">
            <v>再現せず故障コードも表示せず</v>
          </cell>
          <cell r="M78" t="str">
            <v>NoError</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printerSettings" Target="../printerSettings/printerSettings11.bin"/><Relationship Id="rId5" Type="http://schemas.openxmlformats.org/officeDocument/2006/relationships/printerSettings" Target="../printerSettings/printerSettings10.bin"/><Relationship Id="rId4"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4" Type="http://schemas.openxmlformats.org/officeDocument/2006/relationships/printerSettings" Target="../printerSettings/printerSettings16.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7.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0.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1.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5.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27.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L39"/>
  <sheetViews>
    <sheetView view="pageBreakPreview" zoomScale="130" zoomScaleNormal="85" zoomScaleSheetLayoutView="130" workbookViewId="0">
      <selection activeCell="F19" sqref="F19"/>
    </sheetView>
  </sheetViews>
  <sheetFormatPr defaultColWidth="9" defaultRowHeight="12" customHeight="1"/>
  <cols>
    <col min="1" max="1" width="3.7109375" style="43" customWidth="1"/>
    <col min="2" max="2" width="5.7109375" style="43" customWidth="1"/>
    <col min="3" max="8" width="10.7109375" style="43" customWidth="1"/>
    <col min="9" max="11" width="5.7109375" style="43" customWidth="1"/>
    <col min="12" max="12" width="1.7109375" style="43" customWidth="1"/>
    <col min="13" max="16384" width="9" style="43"/>
  </cols>
  <sheetData>
    <row r="1" spans="1:12" s="27" customFormat="1" ht="12" customHeight="1">
      <c r="A1" s="23"/>
      <c r="B1" s="24"/>
      <c r="C1" s="24"/>
      <c r="D1" s="24"/>
      <c r="E1" s="24"/>
      <c r="F1" s="24"/>
      <c r="G1" s="24"/>
      <c r="H1" s="24"/>
      <c r="I1" s="24"/>
      <c r="J1" s="25"/>
      <c r="K1" s="26"/>
      <c r="L1" s="24"/>
    </row>
    <row r="2" spans="1:12" s="27" customFormat="1" ht="12" customHeight="1">
      <c r="A2" s="24"/>
      <c r="B2" s="24"/>
      <c r="C2" s="24"/>
      <c r="D2" s="24"/>
      <c r="E2" s="24"/>
      <c r="F2" s="24"/>
      <c r="G2" s="24"/>
      <c r="H2" s="24"/>
      <c r="I2" s="24"/>
      <c r="J2" s="24"/>
      <c r="K2" s="24"/>
      <c r="L2" s="24"/>
    </row>
    <row r="3" spans="1:12" s="27" customFormat="1" ht="12" customHeight="1">
      <c r="A3" s="24"/>
      <c r="B3" s="24"/>
      <c r="C3" s="24"/>
      <c r="D3" s="24"/>
      <c r="E3" s="24"/>
      <c r="F3" s="24"/>
      <c r="G3" s="24"/>
      <c r="H3" s="24"/>
      <c r="I3" s="24"/>
      <c r="J3" s="24"/>
      <c r="K3" s="24"/>
      <c r="L3" s="24"/>
    </row>
    <row r="4" spans="1:12" s="27" customFormat="1" ht="12" customHeight="1">
      <c r="A4" s="24"/>
      <c r="B4" s="24"/>
      <c r="C4" s="24"/>
      <c r="D4" s="24"/>
      <c r="E4" s="24"/>
      <c r="F4" s="24"/>
      <c r="G4" s="24"/>
      <c r="H4" s="24"/>
      <c r="I4" s="24"/>
      <c r="J4" s="24"/>
      <c r="K4" s="24"/>
      <c r="L4" s="24"/>
    </row>
    <row r="5" spans="1:12" s="27" customFormat="1" ht="12" customHeight="1">
      <c r="A5" s="24"/>
      <c r="B5" s="24"/>
      <c r="C5" s="24"/>
      <c r="D5" s="24"/>
      <c r="E5" s="24"/>
      <c r="F5" s="24"/>
      <c r="G5" s="24"/>
      <c r="H5" s="24"/>
      <c r="I5" s="24"/>
      <c r="J5" s="24"/>
      <c r="K5" s="24"/>
      <c r="L5" s="24"/>
    </row>
    <row r="6" spans="1:12" s="27" customFormat="1" ht="12" customHeight="1">
      <c r="A6" s="24"/>
      <c r="B6" s="24"/>
      <c r="C6" s="24"/>
      <c r="D6" s="24"/>
      <c r="E6" s="24"/>
      <c r="F6" s="24"/>
      <c r="G6" s="24"/>
      <c r="H6" s="24"/>
      <c r="I6" s="24"/>
      <c r="J6" s="24"/>
      <c r="K6" s="24"/>
      <c r="L6" s="24"/>
    </row>
    <row r="7" spans="1:12" s="27" customFormat="1" ht="27" customHeight="1">
      <c r="A7" s="28"/>
      <c r="B7" s="29"/>
      <c r="C7" s="250" t="s">
        <v>110</v>
      </c>
      <c r="D7" s="250"/>
      <c r="E7" s="250"/>
      <c r="F7" s="250"/>
      <c r="G7" s="250"/>
      <c r="H7" s="250"/>
      <c r="I7" s="250"/>
      <c r="J7" s="250"/>
      <c r="K7" s="29"/>
      <c r="L7" s="29"/>
    </row>
    <row r="8" spans="1:12" s="27" customFormat="1" ht="12" customHeight="1">
      <c r="A8" s="24"/>
      <c r="B8" s="30"/>
      <c r="C8" s="30"/>
      <c r="D8" s="30"/>
      <c r="E8" s="30"/>
      <c r="F8" s="30"/>
      <c r="G8" s="30"/>
      <c r="H8" s="30"/>
      <c r="I8" s="30"/>
      <c r="J8" s="30"/>
      <c r="K8" s="30"/>
      <c r="L8" s="30"/>
    </row>
    <row r="9" spans="1:12" s="27" customFormat="1" ht="12" customHeight="1">
      <c r="A9" s="24"/>
      <c r="B9" s="30"/>
      <c r="C9" s="30"/>
      <c r="D9" s="30"/>
      <c r="E9" s="30"/>
      <c r="F9" s="30"/>
      <c r="G9" s="30"/>
      <c r="H9" s="30"/>
      <c r="I9" s="30"/>
      <c r="J9" s="30"/>
      <c r="K9" s="30"/>
      <c r="L9" s="30"/>
    </row>
    <row r="10" spans="1:12" s="27" customFormat="1" ht="12" customHeight="1" thickBot="1">
      <c r="A10" s="24"/>
      <c r="B10" s="24"/>
      <c r="C10" s="185" t="s">
        <v>1937</v>
      </c>
      <c r="D10" s="35"/>
      <c r="E10" s="35"/>
      <c r="F10" s="30"/>
      <c r="G10" s="185" t="s">
        <v>1938</v>
      </c>
      <c r="H10" s="35"/>
      <c r="I10" s="35"/>
      <c r="J10" s="35"/>
      <c r="K10" s="24"/>
      <c r="L10" s="24"/>
    </row>
    <row r="11" spans="1:12" s="27" customFormat="1" ht="15" customHeight="1">
      <c r="A11" s="24"/>
      <c r="B11" s="24"/>
      <c r="C11" s="251"/>
      <c r="D11" s="252"/>
      <c r="E11" s="253"/>
      <c r="F11" s="30"/>
      <c r="G11" s="254" t="s">
        <v>111</v>
      </c>
      <c r="H11" s="255"/>
      <c r="I11" s="255"/>
      <c r="J11" s="256"/>
      <c r="K11" s="24"/>
      <c r="L11" s="24"/>
    </row>
    <row r="12" spans="1:12" s="27" customFormat="1" ht="15" customHeight="1" thickBot="1">
      <c r="A12" s="24"/>
      <c r="B12" s="24"/>
      <c r="C12" s="186" t="s">
        <v>98</v>
      </c>
      <c r="D12" s="187" t="s">
        <v>99</v>
      </c>
      <c r="E12" s="188" t="s">
        <v>100</v>
      </c>
      <c r="F12" s="30"/>
      <c r="G12" s="189" t="s">
        <v>98</v>
      </c>
      <c r="H12" s="190" t="s">
        <v>99</v>
      </c>
      <c r="I12" s="257" t="s">
        <v>100</v>
      </c>
      <c r="J12" s="258"/>
      <c r="K12" s="24"/>
      <c r="L12" s="24"/>
    </row>
    <row r="13" spans="1:12" s="27" customFormat="1" ht="63" customHeight="1" thickTop="1" thickBot="1">
      <c r="A13" s="24"/>
      <c r="B13" s="24"/>
      <c r="C13" s="32"/>
      <c r="D13" s="33"/>
      <c r="E13" s="34"/>
      <c r="F13" s="30"/>
      <c r="G13" s="32"/>
      <c r="H13" s="33"/>
      <c r="I13" s="259"/>
      <c r="J13" s="260"/>
      <c r="K13" s="24"/>
      <c r="L13" s="24"/>
    </row>
    <row r="14" spans="1:12" s="27" customFormat="1" ht="12" customHeight="1">
      <c r="A14" s="24"/>
      <c r="B14" s="24"/>
      <c r="C14" s="24"/>
      <c r="D14" s="31"/>
      <c r="E14" s="31"/>
      <c r="F14" s="30"/>
      <c r="G14" s="31"/>
      <c r="H14" s="31"/>
      <c r="I14" s="24"/>
      <c r="J14" s="24"/>
      <c r="K14" s="24"/>
      <c r="L14" s="24"/>
    </row>
    <row r="15" spans="1:12" s="27" customFormat="1" ht="12" customHeight="1">
      <c r="A15" s="24"/>
      <c r="B15" s="24"/>
      <c r="C15" s="24"/>
      <c r="D15" s="31"/>
      <c r="E15" s="31"/>
      <c r="F15" s="31"/>
      <c r="G15" s="31"/>
      <c r="H15" s="31"/>
      <c r="I15" s="24"/>
      <c r="J15" s="24"/>
      <c r="K15" s="24"/>
      <c r="L15" s="24"/>
    </row>
    <row r="16" spans="1:12" s="27" customFormat="1" ht="12" customHeight="1">
      <c r="A16" s="24"/>
      <c r="B16" s="24"/>
      <c r="C16" s="24"/>
      <c r="D16" s="24"/>
      <c r="E16" s="24"/>
      <c r="F16" s="24"/>
      <c r="G16" s="24"/>
      <c r="H16" s="24"/>
      <c r="I16" s="24"/>
      <c r="J16" s="24"/>
      <c r="K16" s="24"/>
      <c r="L16" s="24"/>
    </row>
    <row r="17" spans="1:12" s="27" customFormat="1" ht="12" customHeight="1" thickBot="1">
      <c r="A17" s="24"/>
      <c r="B17" s="24"/>
      <c r="C17" s="24"/>
      <c r="D17" s="24"/>
      <c r="E17" s="24"/>
      <c r="F17" s="24"/>
      <c r="G17" s="31"/>
      <c r="H17" s="24"/>
      <c r="I17" s="24"/>
      <c r="J17" s="24"/>
      <c r="K17" s="24"/>
      <c r="L17" s="24"/>
    </row>
    <row r="18" spans="1:12" s="27" customFormat="1" ht="18" customHeight="1" thickBot="1">
      <c r="A18" s="24"/>
      <c r="B18" s="261" t="s">
        <v>101</v>
      </c>
      <c r="C18" s="262"/>
      <c r="D18" s="263"/>
      <c r="E18" s="31"/>
      <c r="F18" s="24"/>
      <c r="G18" s="183" t="s">
        <v>102</v>
      </c>
      <c r="H18" s="264" t="s">
        <v>1939</v>
      </c>
      <c r="I18" s="264"/>
      <c r="J18" s="264"/>
      <c r="K18" s="265"/>
      <c r="L18" s="31"/>
    </row>
    <row r="19" spans="1:12" s="27" customFormat="1" ht="12" customHeight="1" thickBot="1">
      <c r="A19" s="24"/>
      <c r="B19" s="31"/>
      <c r="C19" s="31"/>
      <c r="D19" s="31"/>
      <c r="E19" s="31"/>
      <c r="F19" s="24"/>
      <c r="G19" s="31"/>
      <c r="H19" s="31"/>
      <c r="I19" s="31"/>
      <c r="J19" s="31"/>
      <c r="K19" s="31"/>
      <c r="L19" s="31"/>
    </row>
    <row r="20" spans="1:12" s="27" customFormat="1" ht="18" customHeight="1" thickBot="1">
      <c r="A20" s="24"/>
      <c r="B20" s="261" t="s">
        <v>103</v>
      </c>
      <c r="C20" s="262"/>
      <c r="D20" s="263"/>
      <c r="E20" s="31"/>
      <c r="F20" s="24"/>
      <c r="G20" s="24"/>
      <c r="H20" s="24"/>
      <c r="I20" s="24"/>
      <c r="J20" s="24"/>
      <c r="K20" s="24"/>
      <c r="L20" s="24"/>
    </row>
    <row r="21" spans="1:12" s="27" customFormat="1" ht="12" customHeight="1">
      <c r="A21" s="24"/>
      <c r="B21" s="24"/>
      <c r="C21" s="24"/>
      <c r="D21" s="24"/>
      <c r="E21" s="24"/>
      <c r="F21" s="24"/>
      <c r="G21" s="24"/>
      <c r="H21" s="24"/>
      <c r="I21" s="24"/>
      <c r="J21" s="24"/>
      <c r="K21" s="24"/>
      <c r="L21" s="24"/>
    </row>
    <row r="22" spans="1:12" s="27" customFormat="1" ht="12" customHeight="1" thickBot="1">
      <c r="A22" s="24"/>
      <c r="B22" s="24" t="s">
        <v>1937</v>
      </c>
      <c r="C22" s="24"/>
      <c r="D22" s="24"/>
      <c r="E22" s="24"/>
      <c r="F22" s="24"/>
      <c r="G22" s="24"/>
      <c r="H22" s="24"/>
      <c r="I22" s="35"/>
      <c r="J22" s="35"/>
      <c r="K22" s="35"/>
      <c r="L22" s="31"/>
    </row>
    <row r="23" spans="1:12" s="27" customFormat="1" ht="15" customHeight="1">
      <c r="A23" s="24"/>
      <c r="B23" s="36"/>
      <c r="C23" s="37"/>
      <c r="D23" s="245"/>
      <c r="E23" s="245"/>
      <c r="F23" s="245"/>
      <c r="G23" s="245"/>
      <c r="H23" s="245"/>
      <c r="I23" s="38"/>
      <c r="J23" s="38"/>
      <c r="K23" s="39"/>
      <c r="L23" s="31"/>
    </row>
    <row r="24" spans="1:12" s="27" customFormat="1" ht="15" customHeight="1">
      <c r="A24" s="31"/>
      <c r="B24" s="40"/>
      <c r="C24" s="191"/>
      <c r="D24" s="246"/>
      <c r="E24" s="246"/>
      <c r="F24" s="246"/>
      <c r="G24" s="246"/>
      <c r="H24" s="246"/>
      <c r="I24" s="191"/>
      <c r="J24" s="191"/>
      <c r="K24" s="41"/>
      <c r="L24" s="31"/>
    </row>
    <row r="25" spans="1:12" s="27" customFormat="1" ht="15" customHeight="1">
      <c r="A25" s="31"/>
      <c r="B25" s="40"/>
      <c r="C25" s="191"/>
      <c r="D25" s="247"/>
      <c r="E25" s="248"/>
      <c r="F25" s="248"/>
      <c r="G25" s="248"/>
      <c r="H25" s="249"/>
      <c r="I25" s="192"/>
      <c r="J25" s="192"/>
      <c r="K25" s="44"/>
      <c r="L25" s="42"/>
    </row>
    <row r="26" spans="1:12" s="27" customFormat="1" ht="15" customHeight="1">
      <c r="A26" s="31"/>
      <c r="B26" s="45"/>
      <c r="C26" s="193"/>
      <c r="D26" s="233"/>
      <c r="E26" s="234"/>
      <c r="F26" s="234"/>
      <c r="G26" s="234"/>
      <c r="H26" s="235"/>
      <c r="I26" s="194"/>
      <c r="J26" s="194"/>
      <c r="K26" s="46"/>
      <c r="L26" s="42"/>
    </row>
    <row r="27" spans="1:12" s="27" customFormat="1" ht="15" customHeight="1">
      <c r="A27" s="31"/>
      <c r="B27" s="45"/>
      <c r="C27" s="193"/>
      <c r="D27" s="233"/>
      <c r="E27" s="234"/>
      <c r="F27" s="234"/>
      <c r="G27" s="234"/>
      <c r="H27" s="235"/>
      <c r="I27" s="194"/>
      <c r="J27" s="194"/>
      <c r="K27" s="47"/>
      <c r="L27" s="42"/>
    </row>
    <row r="28" spans="1:12" s="27" customFormat="1" ht="12" customHeight="1" thickBot="1">
      <c r="A28" s="42"/>
      <c r="B28" s="48"/>
      <c r="C28" s="49"/>
      <c r="D28" s="236"/>
      <c r="E28" s="237"/>
      <c r="F28" s="237"/>
      <c r="G28" s="237"/>
      <c r="H28" s="238"/>
      <c r="I28" s="194"/>
      <c r="J28" s="194"/>
      <c r="K28" s="195"/>
      <c r="L28" s="42"/>
    </row>
    <row r="29" spans="1:12" s="27" customFormat="1" ht="12" customHeight="1" thickTop="1" thickBot="1">
      <c r="A29" s="42"/>
      <c r="B29" s="196" t="s">
        <v>106</v>
      </c>
      <c r="C29" s="197" t="s">
        <v>107</v>
      </c>
      <c r="D29" s="242" t="s">
        <v>108</v>
      </c>
      <c r="E29" s="243"/>
      <c r="F29" s="243"/>
      <c r="G29" s="243"/>
      <c r="H29" s="244"/>
      <c r="I29" s="197" t="s">
        <v>98</v>
      </c>
      <c r="J29" s="197" t="s">
        <v>99</v>
      </c>
      <c r="K29" s="198" t="s">
        <v>109</v>
      </c>
      <c r="L29" s="42"/>
    </row>
    <row r="30" spans="1:12" s="27" customFormat="1" ht="15" customHeight="1">
      <c r="A30" s="24"/>
      <c r="B30" s="24"/>
      <c r="C30" s="24"/>
      <c r="D30" s="24"/>
      <c r="E30" s="24"/>
      <c r="F30" s="24"/>
      <c r="G30" s="24"/>
      <c r="H30" s="24"/>
      <c r="I30" s="24"/>
      <c r="J30" s="24"/>
      <c r="K30" s="24"/>
      <c r="L30" s="24"/>
    </row>
    <row r="31" spans="1:12" s="27" customFormat="1" ht="15" customHeight="1" thickBot="1">
      <c r="A31" s="24"/>
      <c r="B31" s="199" t="s">
        <v>1938</v>
      </c>
      <c r="C31" s="24"/>
      <c r="D31" s="24"/>
      <c r="E31" s="24"/>
      <c r="F31" s="24"/>
      <c r="G31" s="24"/>
      <c r="H31" s="24"/>
      <c r="I31" s="24"/>
      <c r="J31" s="24"/>
      <c r="K31" s="24"/>
      <c r="L31" s="24"/>
    </row>
    <row r="32" spans="1:12" s="27" customFormat="1" ht="15" customHeight="1">
      <c r="A32" s="24"/>
      <c r="B32" s="36"/>
      <c r="C32" s="37"/>
      <c r="D32" s="245"/>
      <c r="E32" s="245"/>
      <c r="F32" s="245"/>
      <c r="G32" s="245"/>
      <c r="H32" s="245"/>
      <c r="I32" s="38"/>
      <c r="J32" s="38"/>
      <c r="K32" s="39"/>
      <c r="L32" s="31"/>
    </row>
    <row r="33" spans="1:12" ht="15" customHeight="1">
      <c r="A33" s="31"/>
      <c r="B33" s="40"/>
      <c r="C33" s="191"/>
      <c r="D33" s="246"/>
      <c r="E33" s="246"/>
      <c r="F33" s="246"/>
      <c r="G33" s="246"/>
      <c r="H33" s="246"/>
      <c r="I33" s="191"/>
      <c r="J33" s="191"/>
      <c r="K33" s="41"/>
      <c r="L33" s="31"/>
    </row>
    <row r="34" spans="1:12" ht="15" customHeight="1">
      <c r="A34" s="31"/>
      <c r="B34" s="40"/>
      <c r="C34" s="191"/>
      <c r="D34" s="247"/>
      <c r="E34" s="248"/>
      <c r="F34" s="248"/>
      <c r="G34" s="248"/>
      <c r="H34" s="249"/>
      <c r="I34" s="192"/>
      <c r="J34" s="192"/>
      <c r="K34" s="44"/>
      <c r="L34" s="42"/>
    </row>
    <row r="35" spans="1:12" ht="15" customHeight="1">
      <c r="A35" s="31"/>
      <c r="B35" s="45"/>
      <c r="C35" s="193"/>
      <c r="D35" s="233"/>
      <c r="E35" s="234"/>
      <c r="F35" s="234"/>
      <c r="G35" s="234"/>
      <c r="H35" s="235"/>
      <c r="I35" s="194"/>
      <c r="J35" s="194"/>
      <c r="K35" s="46"/>
      <c r="L35" s="42"/>
    </row>
    <row r="36" spans="1:12" ht="89.25" customHeight="1">
      <c r="A36" s="31"/>
      <c r="B36" s="45" t="s">
        <v>1940</v>
      </c>
      <c r="C36" s="193" t="s">
        <v>1941</v>
      </c>
      <c r="D36" s="233" t="s">
        <v>1942</v>
      </c>
      <c r="E36" s="234"/>
      <c r="F36" s="234"/>
      <c r="G36" s="234"/>
      <c r="H36" s="235"/>
      <c r="I36" s="194" t="s">
        <v>1943</v>
      </c>
      <c r="J36" s="194" t="s">
        <v>1944</v>
      </c>
      <c r="K36" s="200" t="s">
        <v>1945</v>
      </c>
      <c r="L36" s="42"/>
    </row>
    <row r="37" spans="1:12" ht="23.25" customHeight="1" thickBot="1">
      <c r="A37" s="42"/>
      <c r="B37" s="48" t="s">
        <v>104</v>
      </c>
      <c r="C37" s="49" t="s">
        <v>1946</v>
      </c>
      <c r="D37" s="236" t="s">
        <v>105</v>
      </c>
      <c r="E37" s="237"/>
      <c r="F37" s="237"/>
      <c r="G37" s="237"/>
      <c r="H37" s="238"/>
      <c r="I37" s="194" t="s">
        <v>1943</v>
      </c>
      <c r="J37" s="194" t="s">
        <v>1947</v>
      </c>
      <c r="K37" s="195" t="s">
        <v>1945</v>
      </c>
      <c r="L37" s="42"/>
    </row>
    <row r="38" spans="1:12" ht="15" customHeight="1" thickTop="1" thickBot="1">
      <c r="A38" s="42"/>
      <c r="B38" s="201" t="s">
        <v>106</v>
      </c>
      <c r="C38" s="202" t="s">
        <v>107</v>
      </c>
      <c r="D38" s="239" t="s">
        <v>108</v>
      </c>
      <c r="E38" s="240"/>
      <c r="F38" s="240"/>
      <c r="G38" s="240"/>
      <c r="H38" s="241"/>
      <c r="I38" s="202" t="s">
        <v>98</v>
      </c>
      <c r="J38" s="202" t="s">
        <v>99</v>
      </c>
      <c r="K38" s="203" t="s">
        <v>109</v>
      </c>
      <c r="L38" s="42"/>
    </row>
    <row r="39" spans="1:12" ht="15" customHeight="1">
      <c r="A39" s="42"/>
      <c r="B39" s="42"/>
      <c r="C39" s="42"/>
      <c r="D39" s="42"/>
      <c r="E39" s="42"/>
      <c r="F39" s="42"/>
      <c r="G39" s="42"/>
      <c r="H39" s="42"/>
      <c r="I39" s="42"/>
      <c r="J39" s="50"/>
      <c r="K39" s="51"/>
      <c r="L39" s="51"/>
    </row>
  </sheetData>
  <mergeCells count="22">
    <mergeCell ref="D27:H27"/>
    <mergeCell ref="C7:J7"/>
    <mergeCell ref="C11:E11"/>
    <mergeCell ref="G11:J11"/>
    <mergeCell ref="I12:J12"/>
    <mergeCell ref="I13:J13"/>
    <mergeCell ref="B18:D18"/>
    <mergeCell ref="H18:K18"/>
    <mergeCell ref="B20:D20"/>
    <mergeCell ref="D23:H23"/>
    <mergeCell ref="D24:H24"/>
    <mergeCell ref="D25:H25"/>
    <mergeCell ref="D26:H26"/>
    <mergeCell ref="D36:H36"/>
    <mergeCell ref="D37:H37"/>
    <mergeCell ref="D38:H38"/>
    <mergeCell ref="D28:H28"/>
    <mergeCell ref="D29:H29"/>
    <mergeCell ref="D32:H32"/>
    <mergeCell ref="D33:H33"/>
    <mergeCell ref="D34:H34"/>
    <mergeCell ref="D35:H35"/>
  </mergeCells>
  <phoneticPr fontId="1"/>
  <pageMargins left="0.39370078740157483" right="0.39370078740157483" top="0.59055118110236227" bottom="0.39370078740157483" header="0.31496062992125984" footer="0.51181102362204722"/>
  <pageSetup paperSize="9" orientation="portrait" r:id="rId1"/>
  <headerFooter alignWithMargins="0">
    <oddHeader>&amp;C&amp;G</oddHeader>
    <oddFooter>&amp;RSHT1/7</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20"/>
  <sheetViews>
    <sheetView view="pageBreakPreview" zoomScaleNormal="100" zoomScaleSheetLayoutView="100" workbookViewId="0"/>
  </sheetViews>
  <sheetFormatPr defaultColWidth="9" defaultRowHeight="15.75"/>
  <cols>
    <col min="1" max="1" width="5.28515625" style="5" customWidth="1"/>
    <col min="2" max="2" width="5.7109375" style="5" customWidth="1"/>
    <col min="3" max="3" width="61.7109375" style="5" customWidth="1"/>
    <col min="4" max="4" width="6.42578125" style="5" customWidth="1"/>
    <col min="5" max="66" width="9" style="5"/>
    <col min="67" max="67" width="7.42578125" style="5" customWidth="1"/>
    <col min="68" max="16384" width="9" style="5"/>
  </cols>
  <sheetData>
    <row r="1" spans="1:3">
      <c r="A1" s="13" t="s">
        <v>43</v>
      </c>
    </row>
    <row r="3" spans="1:3">
      <c r="B3" s="14" t="s">
        <v>23</v>
      </c>
      <c r="C3" s="14" t="s">
        <v>24</v>
      </c>
    </row>
    <row r="4" spans="1:3">
      <c r="B4" s="18">
        <v>1</v>
      </c>
      <c r="C4" s="17" t="s">
        <v>25</v>
      </c>
    </row>
    <row r="5" spans="1:3">
      <c r="B5" s="18">
        <v>2</v>
      </c>
      <c r="C5" s="17" t="s">
        <v>26</v>
      </c>
    </row>
    <row r="6" spans="1:3">
      <c r="B6" s="18">
        <v>3</v>
      </c>
      <c r="C6" s="17" t="s">
        <v>115</v>
      </c>
    </row>
    <row r="7" spans="1:3">
      <c r="B7" s="18">
        <v>4</v>
      </c>
      <c r="C7" s="17" t="s">
        <v>74</v>
      </c>
    </row>
    <row r="8" spans="1:3">
      <c r="B8" s="18">
        <v>5</v>
      </c>
      <c r="C8" s="17" t="s">
        <v>73</v>
      </c>
    </row>
    <row r="9" spans="1:3">
      <c r="B9" s="18">
        <v>6</v>
      </c>
      <c r="C9" s="17" t="s">
        <v>27</v>
      </c>
    </row>
    <row r="10" spans="1:3">
      <c r="B10" s="18">
        <v>7</v>
      </c>
      <c r="C10" s="17" t="s">
        <v>811</v>
      </c>
    </row>
    <row r="11" spans="1:3">
      <c r="B11" s="18">
        <v>8</v>
      </c>
      <c r="C11" s="17" t="s">
        <v>812</v>
      </c>
    </row>
    <row r="12" spans="1:3">
      <c r="B12" s="18">
        <v>9</v>
      </c>
      <c r="C12" s="17" t="s">
        <v>813</v>
      </c>
    </row>
    <row r="13" spans="1:3">
      <c r="B13" s="18">
        <v>10</v>
      </c>
      <c r="C13" s="19" t="s">
        <v>814</v>
      </c>
    </row>
    <row r="14" spans="1:3">
      <c r="B14" s="18">
        <v>11</v>
      </c>
      <c r="C14" s="19" t="s">
        <v>1745</v>
      </c>
    </row>
    <row r="15" spans="1:3">
      <c r="B15" s="18">
        <v>12</v>
      </c>
      <c r="C15" s="19" t="s">
        <v>1746</v>
      </c>
    </row>
    <row r="16" spans="1:3">
      <c r="B16" s="18">
        <v>13</v>
      </c>
      <c r="C16" s="19" t="s">
        <v>1747</v>
      </c>
    </row>
    <row r="17" spans="2:3">
      <c r="B17" s="18">
        <v>14</v>
      </c>
      <c r="C17" s="19" t="s">
        <v>1121</v>
      </c>
    </row>
    <row r="18" spans="2:3">
      <c r="B18" s="18">
        <v>15</v>
      </c>
      <c r="C18" s="19" t="s">
        <v>116</v>
      </c>
    </row>
    <row r="19" spans="2:3">
      <c r="B19" s="18">
        <v>16</v>
      </c>
      <c r="C19" s="19" t="s">
        <v>1509</v>
      </c>
    </row>
    <row r="20" spans="2:3">
      <c r="B20" s="18">
        <v>17</v>
      </c>
      <c r="C20" s="19" t="s">
        <v>1507</v>
      </c>
    </row>
  </sheetData>
  <customSheetViews>
    <customSheetView guid="{0BC2760D-417A-4722-8FA3-6DD8AFBDE1F3}" showPageBreaks="1" printArea="1" view="pageBreakPreview">
      <pageMargins left="0.7" right="0.7" top="0.75" bottom="0.75" header="0.3" footer="0.3"/>
      <pageSetup paperSize="9" orientation="portrait" r:id="rId1"/>
      <headerFooter alignWithMargins="0">
        <oddHeader xml:space="preserve">&amp;Lメッセージ認証機能評価 単体性能評価仕様／成績書
&amp;A&amp;R【CONFIDENTIAL】
T0100000015688
</oddHeader>
        <oddFooter>&amp;C&amp;P / &amp;N</oddFooter>
      </headerFooter>
    </customSheetView>
    <customSheetView guid="{B4E9ECD0-5369-4B75-92AB-1C8F9D921B2C}" showPageBreaks="1" printArea="1" view="pageBreakPreview">
      <pageMargins left="0.7" right="0.7" top="0.75" bottom="0.75" header="0.3" footer="0.3"/>
      <pageSetup paperSize="9" orientation="portrait" r:id="rId2"/>
      <headerFooter alignWithMargins="0">
        <oddHeader xml:space="preserve">&amp;Lメッセージ認証機能評価 単体性能評価仕様／成績書
&amp;A&amp;R【CONFIDENTIAL】
T0100000015688
</oddHeader>
        <oddFooter>&amp;C&amp;P / &amp;N</oddFooter>
      </headerFooter>
    </customSheetView>
    <customSheetView guid="{1BFD6F0C-CA6A-466C-9A3D-C4A42BC94B83}" showPageBreaks="1" printArea="1" view="pageBreakPreview">
      <pageMargins left="0.7" right="0.7" top="0.75" bottom="0.75" header="0.3" footer="0.3"/>
      <pageSetup paperSize="9" orientation="portrait" r:id="rId3"/>
      <headerFooter alignWithMargins="0">
        <oddHeader xml:space="preserve">&amp;Lメッセージ認証機能評価 単体性能評価仕様／成績書
&amp;A&amp;R【CONFIDENTIAL】
T0100000015688
</oddHeader>
        <oddFooter>&amp;C&amp;P / &amp;N</oddFooter>
      </headerFooter>
    </customSheetView>
  </customSheetViews>
  <phoneticPr fontId="1"/>
  <hyperlinks>
    <hyperlink ref="C4" location="はじめに!A1" display="はじめに" xr:uid="{00000000-0004-0000-0100-000000000000}"/>
    <hyperlink ref="C5" location="評価環境!A1" display="評価環境" xr:uid="{00000000-0004-0000-0100-000001000000}"/>
    <hyperlink ref="C6" location="設計値!A1" display="設計値" xr:uid="{00000000-0004-0000-0100-000002000000}"/>
    <hyperlink ref="C7" location="仕様書記載ルール!A1" display="仕様書記載ルール" xr:uid="{00000000-0004-0000-0100-000003000000}"/>
    <hyperlink ref="C10:C13" location="Test_J1!A1" display="Test_J1" xr:uid="{00000000-0004-0000-0100-000004000000}"/>
    <hyperlink ref="C10" location="'詳細手順書(M1～M8)'!A1" display="詳細手順書(M1～M8)" xr:uid="{00000000-0004-0000-0100-000005000000}"/>
    <hyperlink ref="C11" location="'詳細手順書(M9～M17)'!A1" display="詳細手順書(M9～M17)" xr:uid="{00000000-0004-0000-0100-000006000000}"/>
    <hyperlink ref="C12" location="'詳細手順書(M18～M27)'!A1" display="詳細手順書(M18～M27)" xr:uid="{00000000-0004-0000-0100-000007000000}"/>
    <hyperlink ref="C13" location="'詳細手順書(M28～M37)'!A1" display="詳細手順書(M28～M37)" xr:uid="{00000000-0004-0000-0100-000008000000}"/>
    <hyperlink ref="C9" location="'機能評価項目(全件) '!A1" display="単体機能評価項目(全件)" xr:uid="{00000000-0004-0000-0100-000009000000}"/>
    <hyperlink ref="C8" location="'機能評価項目(集計)'!A1" display="単体機能評価項目(集計)" xr:uid="{00000000-0004-0000-0100-00000A000000}"/>
    <hyperlink ref="C14" location="'詳細手順書(M38～M45)'!A1" display="詳細手順書(M38～M45)" xr:uid="{00000000-0004-0000-0100-00000B000000}"/>
    <hyperlink ref="C15" location="'詳細手順書(M46～M54)'!A1" display="詳細手順書(M46～M54)" xr:uid="{00000000-0004-0000-0100-00000C000000}"/>
    <hyperlink ref="C17" location="出力設定!A1" display="出力設定" xr:uid="{00000000-0004-0000-0100-00000D000000}"/>
    <hyperlink ref="C18" location="コマンド一覧!A1" display="コマンド一覧" xr:uid="{00000000-0004-0000-0100-00000E000000}"/>
    <hyperlink ref="C19" location="canテンプレート!A1" display="canテンプレート" xr:uid="{00000000-0004-0000-0100-00000F000000}"/>
    <hyperlink ref="C20" location="xmlテンプレート!A1" display="xmlテンプレート" xr:uid="{00000000-0004-0000-0100-000010000000}"/>
    <hyperlink ref="C16" location="'詳細手順書(M55)'!A1" display="詳細手順書(M55)" xr:uid="{00000000-0004-0000-0100-000011000000}"/>
  </hyperlinks>
  <pageMargins left="0.70866141732283472" right="0.70866141732283472" top="0.74803149606299213" bottom="0.74803149606299213" header="0.31496062992125984" footer="0.31496062992125984"/>
  <pageSetup paperSize="9" fitToHeight="0" orientation="portrait" r:id="rId4"/>
  <headerFooter alignWithMargins="0">
    <oddHeader xml:space="preserve">&amp;Lメッセージ認証機能評価 単体機能評価仕様書
&amp;A&amp;R【CONFIDENTIAL】
T0100000015687
</oddHeader>
    <oddFooter>&amp;C&amp;P /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K53"/>
  <sheetViews>
    <sheetView view="pageBreakPreview" zoomScaleNormal="100" zoomScaleSheetLayoutView="100" workbookViewId="0">
      <selection activeCell="E20" sqref="E20"/>
    </sheetView>
  </sheetViews>
  <sheetFormatPr defaultColWidth="9" defaultRowHeight="15"/>
  <cols>
    <col min="1" max="1" width="4.28515625" style="1" customWidth="1"/>
    <col min="2" max="5" width="9" style="2"/>
    <col min="6" max="6" width="9" style="2" customWidth="1"/>
    <col min="7" max="7" width="9" style="2"/>
    <col min="8" max="8" width="10.85546875" style="2" customWidth="1"/>
    <col min="9" max="11" width="9" style="2"/>
    <col min="12" max="65" width="9" style="1"/>
    <col min="66" max="66" width="7.42578125" style="1" customWidth="1"/>
    <col min="67" max="16384" width="9" style="1"/>
  </cols>
  <sheetData>
    <row r="1" spans="1:11" ht="15.75">
      <c r="A1" s="20" t="s">
        <v>83</v>
      </c>
    </row>
    <row r="2" spans="1:11" ht="15.75">
      <c r="A2" s="6" t="s">
        <v>8</v>
      </c>
      <c r="B2" s="7"/>
      <c r="C2" s="7"/>
      <c r="D2" s="7"/>
      <c r="E2" s="7"/>
      <c r="F2" s="7"/>
      <c r="G2" s="7"/>
      <c r="H2" s="7"/>
      <c r="I2" s="7"/>
      <c r="J2" s="7"/>
      <c r="K2" s="7"/>
    </row>
    <row r="3" spans="1:11" ht="15.75">
      <c r="A3" s="8"/>
      <c r="B3" s="7" t="s">
        <v>112</v>
      </c>
      <c r="C3" s="7"/>
      <c r="D3" s="7"/>
      <c r="E3" s="7"/>
      <c r="F3" s="7"/>
      <c r="G3" s="7"/>
      <c r="H3" s="7"/>
      <c r="I3" s="7"/>
      <c r="J3" s="7"/>
      <c r="K3" s="7"/>
    </row>
    <row r="4" spans="1:11" ht="15.75">
      <c r="A4" s="8"/>
      <c r="B4" s="7"/>
      <c r="C4" s="7"/>
      <c r="D4" s="7"/>
      <c r="E4" s="7"/>
      <c r="F4" s="7"/>
      <c r="G4" s="7"/>
      <c r="H4" s="7"/>
      <c r="I4" s="7"/>
      <c r="J4" s="7"/>
      <c r="K4" s="7"/>
    </row>
    <row r="5" spans="1:11" s="8" customFormat="1" ht="15.75">
      <c r="B5" s="7"/>
      <c r="C5" s="7"/>
      <c r="D5" s="7"/>
      <c r="E5" s="7"/>
      <c r="F5" s="7"/>
      <c r="G5" s="7"/>
      <c r="H5" s="7"/>
      <c r="I5" s="7"/>
      <c r="J5" s="7"/>
      <c r="K5" s="7"/>
    </row>
    <row r="6" spans="1:11" s="8" customFormat="1" ht="15.75">
      <c r="A6" s="6" t="s">
        <v>1127</v>
      </c>
      <c r="B6" s="7"/>
      <c r="C6" s="7"/>
      <c r="D6" s="7"/>
      <c r="E6" s="7"/>
      <c r="F6" s="7"/>
      <c r="G6" s="7"/>
      <c r="H6" s="7"/>
      <c r="I6" s="7"/>
      <c r="J6" s="7"/>
      <c r="K6" s="7"/>
    </row>
    <row r="7" spans="1:11" s="8" customFormat="1" ht="15.75">
      <c r="B7" s="7"/>
      <c r="C7" s="7"/>
      <c r="D7" s="7"/>
      <c r="E7" s="7"/>
      <c r="F7" s="7"/>
      <c r="G7" s="7"/>
      <c r="H7" s="7"/>
      <c r="I7" s="7"/>
      <c r="J7" s="7"/>
      <c r="K7" s="7"/>
    </row>
    <row r="8" spans="1:11" s="8" customFormat="1" ht="15.75">
      <c r="B8" s="7" t="s">
        <v>1128</v>
      </c>
      <c r="C8" s="7"/>
      <c r="D8" s="7"/>
      <c r="E8" s="7"/>
      <c r="F8" s="7"/>
      <c r="G8" s="7"/>
      <c r="H8" s="7" t="s">
        <v>1129</v>
      </c>
      <c r="I8" s="7"/>
      <c r="J8" s="7"/>
      <c r="K8" s="7"/>
    </row>
    <row r="9" spans="1:11" s="8" customFormat="1" ht="15.75">
      <c r="B9" s="7" t="s">
        <v>1130</v>
      </c>
      <c r="C9" s="7"/>
      <c r="D9" s="7"/>
      <c r="E9" s="7"/>
      <c r="F9" s="7"/>
      <c r="G9" s="7"/>
      <c r="H9" s="7" t="s">
        <v>1131</v>
      </c>
      <c r="I9" s="7"/>
      <c r="J9" s="7"/>
      <c r="K9" s="7"/>
    </row>
    <row r="10" spans="1:11" s="8" customFormat="1" ht="15.75">
      <c r="B10" s="7" t="s">
        <v>1132</v>
      </c>
      <c r="C10" s="7"/>
      <c r="D10" s="7"/>
      <c r="E10" s="7"/>
      <c r="F10" s="7"/>
      <c r="G10" s="7"/>
      <c r="H10" s="7" t="s">
        <v>1948</v>
      </c>
      <c r="I10" s="7"/>
      <c r="J10" s="7"/>
      <c r="K10" s="7"/>
    </row>
    <row r="11" spans="1:11" s="8" customFormat="1" ht="15.75">
      <c r="B11" s="7" t="s">
        <v>1133</v>
      </c>
      <c r="C11" s="7"/>
      <c r="D11" s="7"/>
      <c r="E11" s="7"/>
      <c r="F11" s="7"/>
      <c r="G11" s="7"/>
      <c r="H11" s="7" t="s">
        <v>1748</v>
      </c>
      <c r="I11" s="7"/>
      <c r="J11" s="7"/>
      <c r="K11" s="7"/>
    </row>
    <row r="12" spans="1:11" s="8" customFormat="1" ht="15.75">
      <c r="B12" s="7" t="s">
        <v>1134</v>
      </c>
      <c r="C12" s="7"/>
      <c r="D12" s="7"/>
      <c r="E12" s="7"/>
      <c r="F12" s="7"/>
      <c r="G12" s="7"/>
      <c r="H12" s="7" t="s">
        <v>1135</v>
      </c>
      <c r="I12" s="7"/>
      <c r="J12" s="7"/>
      <c r="K12" s="7"/>
    </row>
    <row r="13" spans="1:11" s="8" customFormat="1" ht="15.75">
      <c r="B13" s="7" t="s">
        <v>1136</v>
      </c>
      <c r="C13" s="7"/>
      <c r="D13" s="7"/>
      <c r="E13" s="7"/>
      <c r="F13" s="7"/>
      <c r="G13" s="7"/>
      <c r="H13" s="7" t="s">
        <v>1137</v>
      </c>
      <c r="I13" s="7"/>
      <c r="J13" s="7"/>
      <c r="K13" s="7"/>
    </row>
    <row r="14" spans="1:11" s="8" customFormat="1" ht="15.75">
      <c r="B14" s="7"/>
      <c r="C14" s="7"/>
      <c r="D14" s="7"/>
      <c r="E14" s="7"/>
      <c r="F14" s="7"/>
      <c r="G14" s="7"/>
      <c r="H14" s="7"/>
      <c r="I14" s="7"/>
      <c r="J14" s="7"/>
      <c r="K14" s="7"/>
    </row>
    <row r="15" spans="1:11" s="8" customFormat="1" ht="15.75">
      <c r="B15" s="7"/>
      <c r="C15" s="7"/>
      <c r="D15" s="7"/>
      <c r="E15" s="7"/>
      <c r="F15" s="7"/>
      <c r="G15" s="7"/>
      <c r="H15" s="7"/>
      <c r="I15" s="7"/>
      <c r="J15" s="7"/>
      <c r="K15" s="7"/>
    </row>
    <row r="16" spans="1:11" s="8" customFormat="1" ht="15.75">
      <c r="A16" s="6" t="s">
        <v>1949</v>
      </c>
      <c r="B16" s="7"/>
      <c r="C16" s="7"/>
      <c r="D16" s="7"/>
      <c r="E16" s="7"/>
      <c r="F16" s="7"/>
      <c r="G16" s="7"/>
      <c r="H16" s="7"/>
      <c r="I16" s="7"/>
      <c r="J16" s="7"/>
      <c r="K16" s="7"/>
    </row>
    <row r="17" spans="1:11" s="8" customFormat="1" ht="15.75">
      <c r="A17" s="6"/>
      <c r="B17" s="7" t="s">
        <v>1950</v>
      </c>
      <c r="C17" s="7"/>
      <c r="D17" s="7"/>
      <c r="E17" s="7"/>
      <c r="F17" s="7"/>
      <c r="G17" s="7"/>
      <c r="H17" s="7"/>
      <c r="I17" s="7"/>
      <c r="J17" s="7"/>
      <c r="K17" s="7"/>
    </row>
    <row r="18" spans="1:11" s="8" customFormat="1" ht="15.75">
      <c r="B18" s="7" t="s">
        <v>1951</v>
      </c>
      <c r="C18" s="7"/>
      <c r="D18" s="7"/>
      <c r="E18" s="7"/>
      <c r="F18" s="7"/>
      <c r="G18" s="7"/>
      <c r="H18" s="7"/>
      <c r="I18" s="7"/>
      <c r="J18" s="7"/>
      <c r="K18" s="7"/>
    </row>
    <row r="19" spans="1:11" s="8" customFormat="1" ht="15.75">
      <c r="B19" s="7" t="s">
        <v>1952</v>
      </c>
      <c r="C19" s="7"/>
      <c r="D19" s="7"/>
      <c r="E19" s="7"/>
      <c r="F19" s="7"/>
      <c r="G19" s="7"/>
      <c r="H19" s="7"/>
      <c r="I19" s="7"/>
      <c r="J19" s="7"/>
      <c r="K19" s="7"/>
    </row>
    <row r="20" spans="1:11" s="8" customFormat="1" ht="15.75">
      <c r="B20" s="7" t="s">
        <v>1953</v>
      </c>
      <c r="C20" s="7"/>
      <c r="D20" s="7"/>
      <c r="E20" s="7"/>
      <c r="F20" s="7"/>
      <c r="G20" s="7"/>
      <c r="H20" s="7"/>
      <c r="I20" s="7"/>
      <c r="J20" s="7"/>
      <c r="K20" s="7"/>
    </row>
    <row r="21" spans="1:11" s="8" customFormat="1" ht="15.75">
      <c r="B21" s="7"/>
      <c r="C21" s="7"/>
      <c r="D21" s="7"/>
      <c r="E21" s="7"/>
      <c r="F21" s="7"/>
      <c r="G21" s="7"/>
      <c r="H21" s="7"/>
      <c r="I21" s="7"/>
      <c r="J21" s="7"/>
      <c r="K21" s="7"/>
    </row>
    <row r="22" spans="1:11" s="8" customFormat="1" ht="15.75">
      <c r="B22" s="7"/>
      <c r="C22" s="7"/>
      <c r="D22" s="7"/>
      <c r="E22" s="7"/>
      <c r="F22" s="7"/>
      <c r="G22" s="7"/>
      <c r="H22" s="7"/>
      <c r="I22" s="7"/>
      <c r="J22" s="7"/>
      <c r="K22" s="7"/>
    </row>
    <row r="23" spans="1:11" s="8" customFormat="1" ht="15.75">
      <c r="B23" s="7"/>
      <c r="C23" s="7"/>
      <c r="D23" s="7"/>
      <c r="E23" s="7"/>
      <c r="F23" s="7"/>
      <c r="G23" s="7"/>
      <c r="H23" s="7"/>
      <c r="I23" s="7"/>
      <c r="J23" s="7"/>
      <c r="K23" s="7"/>
    </row>
    <row r="24" spans="1:11" s="8" customFormat="1" ht="15.75">
      <c r="B24" s="7"/>
      <c r="C24" s="7"/>
      <c r="D24" s="7"/>
      <c r="E24" s="7"/>
      <c r="F24" s="7"/>
      <c r="G24" s="7"/>
      <c r="H24" s="7"/>
      <c r="I24" s="7"/>
      <c r="J24" s="7"/>
      <c r="K24" s="7"/>
    </row>
    <row r="25" spans="1:11" s="8" customFormat="1" ht="15.75">
      <c r="B25" s="7"/>
      <c r="C25" s="7"/>
      <c r="D25" s="7"/>
      <c r="E25" s="7"/>
      <c r="F25" s="7"/>
      <c r="G25" s="7"/>
      <c r="H25" s="7"/>
      <c r="I25" s="7"/>
      <c r="J25" s="7"/>
      <c r="K25" s="7"/>
    </row>
    <row r="53" spans="1:1">
      <c r="A53" s="3"/>
    </row>
  </sheetData>
  <customSheetViews>
    <customSheetView guid="{0BC2760D-417A-4722-8FA3-6DD8AFBDE1F3}" showPageBreaks="1" printArea="1" view="pageBreakPreview">
      <pageMargins left="0.7" right="0.7" top="0.75" bottom="0.75" header="0.3" footer="0.3"/>
      <pageSetup paperSize="9" scale="44" fitToHeight="0" orientation="portrait" r:id="rId1"/>
      <headerFooter alignWithMargins="0">
        <oddHeader xml:space="preserve">&amp;Lメッセージ認証機能評価 単体性能評価仕様／成績書
&amp;A&amp;R【CONFIDENTIAL】
T0100000015688
</oddHeader>
        <oddFooter>&amp;C&amp;P / &amp;N</oddFooter>
      </headerFooter>
    </customSheetView>
    <customSheetView guid="{34436444-A93E-4F32-BF85-B991D5E8733A}" showPageBreaks="1" printArea="1" view="pageBreakPreview">
      <selection activeCell="V8" sqref="V8"/>
      <pageMargins left="0.74803149606299213" right="0.74803149606299213" top="0.98425196850393704" bottom="0.98425196850393704" header="0.51181102362204722" footer="0.51181102362204722"/>
      <pageSetup paperSize="9" orientation="portrait" r:id="rId2"/>
      <headerFooter alignWithMargins="0">
        <oddHeader>&amp;RT0100000007522【社外秘】</oddHeader>
        <oddFooter>&amp;C&amp;P</oddFooter>
      </headerFooter>
    </customSheetView>
    <customSheetView guid="{BEEA7A1C-CC60-4786-8CA6-28D6CD6483C2}" showPageBreaks="1" printArea="1" view="pageBreakPreview">
      <selection activeCell="V8" sqref="V8"/>
      <pageMargins left="0.74803149606299213" right="0.74803149606299213" top="0.98425196850393704" bottom="0.98425196850393704" header="0.51181102362204722" footer="0.51181102362204722"/>
      <pageSetup paperSize="9" orientation="portrait" r:id="rId3"/>
      <headerFooter alignWithMargins="0">
        <oddHeader>&amp;RT0100000007522【社外秘】</oddHeader>
        <oddFooter>&amp;C&amp;P</oddFooter>
      </headerFooter>
    </customSheetView>
    <customSheetView guid="{B4E9ECD0-5369-4B75-92AB-1C8F9D921B2C}" showPageBreaks="1" printArea="1" view="pageBreakPreview">
      <pageMargins left="0.7" right="0.7" top="0.75" bottom="0.75" header="0.3" footer="0.3"/>
      <pageSetup paperSize="9" scale="44" fitToHeight="0" orientation="portrait" r:id="rId4"/>
      <headerFooter alignWithMargins="0">
        <oddHeader xml:space="preserve">&amp;Lメッセージ認証機能評価 単体性能評価仕様／成績書
&amp;A&amp;R【CONFIDENTIAL】
T0100000015688
</oddHeader>
        <oddFooter>&amp;C&amp;P / &amp;N</oddFooter>
      </headerFooter>
    </customSheetView>
    <customSheetView guid="{1BFD6F0C-CA6A-466C-9A3D-C4A42BC94B83}" showPageBreaks="1" printArea="1" view="pageBreakPreview">
      <pageMargins left="0.7" right="0.7" top="0.75" bottom="0.75" header="0.3" footer="0.3"/>
      <pageSetup paperSize="9" scale="44" fitToHeight="0" orientation="portrait" r:id="rId5"/>
      <headerFooter alignWithMargins="0">
        <oddHeader xml:space="preserve">&amp;Lメッセージ認証機能評価 単体性能評価仕様／成績書
&amp;A&amp;R【CONFIDENTIAL】
T0100000015688
</oddHeader>
        <oddFooter>&amp;C&amp;P / &amp;N</oddFooter>
      </headerFooter>
    </customSheetView>
  </customSheetViews>
  <phoneticPr fontId="1"/>
  <hyperlinks>
    <hyperlink ref="A1" location="目次!A1" display="目次!A1" xr:uid="{00000000-0004-0000-0200-000000000000}"/>
  </hyperlinks>
  <pageMargins left="0.70866141732283472" right="0.70866141732283472" top="0.74803149606299213" bottom="0.74803149606299213" header="0.31496062992125984" footer="0.31496062992125984"/>
  <pageSetup paperSize="9" scale="76" fitToHeight="0" orientation="portrait" r:id="rId6"/>
  <headerFooter alignWithMargins="0">
    <oddHeader xml:space="preserve">&amp;Lメッセージ認証機能評価 単体機能評価仕様書
&amp;A&amp;R【CONFIDENTIAL】
T0100000015687
</oddHeader>
    <oddFooter>&amp;C&amp;P /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W138"/>
  <sheetViews>
    <sheetView view="pageBreakPreview" zoomScaleNormal="100" zoomScaleSheetLayoutView="100" workbookViewId="0"/>
  </sheetViews>
  <sheetFormatPr defaultColWidth="9" defaultRowHeight="15"/>
  <cols>
    <col min="1" max="1" width="4.28515625" style="1" customWidth="1"/>
    <col min="2" max="65" width="9" style="1"/>
    <col min="66" max="66" width="7.42578125" style="1" customWidth="1"/>
    <col min="67" max="16384" width="9" style="1"/>
  </cols>
  <sheetData>
    <row r="1" spans="1:11" ht="15.75">
      <c r="A1" s="20" t="s">
        <v>83</v>
      </c>
    </row>
    <row r="2" spans="1:11" ht="15.75">
      <c r="A2" s="6" t="s">
        <v>28</v>
      </c>
      <c r="B2" s="8"/>
      <c r="C2" s="8"/>
      <c r="D2" s="8"/>
      <c r="E2" s="8"/>
      <c r="F2" s="8"/>
      <c r="G2" s="8"/>
      <c r="H2" s="8"/>
      <c r="I2" s="8"/>
      <c r="J2" s="8"/>
    </row>
    <row r="3" spans="1:11" ht="15.75">
      <c r="A3" s="8"/>
      <c r="B3" s="8" t="s">
        <v>1622</v>
      </c>
      <c r="C3" s="8"/>
      <c r="D3" s="8"/>
      <c r="E3" s="8"/>
      <c r="F3" s="8"/>
      <c r="G3" s="8"/>
      <c r="H3" s="8"/>
      <c r="I3" s="8"/>
      <c r="J3" s="8"/>
    </row>
    <row r="4" spans="1:11" ht="15.75">
      <c r="A4" s="8"/>
      <c r="B4" s="8"/>
      <c r="C4" s="8"/>
      <c r="D4" s="8"/>
      <c r="E4" s="8"/>
      <c r="F4" s="8"/>
      <c r="G4" s="8"/>
      <c r="H4" s="8"/>
      <c r="I4" s="8"/>
      <c r="J4" s="8"/>
    </row>
    <row r="5" spans="1:11" ht="15.75">
      <c r="A5" s="8"/>
      <c r="B5" s="8"/>
      <c r="C5" s="8"/>
      <c r="D5" s="8"/>
      <c r="E5" s="8"/>
      <c r="F5" s="8"/>
      <c r="G5" s="8"/>
      <c r="H5" s="8"/>
      <c r="I5" s="8"/>
      <c r="J5" s="8"/>
    </row>
    <row r="6" spans="1:11" s="8" customFormat="1" ht="15.75">
      <c r="A6" s="6" t="s">
        <v>39</v>
      </c>
      <c r="B6" s="7"/>
      <c r="C6" s="7"/>
      <c r="D6" s="7"/>
      <c r="E6" s="7"/>
      <c r="F6" s="7"/>
      <c r="G6" s="7"/>
      <c r="H6" s="7"/>
      <c r="I6" s="7"/>
      <c r="J6" s="7"/>
      <c r="K6" s="7"/>
    </row>
    <row r="7" spans="1:11" s="8" customFormat="1" ht="15.75">
      <c r="A7" s="6"/>
      <c r="B7" s="8" t="s">
        <v>31</v>
      </c>
      <c r="C7" s="7"/>
      <c r="D7" s="7"/>
      <c r="E7" s="7"/>
      <c r="F7" s="7"/>
      <c r="G7" s="7"/>
      <c r="H7" s="7"/>
      <c r="I7" s="7"/>
      <c r="J7" s="7"/>
      <c r="K7" s="7"/>
    </row>
    <row r="8" spans="1:11" s="8" customFormat="1" ht="15.75">
      <c r="A8" s="6"/>
      <c r="C8" s="7"/>
      <c r="D8" s="7"/>
      <c r="E8" s="7"/>
      <c r="F8" s="7"/>
      <c r="G8" s="7"/>
      <c r="H8" s="7"/>
      <c r="I8" s="7"/>
      <c r="J8" s="7"/>
      <c r="K8" s="7"/>
    </row>
    <row r="9" spans="1:11" s="8" customFormat="1" ht="15.75">
      <c r="A9" s="6"/>
      <c r="B9" s="5"/>
      <c r="C9" s="7"/>
      <c r="D9" s="7"/>
      <c r="E9" s="7"/>
      <c r="F9" s="7"/>
      <c r="G9" s="7"/>
      <c r="H9" s="7"/>
      <c r="I9" s="7"/>
      <c r="J9" s="7"/>
      <c r="K9" s="7"/>
    </row>
    <row r="10" spans="1:11" s="8" customFormat="1" ht="15.75">
      <c r="B10" s="7"/>
      <c r="C10" s="7"/>
      <c r="D10" s="7"/>
      <c r="E10" s="7"/>
      <c r="F10" s="7"/>
      <c r="G10" s="7"/>
      <c r="H10" s="7"/>
      <c r="I10" s="7"/>
      <c r="J10" s="7"/>
      <c r="K10" s="7"/>
    </row>
    <row r="11" spans="1:11" s="8" customFormat="1" ht="15.75">
      <c r="B11" s="7"/>
      <c r="C11" s="7"/>
      <c r="D11" s="7"/>
      <c r="E11" s="7"/>
      <c r="F11" s="7"/>
      <c r="G11" s="7"/>
      <c r="H11" s="7"/>
      <c r="I11" s="7"/>
      <c r="J11" s="7"/>
      <c r="K11" s="7"/>
    </row>
    <row r="12" spans="1:11" s="8" customFormat="1" ht="15.75">
      <c r="B12" s="7"/>
      <c r="C12" s="7"/>
      <c r="D12" s="7"/>
      <c r="E12" s="7"/>
      <c r="F12" s="7"/>
      <c r="G12" s="7"/>
      <c r="H12" s="7"/>
      <c r="I12" s="7"/>
      <c r="J12" s="7"/>
      <c r="K12" s="7"/>
    </row>
    <row r="13" spans="1:11" s="8" customFormat="1" ht="15.75">
      <c r="B13" s="7"/>
      <c r="C13" s="7"/>
      <c r="D13" s="7"/>
      <c r="E13" s="7"/>
      <c r="F13" s="7"/>
      <c r="G13" s="7"/>
      <c r="H13" s="7"/>
      <c r="I13" s="7"/>
      <c r="J13" s="7"/>
      <c r="K13" s="7"/>
    </row>
    <row r="14" spans="1:11" s="8" customFormat="1" ht="15.75">
      <c r="B14" s="7"/>
      <c r="C14" s="7"/>
      <c r="D14" s="7"/>
      <c r="E14" s="7"/>
      <c r="F14" s="7"/>
      <c r="G14" s="7"/>
      <c r="H14" s="7"/>
      <c r="I14" s="7"/>
      <c r="J14" s="7"/>
      <c r="K14" s="7"/>
    </row>
    <row r="15" spans="1:11" s="8" customFormat="1" ht="15.75">
      <c r="B15" s="7"/>
      <c r="C15" s="7"/>
      <c r="D15" s="7"/>
      <c r="E15" s="7"/>
      <c r="F15" s="7"/>
      <c r="G15" s="7"/>
      <c r="H15" s="7"/>
      <c r="I15" s="7"/>
      <c r="J15" s="7"/>
      <c r="K15" s="7"/>
    </row>
    <row r="16" spans="1:11" s="8" customFormat="1" ht="15.75">
      <c r="B16" s="7"/>
      <c r="C16" s="7"/>
      <c r="D16" s="7"/>
      <c r="E16" s="7"/>
      <c r="F16" s="7"/>
      <c r="G16" s="7"/>
      <c r="H16" s="7"/>
      <c r="I16" s="7"/>
      <c r="J16" s="7"/>
      <c r="K16" s="7"/>
    </row>
    <row r="17" spans="2:23">
      <c r="B17" s="2"/>
      <c r="C17" s="2"/>
      <c r="D17" s="2"/>
      <c r="E17" s="2"/>
      <c r="F17" s="2"/>
      <c r="G17" s="2"/>
      <c r="H17" s="2"/>
      <c r="I17" s="2"/>
      <c r="J17" s="2"/>
      <c r="K17" s="2"/>
    </row>
    <row r="18" spans="2:23">
      <c r="B18" s="2"/>
      <c r="C18" s="2"/>
      <c r="D18" s="2"/>
      <c r="E18" s="2"/>
      <c r="F18" s="2"/>
      <c r="G18" s="2"/>
      <c r="H18" s="2"/>
      <c r="I18" s="2"/>
      <c r="J18" s="2"/>
      <c r="K18" s="2"/>
    </row>
    <row r="19" spans="2:23">
      <c r="B19" s="2"/>
      <c r="C19" s="2"/>
      <c r="D19" s="2"/>
      <c r="E19" s="2"/>
      <c r="F19" s="2"/>
      <c r="G19" s="2"/>
      <c r="H19" s="2"/>
      <c r="I19" s="2"/>
      <c r="J19" s="2"/>
      <c r="K19" s="2"/>
    </row>
    <row r="20" spans="2:23">
      <c r="B20" s="2"/>
      <c r="C20" s="2"/>
      <c r="D20" s="2"/>
      <c r="E20" s="2"/>
      <c r="F20" s="2"/>
      <c r="G20" s="2"/>
      <c r="H20" s="2"/>
      <c r="I20" s="2"/>
      <c r="J20" s="2"/>
      <c r="K20" s="2"/>
    </row>
    <row r="21" spans="2:23">
      <c r="B21" s="2"/>
      <c r="C21" s="2"/>
      <c r="D21" s="2"/>
      <c r="E21" s="2"/>
      <c r="F21" s="2"/>
      <c r="G21" s="2"/>
      <c r="H21" s="2"/>
      <c r="I21" s="2"/>
      <c r="J21" s="2"/>
      <c r="K21" s="2"/>
    </row>
    <row r="22" spans="2:23">
      <c r="B22" s="2"/>
      <c r="C22" s="2"/>
      <c r="D22" s="2"/>
      <c r="E22" s="2"/>
      <c r="F22" s="2"/>
      <c r="G22" s="2"/>
      <c r="H22" s="2"/>
      <c r="I22" s="2"/>
      <c r="J22" s="2"/>
      <c r="K22" s="2"/>
    </row>
    <row r="23" spans="2:23">
      <c r="B23" s="2"/>
      <c r="C23" s="2"/>
      <c r="D23" s="2"/>
      <c r="E23" s="2"/>
      <c r="F23" s="2"/>
      <c r="G23" s="2"/>
      <c r="H23" s="2"/>
      <c r="I23" s="2"/>
      <c r="J23" s="2"/>
      <c r="K23" s="2"/>
    </row>
    <row r="24" spans="2:23">
      <c r="B24" s="2"/>
      <c r="C24" s="2"/>
      <c r="D24" s="2"/>
      <c r="E24" s="2"/>
      <c r="F24" s="2"/>
      <c r="G24" s="2"/>
      <c r="H24" s="2"/>
      <c r="I24" s="2"/>
      <c r="J24" s="2"/>
      <c r="K24" s="2"/>
    </row>
    <row r="25" spans="2:23">
      <c r="B25" s="2"/>
      <c r="C25" s="2"/>
      <c r="D25" s="2"/>
      <c r="E25" s="2"/>
      <c r="F25" s="2"/>
      <c r="G25" s="2"/>
      <c r="H25" s="2"/>
      <c r="I25" s="2"/>
      <c r="J25" s="2"/>
      <c r="K25" s="2"/>
    </row>
    <row r="26" spans="2:23">
      <c r="B26" s="2"/>
      <c r="C26" s="2"/>
      <c r="D26" s="2"/>
      <c r="E26" s="2"/>
      <c r="F26" s="2"/>
      <c r="G26" s="2"/>
      <c r="H26" s="2"/>
      <c r="I26" s="2"/>
      <c r="J26" s="2"/>
      <c r="K26" s="2"/>
    </row>
    <row r="27" spans="2:23" ht="15.75">
      <c r="B27" s="2"/>
      <c r="C27" s="8"/>
      <c r="D27" s="9" t="s">
        <v>40</v>
      </c>
      <c r="E27" s="8"/>
      <c r="F27" s="2"/>
      <c r="G27" s="2"/>
      <c r="H27" s="2"/>
      <c r="I27" s="2"/>
      <c r="J27" s="8"/>
      <c r="K27" s="9" t="s">
        <v>41</v>
      </c>
      <c r="L27" s="8"/>
      <c r="P27" s="8"/>
      <c r="Q27" s="9" t="s">
        <v>42</v>
      </c>
      <c r="R27" s="8"/>
      <c r="W27" s="9"/>
    </row>
    <row r="28" spans="2:23" ht="15.75">
      <c r="B28" s="2"/>
      <c r="C28" s="8"/>
      <c r="D28" s="9"/>
      <c r="E28" s="8"/>
      <c r="F28" s="2"/>
      <c r="G28" s="2"/>
      <c r="H28" s="2"/>
      <c r="I28" s="2"/>
      <c r="J28" s="8"/>
      <c r="K28" s="9"/>
      <c r="L28" s="8"/>
      <c r="P28" s="8"/>
      <c r="Q28" s="9"/>
      <c r="R28" s="8"/>
      <c r="W28" s="9"/>
    </row>
    <row r="29" spans="2:23" ht="15.75">
      <c r="B29" s="2"/>
      <c r="C29" s="8"/>
      <c r="D29" s="9"/>
      <c r="E29" s="8"/>
      <c r="F29" s="2"/>
      <c r="G29" s="2"/>
      <c r="H29" s="2"/>
      <c r="I29" s="2"/>
      <c r="J29" s="8"/>
      <c r="K29" s="9"/>
      <c r="L29" s="8"/>
      <c r="P29" s="8"/>
      <c r="Q29" s="9"/>
      <c r="R29" s="8"/>
      <c r="W29" s="9"/>
    </row>
    <row r="30" spans="2:23" ht="15.75">
      <c r="B30" s="2"/>
      <c r="C30" s="8"/>
      <c r="D30" s="9"/>
      <c r="E30" s="8"/>
      <c r="F30" s="2"/>
      <c r="G30" s="2"/>
      <c r="H30" s="2"/>
      <c r="I30" s="2"/>
      <c r="J30" s="8"/>
      <c r="K30" s="9"/>
      <c r="L30" s="8"/>
      <c r="P30" s="8"/>
      <c r="Q30" s="9"/>
      <c r="R30" s="8"/>
      <c r="W30" s="9"/>
    </row>
    <row r="31" spans="2:23" ht="15.75">
      <c r="B31" s="2"/>
      <c r="C31" s="8"/>
      <c r="D31" s="9"/>
      <c r="E31" s="8"/>
      <c r="F31" s="2"/>
      <c r="G31" s="2"/>
      <c r="H31" s="2"/>
      <c r="I31" s="2"/>
      <c r="J31" s="8"/>
      <c r="K31" s="9"/>
      <c r="L31" s="8"/>
      <c r="P31" s="8"/>
      <c r="Q31" s="9"/>
      <c r="R31" s="8"/>
      <c r="W31" s="9"/>
    </row>
    <row r="32" spans="2:23" ht="15.75">
      <c r="B32" s="2"/>
      <c r="C32" s="8"/>
      <c r="D32" s="9"/>
      <c r="E32" s="8"/>
      <c r="F32" s="2"/>
      <c r="G32" s="2"/>
      <c r="H32" s="2"/>
      <c r="I32" s="2"/>
      <c r="J32" s="8"/>
      <c r="K32" s="9"/>
      <c r="L32" s="8"/>
      <c r="P32" s="8"/>
      <c r="Q32" s="9"/>
      <c r="R32" s="8"/>
      <c r="W32" s="9"/>
    </row>
    <row r="33" spans="1:23" ht="15.75">
      <c r="B33" s="2"/>
      <c r="C33" s="8"/>
      <c r="D33" s="9"/>
      <c r="E33" s="8"/>
      <c r="F33" s="2"/>
      <c r="G33" s="2"/>
      <c r="H33" s="2"/>
      <c r="I33" s="2"/>
      <c r="J33" s="8"/>
      <c r="K33" s="9"/>
      <c r="L33" s="8"/>
      <c r="P33" s="8"/>
      <c r="Q33" s="9"/>
      <c r="R33" s="8"/>
      <c r="W33" s="9"/>
    </row>
    <row r="34" spans="1:23" ht="15.75">
      <c r="B34" s="2"/>
      <c r="C34" s="8"/>
      <c r="D34" s="9"/>
      <c r="E34" s="8"/>
      <c r="F34" s="2"/>
      <c r="G34" s="2"/>
      <c r="H34" s="2"/>
      <c r="I34" s="2"/>
      <c r="J34" s="8"/>
      <c r="K34" s="9"/>
      <c r="L34" s="8"/>
      <c r="P34" s="8"/>
      <c r="Q34" s="9"/>
      <c r="R34" s="8"/>
      <c r="W34" s="9"/>
    </row>
    <row r="35" spans="1:23" ht="15.75">
      <c r="B35" s="2"/>
      <c r="C35" s="8"/>
      <c r="D35" s="9"/>
      <c r="E35" s="8"/>
      <c r="F35" s="2"/>
      <c r="G35" s="2"/>
      <c r="H35" s="2"/>
      <c r="I35" s="2"/>
      <c r="J35" s="8"/>
      <c r="K35" s="9"/>
      <c r="L35" s="8"/>
      <c r="P35" s="8"/>
      <c r="Q35" s="9"/>
      <c r="R35" s="8"/>
      <c r="W35" s="9"/>
    </row>
    <row r="36" spans="1:23" ht="15.75">
      <c r="B36" s="2"/>
      <c r="C36" s="8"/>
      <c r="D36" s="9"/>
      <c r="E36" s="8"/>
      <c r="F36" s="2"/>
      <c r="G36" s="2"/>
      <c r="H36" s="2"/>
      <c r="I36" s="2"/>
      <c r="J36" s="8"/>
      <c r="K36" s="9"/>
      <c r="L36" s="8"/>
      <c r="P36" s="8"/>
      <c r="Q36" s="9"/>
      <c r="R36" s="8"/>
      <c r="W36" s="9"/>
    </row>
    <row r="37" spans="1:23" ht="15.75">
      <c r="B37" s="2"/>
      <c r="C37" s="8"/>
      <c r="D37" s="9"/>
      <c r="E37" s="8"/>
      <c r="F37" s="2"/>
      <c r="G37" s="2"/>
      <c r="H37" s="2"/>
      <c r="I37" s="2"/>
      <c r="J37" s="8"/>
      <c r="K37" s="9"/>
      <c r="L37" s="8"/>
      <c r="P37" s="8"/>
      <c r="Q37" s="9"/>
      <c r="R37" s="8"/>
      <c r="W37" s="9"/>
    </row>
    <row r="38" spans="1:23" ht="15.75">
      <c r="B38" s="2"/>
      <c r="C38" s="8"/>
      <c r="D38" s="9"/>
      <c r="E38" s="8"/>
      <c r="F38" s="2"/>
      <c r="G38" s="2"/>
      <c r="H38" s="2"/>
      <c r="I38" s="2"/>
      <c r="J38" s="8"/>
      <c r="K38" s="9"/>
      <c r="L38" s="8"/>
      <c r="P38" s="8"/>
      <c r="Q38" s="9"/>
      <c r="R38" s="8"/>
      <c r="W38" s="9"/>
    </row>
    <row r="39" spans="1:23" ht="15.75">
      <c r="B39" s="2"/>
      <c r="C39" s="8"/>
      <c r="D39" s="9"/>
      <c r="E39" s="8"/>
      <c r="F39" s="2"/>
      <c r="G39" s="2"/>
      <c r="H39" s="2"/>
      <c r="I39" s="2"/>
      <c r="J39" s="8"/>
      <c r="K39" s="9"/>
      <c r="L39" s="8"/>
      <c r="P39" s="8"/>
      <c r="Q39" s="9"/>
      <c r="R39" s="8"/>
      <c r="W39" s="9"/>
    </row>
    <row r="40" spans="1:23" ht="15.75">
      <c r="B40" s="2"/>
      <c r="C40" s="8"/>
      <c r="D40" s="9"/>
      <c r="E40" s="8"/>
      <c r="F40" s="2"/>
      <c r="G40" s="2"/>
      <c r="H40" s="2"/>
      <c r="I40" s="2"/>
      <c r="J40" s="8"/>
      <c r="K40" s="9"/>
      <c r="L40" s="8"/>
      <c r="P40" s="8"/>
      <c r="Q40" s="9"/>
      <c r="R40" s="8"/>
      <c r="W40" s="9"/>
    </row>
    <row r="41" spans="1:23" ht="15.75">
      <c r="B41" s="2"/>
      <c r="C41" s="8"/>
      <c r="D41" s="9"/>
      <c r="E41" s="8"/>
      <c r="F41" s="2"/>
      <c r="G41" s="2"/>
      <c r="H41" s="2"/>
      <c r="I41" s="2"/>
      <c r="J41" s="8"/>
      <c r="K41" s="9"/>
      <c r="L41" s="8"/>
      <c r="P41" s="8"/>
      <c r="Q41" s="9"/>
      <c r="R41" s="8"/>
      <c r="W41" s="9"/>
    </row>
    <row r="42" spans="1:23" ht="15.75">
      <c r="B42" s="2"/>
      <c r="C42" s="8"/>
      <c r="D42" s="9"/>
      <c r="E42" s="8"/>
      <c r="F42" s="2"/>
      <c r="G42" s="2"/>
      <c r="H42" s="2"/>
      <c r="I42" s="2"/>
      <c r="J42" s="8"/>
      <c r="K42" s="9"/>
      <c r="L42" s="8"/>
      <c r="P42" s="8"/>
      <c r="Q42" s="9"/>
      <c r="R42" s="8"/>
      <c r="W42" s="9"/>
    </row>
    <row r="43" spans="1:23" ht="15.75">
      <c r="B43" s="2"/>
      <c r="C43" s="8"/>
      <c r="D43" s="9"/>
      <c r="E43" s="8"/>
      <c r="F43" s="2"/>
      <c r="G43" s="2"/>
      <c r="H43" s="2"/>
      <c r="I43" s="2"/>
      <c r="J43" s="8"/>
      <c r="K43" s="9"/>
      <c r="L43" s="8"/>
      <c r="P43" s="8"/>
      <c r="Q43" s="9"/>
      <c r="R43" s="8"/>
      <c r="W43" s="9"/>
    </row>
    <row r="44" spans="1:23" ht="15.75">
      <c r="B44" s="2"/>
      <c r="C44" s="8"/>
      <c r="D44" s="9"/>
      <c r="E44" s="8"/>
      <c r="F44" s="2"/>
      <c r="G44" s="2"/>
      <c r="H44" s="2"/>
      <c r="I44" s="2"/>
      <c r="J44" s="8"/>
      <c r="K44" s="9"/>
      <c r="L44" s="8"/>
      <c r="P44" s="8"/>
      <c r="Q44" s="9"/>
      <c r="R44" s="8"/>
      <c r="W44" s="9"/>
    </row>
    <row r="45" spans="1:23" ht="15.75">
      <c r="B45" s="2"/>
      <c r="C45" s="8"/>
      <c r="D45" s="9" t="s">
        <v>810</v>
      </c>
      <c r="E45" s="8"/>
      <c r="F45" s="2"/>
      <c r="G45" s="2"/>
      <c r="H45" s="2"/>
      <c r="I45" s="2"/>
      <c r="J45" s="8"/>
      <c r="K45" s="9" t="s">
        <v>1739</v>
      </c>
      <c r="L45" s="8"/>
      <c r="P45" s="8"/>
      <c r="Q45" s="9" t="s">
        <v>1740</v>
      </c>
      <c r="R45" s="8"/>
      <c r="W45" s="9"/>
    </row>
    <row r="46" spans="1:23" ht="15.75">
      <c r="B46" s="2"/>
      <c r="C46" s="8"/>
      <c r="D46" s="9"/>
      <c r="E46" s="8"/>
      <c r="F46" s="2"/>
      <c r="G46" s="2"/>
      <c r="H46" s="2"/>
      <c r="I46" s="2"/>
      <c r="J46" s="8"/>
      <c r="K46" s="9"/>
      <c r="L46" s="8"/>
      <c r="P46" s="8"/>
      <c r="Q46" s="9"/>
      <c r="R46" s="8"/>
      <c r="W46" s="9"/>
    </row>
    <row r="47" spans="1:23" ht="27" customHeight="1" thickBot="1">
      <c r="B47" s="276" t="s">
        <v>60</v>
      </c>
      <c r="C47" s="277"/>
      <c r="D47" s="278" t="s">
        <v>9</v>
      </c>
      <c r="E47" s="278"/>
      <c r="F47" s="278"/>
      <c r="G47" s="278"/>
      <c r="H47" s="278"/>
      <c r="I47" s="278"/>
      <c r="J47" s="278"/>
      <c r="K47" s="278"/>
      <c r="L47" s="278"/>
      <c r="M47" s="278"/>
      <c r="P47" s="8"/>
      <c r="Q47" s="9"/>
      <c r="R47" s="8"/>
    </row>
    <row r="48" spans="1:23" ht="16.5" thickTop="1">
      <c r="A48" s="8"/>
      <c r="B48" s="279" t="s">
        <v>30</v>
      </c>
      <c r="C48" s="280"/>
      <c r="D48" s="281" t="s">
        <v>1623</v>
      </c>
      <c r="E48" s="282"/>
      <c r="F48" s="282"/>
      <c r="G48" s="282"/>
      <c r="H48" s="282"/>
      <c r="I48" s="282"/>
      <c r="J48" s="282"/>
      <c r="K48" s="282"/>
      <c r="L48" s="282"/>
      <c r="M48" s="282"/>
    </row>
    <row r="49" spans="1:13" ht="15.75">
      <c r="A49" s="8"/>
      <c r="B49" s="283" t="s">
        <v>38</v>
      </c>
      <c r="C49" s="284"/>
      <c r="D49" s="285" t="s">
        <v>1624</v>
      </c>
      <c r="E49" s="286"/>
      <c r="F49" s="286"/>
      <c r="G49" s="286"/>
      <c r="H49" s="286"/>
      <c r="I49" s="286"/>
      <c r="J49" s="286"/>
      <c r="K49" s="286"/>
      <c r="L49" s="286"/>
      <c r="M49" s="286"/>
    </row>
    <row r="50" spans="1:13" ht="40.5" customHeight="1">
      <c r="A50" s="8"/>
      <c r="B50" s="266" t="s">
        <v>37</v>
      </c>
      <c r="C50" s="267"/>
      <c r="D50" s="268" t="s">
        <v>1625</v>
      </c>
      <c r="E50" s="269"/>
      <c r="F50" s="269"/>
      <c r="G50" s="269"/>
      <c r="H50" s="269"/>
      <c r="I50" s="269"/>
      <c r="J50" s="269"/>
      <c r="K50" s="269"/>
      <c r="L50" s="269"/>
      <c r="M50" s="270"/>
    </row>
    <row r="51" spans="1:13" ht="40.5" customHeight="1">
      <c r="A51" s="8"/>
      <c r="B51" s="271" t="s">
        <v>1741</v>
      </c>
      <c r="C51" s="272"/>
      <c r="D51" s="273" t="s">
        <v>1742</v>
      </c>
      <c r="E51" s="274"/>
      <c r="F51" s="274"/>
      <c r="G51" s="274"/>
      <c r="H51" s="274"/>
      <c r="I51" s="274"/>
      <c r="J51" s="274"/>
      <c r="K51" s="274"/>
      <c r="L51" s="274"/>
      <c r="M51" s="275"/>
    </row>
    <row r="52" spans="1:13" ht="39" customHeight="1">
      <c r="A52" s="8"/>
      <c r="B52" s="266" t="s">
        <v>1729</v>
      </c>
      <c r="C52" s="267"/>
      <c r="D52" s="268" t="s">
        <v>1626</v>
      </c>
      <c r="E52" s="269"/>
      <c r="F52" s="269"/>
      <c r="G52" s="269"/>
      <c r="H52" s="269"/>
      <c r="I52" s="269"/>
      <c r="J52" s="269"/>
      <c r="K52" s="269"/>
      <c r="L52" s="269"/>
      <c r="M52" s="270"/>
    </row>
    <row r="53" spans="1:13" ht="15.75">
      <c r="A53" s="8"/>
      <c r="B53" s="266" t="s">
        <v>1735</v>
      </c>
      <c r="C53" s="267"/>
      <c r="D53" s="268" t="s">
        <v>1743</v>
      </c>
      <c r="E53" s="269"/>
      <c r="F53" s="269"/>
      <c r="G53" s="269"/>
      <c r="H53" s="269"/>
      <c r="I53" s="269"/>
      <c r="J53" s="269"/>
      <c r="K53" s="269"/>
      <c r="L53" s="269"/>
      <c r="M53" s="270"/>
    </row>
    <row r="54" spans="1:13" ht="15.75">
      <c r="A54" s="8"/>
      <c r="B54" s="8"/>
      <c r="C54" s="8"/>
      <c r="D54" s="8"/>
      <c r="E54" s="8"/>
      <c r="F54" s="8"/>
      <c r="G54" s="9" t="s">
        <v>61</v>
      </c>
      <c r="H54" s="8"/>
      <c r="I54" s="8"/>
      <c r="J54" s="8"/>
    </row>
    <row r="55" spans="1:13" ht="15.75">
      <c r="A55" s="8"/>
      <c r="B55" s="8"/>
      <c r="C55" s="8"/>
      <c r="D55" s="8"/>
      <c r="E55" s="8"/>
      <c r="F55" s="8"/>
      <c r="G55" s="8"/>
      <c r="H55" s="8"/>
      <c r="I55" s="8"/>
      <c r="J55" s="8"/>
    </row>
    <row r="56" spans="1:13" ht="15.75">
      <c r="A56" s="8"/>
      <c r="B56" s="8"/>
      <c r="C56" s="8"/>
      <c r="D56" s="8"/>
      <c r="E56" s="8"/>
      <c r="F56" s="8"/>
      <c r="G56" s="8"/>
      <c r="H56" s="8"/>
      <c r="I56" s="8"/>
      <c r="J56" s="8"/>
    </row>
    <row r="57" spans="1:13" ht="15.75">
      <c r="A57" s="8"/>
      <c r="B57" s="8"/>
      <c r="C57" s="8"/>
      <c r="D57" s="8"/>
      <c r="E57" s="8"/>
      <c r="F57" s="8"/>
      <c r="G57" s="8"/>
      <c r="H57" s="8"/>
      <c r="I57" s="8"/>
      <c r="J57" s="8"/>
    </row>
    <row r="58" spans="1:13">
      <c r="A58" s="3"/>
      <c r="B58" s="113"/>
      <c r="C58" s="114"/>
      <c r="D58" s="114"/>
      <c r="E58" s="114"/>
      <c r="F58" s="114"/>
      <c r="G58" s="114"/>
      <c r="H58" s="115"/>
      <c r="I58" s="115"/>
      <c r="J58" s="115"/>
    </row>
    <row r="59" spans="1:13">
      <c r="A59" s="3"/>
      <c r="B59" s="113"/>
      <c r="C59" s="114"/>
      <c r="D59" s="114"/>
      <c r="E59" s="114"/>
      <c r="F59" s="114"/>
      <c r="G59" s="114"/>
      <c r="H59" s="115"/>
      <c r="I59" s="115"/>
      <c r="J59" s="115"/>
    </row>
    <row r="138" spans="1:1">
      <c r="A138" s="3"/>
    </row>
  </sheetData>
  <mergeCells count="14">
    <mergeCell ref="B47:C47"/>
    <mergeCell ref="D47:M47"/>
    <mergeCell ref="B48:C48"/>
    <mergeCell ref="D48:M48"/>
    <mergeCell ref="B49:C49"/>
    <mergeCell ref="D49:M49"/>
    <mergeCell ref="B53:C53"/>
    <mergeCell ref="D53:M53"/>
    <mergeCell ref="B50:C50"/>
    <mergeCell ref="D50:M50"/>
    <mergeCell ref="B52:C52"/>
    <mergeCell ref="D52:M52"/>
    <mergeCell ref="B51:C51"/>
    <mergeCell ref="D51:M51"/>
  </mergeCells>
  <phoneticPr fontId="1"/>
  <hyperlinks>
    <hyperlink ref="A1" location="目次!A1" display="目次" xr:uid="{00000000-0004-0000-0300-000000000000}"/>
  </hyperlinks>
  <pageMargins left="0.70866141732283472" right="0.70866141732283472" top="0.74803149606299213" bottom="0.74803149606299213" header="0.31496062992125984" footer="0.31496062992125984"/>
  <pageSetup paperSize="9" scale="49" fitToHeight="0" orientation="portrait" r:id="rId1"/>
  <headerFooter scaleWithDoc="0" alignWithMargins="0">
    <oddHeader>&amp;Lメッセージ認証機能評価 単体機能評価仕様書
&amp;A&amp;R【CONFIDENTIAL】
T0100000015687</oddHeader>
    <oddFooter>&amp;C&amp;P /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B4"/>
  <sheetViews>
    <sheetView view="pageBreakPreview" zoomScaleNormal="100" zoomScaleSheetLayoutView="100" workbookViewId="0"/>
  </sheetViews>
  <sheetFormatPr defaultColWidth="9" defaultRowHeight="15.75"/>
  <cols>
    <col min="1" max="1" width="3.85546875" style="5" customWidth="1"/>
    <col min="2" max="2" width="9.140625" style="5" customWidth="1"/>
    <col min="3" max="3" width="44.42578125" style="5" customWidth="1"/>
    <col min="4" max="4" width="54.7109375" style="5" bestFit="1" customWidth="1"/>
    <col min="5" max="5" width="5.28515625" style="5" bestFit="1" customWidth="1"/>
    <col min="6" max="6" width="7.28515625" style="5" bestFit="1" customWidth="1"/>
    <col min="7" max="7" width="7.140625" style="5" bestFit="1" customWidth="1"/>
    <col min="8" max="8" width="7.28515625" style="5" bestFit="1" customWidth="1"/>
    <col min="9" max="9" width="9.140625" style="5" bestFit="1" customWidth="1"/>
    <col min="10" max="10" width="9" style="5"/>
    <col min="11" max="14" width="9.140625" style="5" bestFit="1" customWidth="1"/>
    <col min="15" max="64" width="9" style="5"/>
    <col min="65" max="65" width="7.42578125" style="5" customWidth="1"/>
    <col min="66" max="16384" width="9" style="5"/>
  </cols>
  <sheetData>
    <row r="1" spans="1:2">
      <c r="A1" s="21" t="s">
        <v>82</v>
      </c>
    </row>
    <row r="2" spans="1:2">
      <c r="A2" s="6" t="s">
        <v>113</v>
      </c>
    </row>
    <row r="4" spans="1:2">
      <c r="B4" s="5" t="s">
        <v>114</v>
      </c>
    </row>
  </sheetData>
  <customSheetViews>
    <customSheetView guid="{0BC2760D-417A-4722-8FA3-6DD8AFBDE1F3}" showPageBreaks="1" fitToPage="1" printArea="1" view="pageBreakPreview">
      <pageMargins left="0.74803149606299213" right="0.74803149606299213" top="0.98425196850393704" bottom="0.98425196850393704" header="0.51181102362204722" footer="0.51181102362204722"/>
      <pageSetup paperSize="9" scale="65" fitToHeight="0" orientation="landscape" r:id="rId1"/>
      <headerFooter alignWithMargins="0">
        <oddHeader xml:space="preserve">&amp;Lメッセージ認証機能評価 単体機能評価仕様／成績書
&amp;A&amp;R【CONFIDENTIAL】
T0100000015687
</oddHeader>
        <oddFooter>&amp;C&amp;P / &amp;N</oddFooter>
      </headerFooter>
    </customSheetView>
    <customSheetView guid="{34436444-A93E-4F32-BF85-B991D5E8733A}" scale="115" topLeftCell="A4">
      <selection activeCell="C22" sqref="C22"/>
      <pageMargins left="0.7" right="0.7" top="0.75" bottom="0.75" header="0.3" footer="0.3"/>
    </customSheetView>
    <customSheetView guid="{BEEA7A1C-CC60-4786-8CA6-28D6CD6483C2}" scale="115" topLeftCell="A4">
      <selection activeCell="C22" sqref="C22"/>
      <pageMargins left="0.7" right="0.7" top="0.75" bottom="0.75" header="0.3" footer="0.3"/>
    </customSheetView>
    <customSheetView guid="{B4E9ECD0-5369-4B75-92AB-1C8F9D921B2C}" showPageBreaks="1" fitToPage="1" printArea="1" view="pageBreakPreview">
      <pageMargins left="0.74803149606299213" right="0.74803149606299213" top="0.98425196850393704" bottom="0.98425196850393704" header="0.51181102362204722" footer="0.51181102362204722"/>
      <pageSetup paperSize="9" scale="65" fitToHeight="0" orientation="landscape" r:id="rId2"/>
      <headerFooter alignWithMargins="0">
        <oddHeader xml:space="preserve">&amp;Lメッセージ認証機能評価 単体機能評価仕様／成績書
&amp;A&amp;R【CONFIDENTIAL】
T0100000015687
</oddHeader>
        <oddFooter>&amp;C&amp;P / &amp;N</oddFooter>
      </headerFooter>
    </customSheetView>
    <customSheetView guid="{1BFD6F0C-CA6A-466C-9A3D-C4A42BC94B83}" showPageBreaks="1" fitToPage="1" printArea="1" view="pageBreakPreview">
      <pageMargins left="0.74803149606299213" right="0.74803149606299213" top="0.98425196850393704" bottom="0.98425196850393704" header="0.51181102362204722" footer="0.51181102362204722"/>
      <pageSetup paperSize="9" scale="65" fitToHeight="0" orientation="landscape" r:id="rId3"/>
      <headerFooter alignWithMargins="0">
        <oddHeader xml:space="preserve">&amp;Lメッセージ認証機能評価 単体機能評価仕様／成績書
&amp;A&amp;R【CONFIDENTIAL】
T0100000015687
</oddHeader>
        <oddFooter>&amp;C&amp;P / &amp;N</oddFooter>
      </headerFooter>
    </customSheetView>
  </customSheetViews>
  <phoneticPr fontId="1"/>
  <hyperlinks>
    <hyperlink ref="A1" location="目次!A1" display="目次" xr:uid="{00000000-0004-0000-0400-000000000000}"/>
  </hyperlinks>
  <pageMargins left="0.74803149606299213" right="0.74803149606299213" top="0.98425196850393704" bottom="0.98425196850393704" header="0.51181102362204722" footer="0.51181102362204722"/>
  <pageSetup paperSize="9" scale="76" fitToHeight="0" orientation="portrait" r:id="rId4"/>
  <headerFooter alignWithMargins="0">
    <oddHeader xml:space="preserve">&amp;Lメッセージ認証機能評価 単体機能評価仕様書
&amp;A&amp;R【CONFIDENTIAL】
T0100000015687
</oddHeader>
    <oddFooter>&amp;C&amp;P /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pageSetUpPr fitToPage="1"/>
  </sheetPr>
  <dimension ref="A1:O18"/>
  <sheetViews>
    <sheetView view="pageBreakPreview" zoomScaleNormal="100" zoomScaleSheetLayoutView="100" zoomScalePageLayoutView="85" workbookViewId="0"/>
  </sheetViews>
  <sheetFormatPr defaultColWidth="9" defaultRowHeight="15.75"/>
  <cols>
    <col min="1" max="1" width="4.42578125" style="5" customWidth="1"/>
    <col min="2" max="2" width="4" style="5" customWidth="1"/>
    <col min="3" max="3" width="6.28515625" style="5" customWidth="1"/>
    <col min="4" max="16384" width="9" style="5"/>
  </cols>
  <sheetData>
    <row r="1" spans="1:15">
      <c r="A1" s="21" t="s">
        <v>82</v>
      </c>
    </row>
    <row r="2" spans="1:15">
      <c r="A2" s="6" t="s">
        <v>48</v>
      </c>
    </row>
    <row r="4" spans="1:15">
      <c r="B4" s="6" t="s">
        <v>49</v>
      </c>
      <c r="C4" s="7"/>
    </row>
    <row r="5" spans="1:15">
      <c r="B5" s="6"/>
      <c r="C5" s="8" t="s">
        <v>64</v>
      </c>
    </row>
    <row r="12" spans="1:15">
      <c r="E12" s="8"/>
      <c r="F12" s="9" t="s">
        <v>65</v>
      </c>
    </row>
    <row r="14" spans="1:15" ht="16.5" thickBot="1">
      <c r="C14" s="111" t="s">
        <v>62</v>
      </c>
      <c r="D14" s="291" t="s">
        <v>56</v>
      </c>
      <c r="E14" s="291"/>
      <c r="F14" s="291"/>
      <c r="G14" s="291" t="s">
        <v>55</v>
      </c>
      <c r="H14" s="291"/>
      <c r="I14" s="291"/>
      <c r="J14" s="291"/>
      <c r="K14" s="291"/>
      <c r="L14" s="291"/>
      <c r="M14" s="291"/>
      <c r="N14" s="291"/>
      <c r="O14" s="291"/>
    </row>
    <row r="15" spans="1:15" ht="34.5" customHeight="1" thickTop="1">
      <c r="C15" s="15" t="s">
        <v>50</v>
      </c>
      <c r="D15" s="292" t="s">
        <v>1122</v>
      </c>
      <c r="E15" s="292"/>
      <c r="F15" s="292"/>
      <c r="G15" s="293" t="s">
        <v>1123</v>
      </c>
      <c r="H15" s="293"/>
      <c r="I15" s="293"/>
      <c r="J15" s="293"/>
      <c r="K15" s="293"/>
      <c r="L15" s="293"/>
      <c r="M15" s="293"/>
      <c r="N15" s="293"/>
      <c r="O15" s="293"/>
    </row>
    <row r="16" spans="1:15" ht="34.5" customHeight="1">
      <c r="C16" s="116" t="s">
        <v>51</v>
      </c>
      <c r="D16" s="282" t="s">
        <v>57</v>
      </c>
      <c r="E16" s="282"/>
      <c r="F16" s="282"/>
      <c r="G16" s="288" t="s">
        <v>1124</v>
      </c>
      <c r="H16" s="289"/>
      <c r="I16" s="289"/>
      <c r="J16" s="289"/>
      <c r="K16" s="289"/>
      <c r="L16" s="289"/>
      <c r="M16" s="289"/>
      <c r="N16" s="289"/>
      <c r="O16" s="290"/>
    </row>
    <row r="17" spans="3:15" ht="34.5" customHeight="1">
      <c r="C17" s="116" t="s">
        <v>52</v>
      </c>
      <c r="D17" s="282" t="s">
        <v>58</v>
      </c>
      <c r="E17" s="282"/>
      <c r="F17" s="282"/>
      <c r="G17" s="287" t="s">
        <v>59</v>
      </c>
      <c r="H17" s="287"/>
      <c r="I17" s="287"/>
      <c r="J17" s="287"/>
      <c r="K17" s="287"/>
      <c r="L17" s="287"/>
      <c r="M17" s="287"/>
      <c r="N17" s="287"/>
      <c r="O17" s="287"/>
    </row>
    <row r="18" spans="3:15" ht="88.5" customHeight="1">
      <c r="C18" s="116" t="s">
        <v>53</v>
      </c>
      <c r="D18" s="282" t="s">
        <v>54</v>
      </c>
      <c r="E18" s="282"/>
      <c r="F18" s="282"/>
      <c r="G18" s="288" t="s">
        <v>63</v>
      </c>
      <c r="H18" s="289"/>
      <c r="I18" s="289"/>
      <c r="J18" s="289"/>
      <c r="K18" s="289"/>
      <c r="L18" s="289"/>
      <c r="M18" s="289"/>
      <c r="N18" s="289"/>
      <c r="O18" s="290"/>
    </row>
  </sheetData>
  <mergeCells count="10">
    <mergeCell ref="D17:F17"/>
    <mergeCell ref="G17:O17"/>
    <mergeCell ref="D18:F18"/>
    <mergeCell ref="G18:O18"/>
    <mergeCell ref="D14:F14"/>
    <mergeCell ref="G14:O14"/>
    <mergeCell ref="D15:F15"/>
    <mergeCell ref="G15:O15"/>
    <mergeCell ref="D16:F16"/>
    <mergeCell ref="G16:O16"/>
  </mergeCells>
  <phoneticPr fontId="1"/>
  <hyperlinks>
    <hyperlink ref="A1" location="目次!A1" display="目次" xr:uid="{00000000-0004-0000-0500-000000000000}"/>
  </hyperlinks>
  <pageMargins left="0.70866141732283472" right="0.70866141732283472" top="0.74803149606299213" bottom="0.74803149606299213" header="0.31496062992125984" footer="0.31496062992125984"/>
  <pageSetup paperSize="9" scale="66" fitToHeight="0" orientation="portrait" r:id="rId1"/>
  <headerFooter scaleWithDoc="0" alignWithMargins="0">
    <oddHeader>&amp;Lメッセージ認証機能評価 単体機能評価仕様書
&amp;A&amp;R【CONFIDENTIAL】
T0100000015687</oddHeader>
    <oddFooter>&amp;C&amp;P /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68"/>
  <sheetViews>
    <sheetView view="pageBreakPreview" zoomScaleNormal="100" zoomScaleSheetLayoutView="100" workbookViewId="0">
      <pane ySplit="13" topLeftCell="A14" activePane="bottomLeft" state="frozen"/>
      <selection pane="bottomLeft" activeCell="E9" sqref="E9"/>
    </sheetView>
  </sheetViews>
  <sheetFormatPr defaultColWidth="9" defaultRowHeight="15.75"/>
  <cols>
    <col min="1" max="1" width="4" style="5" customWidth="1"/>
    <col min="2" max="2" width="5.42578125" style="5" bestFit="1" customWidth="1"/>
    <col min="3" max="3" width="16" style="5" customWidth="1"/>
    <col min="4" max="4" width="22.42578125" style="10" customWidth="1"/>
    <col min="5" max="5" width="50" style="5" customWidth="1"/>
    <col min="6" max="6" width="25" style="5" customWidth="1"/>
    <col min="7" max="10" width="13.42578125" style="5" customWidth="1"/>
    <col min="11" max="16384" width="9" style="5"/>
  </cols>
  <sheetData>
    <row r="1" spans="1:10">
      <c r="A1" s="21" t="s">
        <v>82</v>
      </c>
    </row>
    <row r="2" spans="1:10">
      <c r="A2" s="6" t="s">
        <v>29</v>
      </c>
    </row>
    <row r="3" spans="1:10" ht="16.5">
      <c r="A3" s="6"/>
      <c r="G3" s="295" t="s">
        <v>44</v>
      </c>
      <c r="H3" s="295"/>
      <c r="I3" s="118" t="s">
        <v>85</v>
      </c>
      <c r="J3" s="112" t="s">
        <v>45</v>
      </c>
    </row>
    <row r="4" spans="1:10">
      <c r="A4" s="6"/>
      <c r="G4" s="294" t="s">
        <v>1708</v>
      </c>
      <c r="H4" s="294"/>
      <c r="I4" s="117"/>
      <c r="J4" s="117"/>
    </row>
    <row r="5" spans="1:10">
      <c r="A5" s="6"/>
      <c r="G5" s="294" t="s">
        <v>1659</v>
      </c>
      <c r="H5" s="294"/>
      <c r="I5" s="117"/>
      <c r="J5" s="117"/>
    </row>
    <row r="6" spans="1:10">
      <c r="A6" s="6"/>
      <c r="G6" s="294" t="s">
        <v>1660</v>
      </c>
      <c r="H6" s="294"/>
      <c r="I6" s="117"/>
      <c r="J6" s="117"/>
    </row>
    <row r="7" spans="1:10">
      <c r="A7" s="6"/>
      <c r="G7" s="294" t="s">
        <v>1697</v>
      </c>
      <c r="H7" s="294"/>
      <c r="I7" s="117"/>
      <c r="J7" s="117"/>
    </row>
    <row r="8" spans="1:10">
      <c r="A8" s="6"/>
      <c r="G8" s="294" t="s">
        <v>1699</v>
      </c>
      <c r="H8" s="294"/>
      <c r="I8" s="117"/>
      <c r="J8" s="117"/>
    </row>
    <row r="9" spans="1:10">
      <c r="A9" s="6"/>
    </row>
    <row r="10" spans="1:10">
      <c r="A10" s="6"/>
      <c r="G10" s="22" t="s">
        <v>90</v>
      </c>
      <c r="H10" s="22" t="s">
        <v>94</v>
      </c>
      <c r="I10" s="22" t="s">
        <v>91</v>
      </c>
      <c r="J10" s="22" t="s">
        <v>92</v>
      </c>
    </row>
    <row r="11" spans="1:10">
      <c r="A11" s="6"/>
      <c r="G11" s="84">
        <f>SUM(G14:G68)</f>
        <v>667</v>
      </c>
      <c r="H11" s="84">
        <f>SUM(H14:H50)</f>
        <v>0</v>
      </c>
      <c r="I11" s="84">
        <f>SUM(I14:I50)</f>
        <v>0</v>
      </c>
      <c r="J11" s="84">
        <f>SUM(J14:J50)</f>
        <v>0</v>
      </c>
    </row>
    <row r="13" spans="1:10" ht="30" customHeight="1" thickBot="1">
      <c r="B13" s="72" t="s">
        <v>46</v>
      </c>
      <c r="C13" s="72" t="s">
        <v>0</v>
      </c>
      <c r="D13" s="83" t="s">
        <v>1</v>
      </c>
      <c r="E13" s="72" t="s">
        <v>2</v>
      </c>
      <c r="F13" s="72" t="s">
        <v>5</v>
      </c>
      <c r="G13" s="72" t="s">
        <v>95</v>
      </c>
      <c r="H13" s="72" t="s">
        <v>93</v>
      </c>
      <c r="I13" s="72" t="s">
        <v>88</v>
      </c>
      <c r="J13" s="72" t="s">
        <v>89</v>
      </c>
    </row>
    <row r="14" spans="1:10" ht="112.5" customHeight="1" thickTop="1">
      <c r="B14" s="77" t="s">
        <v>326</v>
      </c>
      <c r="C14" s="71" t="s">
        <v>7</v>
      </c>
      <c r="D14" s="78" t="s">
        <v>327</v>
      </c>
      <c r="E14" s="71" t="s">
        <v>328</v>
      </c>
      <c r="F14" s="71"/>
      <c r="G14" s="85">
        <f>COUNTA(FuncEvalItems_Aggregate_All!J9)</f>
        <v>1</v>
      </c>
      <c r="H14" s="85"/>
      <c r="I14" s="85"/>
      <c r="J14" s="85"/>
    </row>
    <row r="15" spans="1:10" ht="112.5" customHeight="1">
      <c r="B15" s="79" t="s">
        <v>807</v>
      </c>
      <c r="C15" s="80" t="s">
        <v>7</v>
      </c>
      <c r="D15" s="80" t="s">
        <v>331</v>
      </c>
      <c r="E15" s="80" t="s">
        <v>332</v>
      </c>
      <c r="F15" s="80" t="s">
        <v>333</v>
      </c>
      <c r="G15" s="86">
        <f>COUNTA(FuncEvalItems_Aggregate_All!J10:J30)</f>
        <v>21</v>
      </c>
      <c r="H15" s="86"/>
      <c r="I15" s="86"/>
      <c r="J15" s="86"/>
    </row>
    <row r="16" spans="1:10" ht="112.5" customHeight="1">
      <c r="B16" s="77" t="s">
        <v>337</v>
      </c>
      <c r="C16" s="71" t="s">
        <v>7</v>
      </c>
      <c r="D16" s="78" t="s">
        <v>338</v>
      </c>
      <c r="E16" s="71" t="s">
        <v>47</v>
      </c>
      <c r="F16" s="71"/>
      <c r="G16" s="86">
        <f>COUNTA(FuncEvalItems_Aggregate_All!J31:J32)</f>
        <v>2</v>
      </c>
      <c r="H16" s="86"/>
      <c r="I16" s="86"/>
      <c r="J16" s="86"/>
    </row>
    <row r="17" spans="2:10" ht="112.5" customHeight="1">
      <c r="B17" s="77" t="s">
        <v>342</v>
      </c>
      <c r="C17" s="71" t="s">
        <v>7</v>
      </c>
      <c r="D17" s="78" t="s">
        <v>14</v>
      </c>
      <c r="E17" s="71" t="s">
        <v>343</v>
      </c>
      <c r="F17" s="71"/>
      <c r="G17" s="86">
        <f>COUNTA(FuncEvalItems_Aggregate_All!J33:J34)</f>
        <v>2</v>
      </c>
      <c r="H17" s="86"/>
      <c r="I17" s="86"/>
      <c r="J17" s="86"/>
    </row>
    <row r="18" spans="2:10" ht="112.5" customHeight="1">
      <c r="B18" s="77" t="s">
        <v>345</v>
      </c>
      <c r="C18" s="71" t="s">
        <v>7</v>
      </c>
      <c r="D18" s="78" t="s">
        <v>346</v>
      </c>
      <c r="E18" s="71" t="s">
        <v>347</v>
      </c>
      <c r="F18" s="71"/>
      <c r="G18" s="86">
        <f>COUNTA(FuncEvalItems_Aggregate_All!J35:J42)</f>
        <v>8</v>
      </c>
      <c r="H18" s="86"/>
      <c r="I18" s="86"/>
      <c r="J18" s="86"/>
    </row>
    <row r="19" spans="2:10" ht="112.5" customHeight="1">
      <c r="B19" s="77" t="s">
        <v>349</v>
      </c>
      <c r="C19" s="71" t="s">
        <v>7</v>
      </c>
      <c r="D19" s="78" t="s">
        <v>350</v>
      </c>
      <c r="E19" s="71" t="s">
        <v>351</v>
      </c>
      <c r="F19" s="71"/>
      <c r="G19" s="86">
        <f>COUNTA(FuncEvalItems_Aggregate_All!J43:J46)</f>
        <v>4</v>
      </c>
      <c r="H19" s="86"/>
      <c r="I19" s="86"/>
      <c r="J19" s="86"/>
    </row>
    <row r="20" spans="2:10" ht="112.5" customHeight="1">
      <c r="B20" s="77" t="s">
        <v>355</v>
      </c>
      <c r="C20" s="71" t="s">
        <v>7</v>
      </c>
      <c r="D20" s="78" t="s">
        <v>15</v>
      </c>
      <c r="E20" s="71" t="s">
        <v>1662</v>
      </c>
      <c r="F20" s="71"/>
      <c r="G20" s="86">
        <f>COUNTA(FuncEvalItems_Aggregate_All!J47:J51)</f>
        <v>5</v>
      </c>
      <c r="H20" s="86"/>
      <c r="I20" s="86"/>
      <c r="J20" s="86"/>
    </row>
    <row r="21" spans="2:10" ht="112.5" customHeight="1">
      <c r="B21" s="77" t="s">
        <v>360</v>
      </c>
      <c r="C21" s="71" t="s">
        <v>7</v>
      </c>
      <c r="D21" s="78" t="s">
        <v>10</v>
      </c>
      <c r="E21" s="71" t="s">
        <v>1663</v>
      </c>
      <c r="F21" s="71"/>
      <c r="G21" s="86">
        <f>COUNTA(FuncEvalItems_Aggregate_All!J52:J55)</f>
        <v>4</v>
      </c>
      <c r="H21" s="86"/>
      <c r="I21" s="86"/>
      <c r="J21" s="86"/>
    </row>
    <row r="22" spans="2:10" ht="112.5" customHeight="1">
      <c r="B22" s="77" t="s">
        <v>805</v>
      </c>
      <c r="C22" s="71" t="s">
        <v>365</v>
      </c>
      <c r="D22" s="78" t="s">
        <v>11</v>
      </c>
      <c r="E22" s="71" t="s">
        <v>366</v>
      </c>
      <c r="F22" s="71" t="s">
        <v>368</v>
      </c>
      <c r="G22" s="86">
        <f>COUNTA(FuncEvalItems_Aggregate_All!J56:J115)</f>
        <v>60</v>
      </c>
      <c r="H22" s="86"/>
      <c r="I22" s="86"/>
      <c r="J22" s="86"/>
    </row>
    <row r="23" spans="2:10" ht="160.9" customHeight="1">
      <c r="B23" s="81" t="s">
        <v>809</v>
      </c>
      <c r="C23" s="80" t="s">
        <v>365</v>
      </c>
      <c r="D23" s="82" t="s">
        <v>12</v>
      </c>
      <c r="E23" s="71" t="s">
        <v>1665</v>
      </c>
      <c r="F23" s="80"/>
      <c r="G23" s="86">
        <f>COUNTA(FuncEvalItems_Aggregate_All!J116:J171)</f>
        <v>56</v>
      </c>
      <c r="H23" s="86"/>
      <c r="I23" s="86"/>
      <c r="J23" s="86"/>
    </row>
    <row r="24" spans="2:10" ht="112.5" customHeight="1">
      <c r="B24" s="77" t="s">
        <v>438</v>
      </c>
      <c r="C24" s="71" t="s">
        <v>365</v>
      </c>
      <c r="D24" s="78" t="s">
        <v>439</v>
      </c>
      <c r="E24" s="71" t="s">
        <v>1675</v>
      </c>
      <c r="F24" s="71"/>
      <c r="G24" s="86">
        <f>COUNTA(FuncEvalItems_Aggregate_All!J172:J174)</f>
        <v>3</v>
      </c>
      <c r="H24" s="86"/>
      <c r="I24" s="86"/>
      <c r="J24" s="86"/>
    </row>
    <row r="25" spans="2:10" ht="112.5" customHeight="1">
      <c r="B25" s="77" t="s">
        <v>447</v>
      </c>
      <c r="C25" s="71" t="s">
        <v>365</v>
      </c>
      <c r="D25" s="78" t="s">
        <v>13</v>
      </c>
      <c r="E25" s="71" t="s">
        <v>448</v>
      </c>
      <c r="F25" s="71"/>
      <c r="G25" s="86">
        <f>COUNTA(FuncEvalItems_Aggregate_All!J175:J182)</f>
        <v>8</v>
      </c>
      <c r="H25" s="86"/>
      <c r="I25" s="86"/>
      <c r="J25" s="86"/>
    </row>
    <row r="26" spans="2:10" ht="112.5" customHeight="1">
      <c r="B26" s="77" t="s">
        <v>456</v>
      </c>
      <c r="C26" s="71" t="s">
        <v>365</v>
      </c>
      <c r="D26" s="78" t="s">
        <v>457</v>
      </c>
      <c r="E26" s="71" t="s">
        <v>458</v>
      </c>
      <c r="F26" s="71"/>
      <c r="G26" s="86">
        <f>COUNTA(FuncEvalItems_Aggregate_All!J183:J202)</f>
        <v>20</v>
      </c>
      <c r="H26" s="86"/>
      <c r="I26" s="86"/>
      <c r="J26" s="86"/>
    </row>
    <row r="27" spans="2:10" ht="112.5" customHeight="1">
      <c r="B27" s="77" t="s">
        <v>476</v>
      </c>
      <c r="C27" s="71" t="s">
        <v>365</v>
      </c>
      <c r="D27" s="78" t="s">
        <v>14</v>
      </c>
      <c r="E27" s="71" t="s">
        <v>477</v>
      </c>
      <c r="F27" s="71"/>
      <c r="G27" s="86">
        <f>COUNTA(FuncEvalItems_Aggregate_All!J203)</f>
        <v>1</v>
      </c>
      <c r="H27" s="86"/>
      <c r="I27" s="86"/>
      <c r="J27" s="86"/>
    </row>
    <row r="28" spans="2:10" ht="112.5" customHeight="1">
      <c r="B28" s="77" t="s">
        <v>480</v>
      </c>
      <c r="C28" s="71" t="s">
        <v>365</v>
      </c>
      <c r="D28" s="78" t="s">
        <v>15</v>
      </c>
      <c r="E28" s="71" t="s">
        <v>1678</v>
      </c>
      <c r="F28" s="71"/>
      <c r="G28" s="86">
        <f>COUNTA(FuncEvalItems_Aggregate_All!J204:J216)</f>
        <v>13</v>
      </c>
      <c r="H28" s="86"/>
      <c r="I28" s="86"/>
      <c r="J28" s="86"/>
    </row>
    <row r="29" spans="2:10" ht="112.5" customHeight="1">
      <c r="B29" s="77" t="s">
        <v>490</v>
      </c>
      <c r="C29" s="71" t="s">
        <v>365</v>
      </c>
      <c r="D29" s="78" t="s">
        <v>10</v>
      </c>
      <c r="E29" s="71" t="s">
        <v>1680</v>
      </c>
      <c r="F29" s="71"/>
      <c r="G29" s="86">
        <f>COUNTA(FuncEvalItems_Aggregate_All!J217:J232)</f>
        <v>16</v>
      </c>
      <c r="H29" s="86"/>
      <c r="I29" s="86"/>
      <c r="J29" s="86"/>
    </row>
    <row r="30" spans="2:10" ht="112.5" customHeight="1">
      <c r="B30" s="77" t="s">
        <v>503</v>
      </c>
      <c r="C30" s="71" t="s">
        <v>365</v>
      </c>
      <c r="D30" s="78" t="s">
        <v>504</v>
      </c>
      <c r="E30" s="71" t="s">
        <v>505</v>
      </c>
      <c r="F30" s="71"/>
      <c r="G30" s="86">
        <f>COUNTA(FuncEvalItems_Aggregate_All!J233:J241)</f>
        <v>9</v>
      </c>
      <c r="H30" s="86"/>
      <c r="I30" s="86"/>
      <c r="J30" s="86"/>
    </row>
    <row r="31" spans="2:10" ht="112.5" customHeight="1">
      <c r="B31" s="77" t="s">
        <v>512</v>
      </c>
      <c r="C31" s="71" t="s">
        <v>6</v>
      </c>
      <c r="D31" s="78" t="s">
        <v>327</v>
      </c>
      <c r="E31" s="71" t="s">
        <v>513</v>
      </c>
      <c r="F31" s="71"/>
      <c r="G31" s="86">
        <f>COUNTA(FuncEvalItems_Aggregate_All!J242)</f>
        <v>1</v>
      </c>
      <c r="H31" s="86"/>
      <c r="I31" s="86"/>
      <c r="J31" s="86"/>
    </row>
    <row r="32" spans="2:10" ht="112.5" customHeight="1">
      <c r="B32" s="77" t="s">
        <v>806</v>
      </c>
      <c r="C32" s="71" t="s">
        <v>6</v>
      </c>
      <c r="D32" s="78" t="s">
        <v>517</v>
      </c>
      <c r="E32" s="71" t="s">
        <v>1650</v>
      </c>
      <c r="F32" s="71" t="s">
        <v>333</v>
      </c>
      <c r="G32" s="86">
        <f>COUNTA(FuncEvalItems_Aggregate_All!J243:J244)</f>
        <v>2</v>
      </c>
      <c r="H32" s="86"/>
      <c r="I32" s="86"/>
      <c r="J32" s="86"/>
    </row>
    <row r="33" spans="2:10" ht="112.5" customHeight="1">
      <c r="B33" s="77" t="s">
        <v>523</v>
      </c>
      <c r="C33" s="71" t="s">
        <v>6</v>
      </c>
      <c r="D33" s="78" t="s">
        <v>524</v>
      </c>
      <c r="E33" s="71" t="s">
        <v>525</v>
      </c>
      <c r="F33" s="71"/>
      <c r="G33" s="86">
        <f>COUNTA(FuncEvalItems_Aggregate_All!J245)</f>
        <v>1</v>
      </c>
      <c r="H33" s="86"/>
      <c r="I33" s="86"/>
      <c r="J33" s="86"/>
    </row>
    <row r="34" spans="2:10" ht="112.5" customHeight="1">
      <c r="B34" s="77" t="s">
        <v>528</v>
      </c>
      <c r="C34" s="71" t="s">
        <v>6</v>
      </c>
      <c r="D34" s="78" t="s">
        <v>20</v>
      </c>
      <c r="E34" s="71" t="s">
        <v>529</v>
      </c>
      <c r="F34" s="71"/>
      <c r="G34" s="86">
        <f>COUNTA(FuncEvalItems_Aggregate_All!J246:J247)</f>
        <v>2</v>
      </c>
      <c r="H34" s="86"/>
      <c r="I34" s="86"/>
      <c r="J34" s="86"/>
    </row>
    <row r="35" spans="2:10" ht="112.5" customHeight="1">
      <c r="B35" s="77" t="s">
        <v>531</v>
      </c>
      <c r="C35" s="71" t="s">
        <v>6</v>
      </c>
      <c r="D35" s="78" t="s">
        <v>532</v>
      </c>
      <c r="E35" s="71" t="s">
        <v>533</v>
      </c>
      <c r="F35" s="71"/>
      <c r="G35" s="86">
        <f>COUNTA(FuncEvalItems_Aggregate_All!J248:J249)</f>
        <v>2</v>
      </c>
      <c r="H35" s="86"/>
      <c r="I35" s="86"/>
      <c r="J35" s="86"/>
    </row>
    <row r="36" spans="2:10" ht="112.5" customHeight="1">
      <c r="B36" s="77" t="s">
        <v>536</v>
      </c>
      <c r="C36" s="71" t="s">
        <v>6</v>
      </c>
      <c r="D36" s="78" t="s">
        <v>537</v>
      </c>
      <c r="E36" s="71" t="s">
        <v>1712</v>
      </c>
      <c r="F36" s="71"/>
      <c r="G36" s="86">
        <f>COUNTA(FuncEvalItems_Aggregate_All!J250:J257)</f>
        <v>8</v>
      </c>
      <c r="H36" s="86"/>
      <c r="I36" s="86"/>
      <c r="J36" s="86"/>
    </row>
    <row r="37" spans="2:10" ht="112.5" customHeight="1">
      <c r="B37" s="77" t="s">
        <v>541</v>
      </c>
      <c r="C37" s="71" t="s">
        <v>6</v>
      </c>
      <c r="D37" s="78" t="s">
        <v>21</v>
      </c>
      <c r="E37" s="71" t="s">
        <v>542</v>
      </c>
      <c r="F37" s="71"/>
      <c r="G37" s="86">
        <f>COUNTA(FuncEvalItems_Aggregate_All!J258:J259)</f>
        <v>2</v>
      </c>
      <c r="H37" s="86"/>
      <c r="I37" s="86"/>
      <c r="J37" s="86"/>
    </row>
    <row r="38" spans="2:10" ht="112.5" customHeight="1">
      <c r="B38" s="77" t="s">
        <v>547</v>
      </c>
      <c r="C38" s="71" t="s">
        <v>6</v>
      </c>
      <c r="D38" s="78" t="s">
        <v>548</v>
      </c>
      <c r="E38" s="71" t="s">
        <v>549</v>
      </c>
      <c r="F38" s="71"/>
      <c r="G38" s="86">
        <f>COUNTA(FuncEvalItems_Aggregate_All!J260)</f>
        <v>1</v>
      </c>
      <c r="H38" s="86"/>
      <c r="I38" s="86"/>
      <c r="J38" s="86"/>
    </row>
    <row r="39" spans="2:10" ht="112.5" customHeight="1">
      <c r="B39" s="77" t="s">
        <v>552</v>
      </c>
      <c r="C39" s="71" t="s">
        <v>6</v>
      </c>
      <c r="D39" s="78" t="s">
        <v>553</v>
      </c>
      <c r="E39" s="71" t="s">
        <v>554</v>
      </c>
      <c r="F39" s="71"/>
      <c r="G39" s="86">
        <f>COUNTA(FuncEvalItems_Aggregate_All!J261)</f>
        <v>1</v>
      </c>
      <c r="H39" s="86"/>
      <c r="I39" s="86"/>
      <c r="J39" s="86"/>
    </row>
    <row r="40" spans="2:10" ht="112.5" customHeight="1">
      <c r="B40" s="77" t="s">
        <v>558</v>
      </c>
      <c r="C40" s="71" t="s">
        <v>6</v>
      </c>
      <c r="D40" s="78" t="s">
        <v>10</v>
      </c>
      <c r="E40" s="71" t="s">
        <v>559</v>
      </c>
      <c r="F40" s="71"/>
      <c r="G40" s="86">
        <f>COUNTA(FuncEvalItems_Aggregate_All!J262)</f>
        <v>1</v>
      </c>
      <c r="H40" s="86"/>
      <c r="I40" s="86"/>
      <c r="J40" s="86"/>
    </row>
    <row r="41" spans="2:10" ht="112.5" customHeight="1">
      <c r="B41" s="77" t="s">
        <v>562</v>
      </c>
      <c r="C41" s="71" t="s">
        <v>16</v>
      </c>
      <c r="D41" s="78" t="s">
        <v>17</v>
      </c>
      <c r="E41" s="71" t="s">
        <v>563</v>
      </c>
      <c r="F41" s="71"/>
      <c r="G41" s="86">
        <f>COUNTA(FuncEvalItems_Aggregate_All!J263:J286)</f>
        <v>24</v>
      </c>
      <c r="H41" s="86"/>
      <c r="I41" s="86"/>
      <c r="J41" s="86"/>
    </row>
    <row r="42" spans="2:10" ht="181.9" customHeight="1">
      <c r="B42" s="77" t="s">
        <v>589</v>
      </c>
      <c r="C42" s="71" t="s">
        <v>16</v>
      </c>
      <c r="D42" s="78" t="s">
        <v>439</v>
      </c>
      <c r="E42" s="71" t="s">
        <v>1685</v>
      </c>
      <c r="F42" s="71"/>
      <c r="G42" s="86">
        <f>COUNTA(FuncEvalItems_Aggregate_All!J287:J294)</f>
        <v>8</v>
      </c>
      <c r="H42" s="86"/>
      <c r="I42" s="86"/>
      <c r="J42" s="86"/>
    </row>
    <row r="43" spans="2:10" ht="112.5" customHeight="1">
      <c r="B43" s="77" t="s">
        <v>603</v>
      </c>
      <c r="C43" s="71" t="s">
        <v>16</v>
      </c>
      <c r="D43" s="78" t="s">
        <v>18</v>
      </c>
      <c r="E43" s="71" t="s">
        <v>604</v>
      </c>
      <c r="F43" s="71"/>
      <c r="G43" s="86">
        <f>COUNTA(FuncEvalItems_Aggregate_All!J295:J298)</f>
        <v>4</v>
      </c>
      <c r="H43" s="86"/>
      <c r="I43" s="86"/>
      <c r="J43" s="86"/>
    </row>
    <row r="44" spans="2:10" ht="112.5" customHeight="1">
      <c r="B44" s="77" t="s">
        <v>612</v>
      </c>
      <c r="C44" s="71" t="s">
        <v>16</v>
      </c>
      <c r="D44" s="78" t="s">
        <v>19</v>
      </c>
      <c r="E44" s="71" t="s">
        <v>613</v>
      </c>
      <c r="F44" s="71"/>
      <c r="G44" s="86">
        <f>COUNTA(FuncEvalItems_Aggregate_All!J299:J334)</f>
        <v>36</v>
      </c>
      <c r="H44" s="86"/>
      <c r="I44" s="86"/>
      <c r="J44" s="86"/>
    </row>
    <row r="45" spans="2:10" ht="112.5" customHeight="1">
      <c r="B45" s="77" t="s">
        <v>659</v>
      </c>
      <c r="C45" s="71" t="s">
        <v>16</v>
      </c>
      <c r="D45" s="78" t="s">
        <v>13</v>
      </c>
      <c r="E45" s="71" t="s">
        <v>660</v>
      </c>
      <c r="F45" s="71"/>
      <c r="G45" s="86">
        <f>COUNTA(FuncEvalItems_Aggregate_All!J335:J358)</f>
        <v>24</v>
      </c>
      <c r="H45" s="86"/>
      <c r="I45" s="86"/>
      <c r="J45" s="86"/>
    </row>
    <row r="46" spans="2:10" ht="112.5" customHeight="1">
      <c r="B46" s="77" t="s">
        <v>687</v>
      </c>
      <c r="C46" s="71" t="s">
        <v>16</v>
      </c>
      <c r="D46" s="78" t="s">
        <v>688</v>
      </c>
      <c r="E46" s="71" t="s">
        <v>1686</v>
      </c>
      <c r="F46" s="71"/>
      <c r="G46" s="86">
        <f>COUNTA(FuncEvalItems_Aggregate_All!J359:J362)</f>
        <v>4</v>
      </c>
      <c r="H46" s="86"/>
      <c r="I46" s="86"/>
      <c r="J46" s="86"/>
    </row>
    <row r="47" spans="2:10" ht="112.5" customHeight="1">
      <c r="B47" s="81" t="s">
        <v>693</v>
      </c>
      <c r="C47" s="80" t="s">
        <v>16</v>
      </c>
      <c r="D47" s="82" t="s">
        <v>20</v>
      </c>
      <c r="E47" s="80" t="s">
        <v>1689</v>
      </c>
      <c r="F47" s="80"/>
      <c r="G47" s="86">
        <f>COUNTA(FuncEvalItems_Aggregate_All!J363:J394)</f>
        <v>32</v>
      </c>
      <c r="H47" s="86"/>
      <c r="I47" s="86"/>
      <c r="J47" s="86"/>
    </row>
    <row r="48" spans="2:10" ht="112.5" customHeight="1">
      <c r="B48" s="77" t="s">
        <v>729</v>
      </c>
      <c r="C48" s="71" t="s">
        <v>16</v>
      </c>
      <c r="D48" s="78" t="s">
        <v>21</v>
      </c>
      <c r="E48" s="71" t="s">
        <v>1690</v>
      </c>
      <c r="F48" s="71"/>
      <c r="G48" s="86">
        <f>COUNTA(FuncEvalItems_Aggregate_All!J395:J430)</f>
        <v>36</v>
      </c>
      <c r="H48" s="86"/>
      <c r="I48" s="86"/>
      <c r="J48" s="86"/>
    </row>
    <row r="49" spans="2:10" ht="112.5" customHeight="1">
      <c r="B49" s="77" t="s">
        <v>774</v>
      </c>
      <c r="C49" s="71" t="s">
        <v>16</v>
      </c>
      <c r="D49" s="78" t="s">
        <v>504</v>
      </c>
      <c r="E49" s="71" t="s">
        <v>505</v>
      </c>
      <c r="F49" s="71"/>
      <c r="G49" s="86">
        <f>COUNTA(FuncEvalItems_Aggregate_All!J431:J452)</f>
        <v>22</v>
      </c>
      <c r="H49" s="86"/>
      <c r="I49" s="86"/>
      <c r="J49" s="86"/>
    </row>
    <row r="50" spans="2:10" ht="112.5" customHeight="1">
      <c r="B50" s="77" t="s">
        <v>791</v>
      </c>
      <c r="C50" s="71" t="s">
        <v>16</v>
      </c>
      <c r="D50" s="78" t="s">
        <v>792</v>
      </c>
      <c r="E50" s="71" t="s">
        <v>1707</v>
      </c>
      <c r="F50" s="71"/>
      <c r="G50" s="86">
        <f>COUNTA(FuncEvalItems_Aggregate_All!J453:J462)</f>
        <v>10</v>
      </c>
      <c r="H50" s="86"/>
      <c r="I50" s="86"/>
      <c r="J50" s="86"/>
    </row>
    <row r="51" spans="2:10" ht="112.5" customHeight="1">
      <c r="B51" s="77" t="s">
        <v>821</v>
      </c>
      <c r="C51" s="71" t="s">
        <v>7</v>
      </c>
      <c r="D51" s="78" t="s">
        <v>327</v>
      </c>
      <c r="E51" s="71" t="s">
        <v>328</v>
      </c>
      <c r="F51" s="71"/>
      <c r="G51" s="86">
        <f>COUNTA(FuncEvalItems_Aggregate_All!J463)</f>
        <v>1</v>
      </c>
      <c r="H51" s="86"/>
      <c r="I51" s="86"/>
      <c r="J51" s="86"/>
    </row>
    <row r="52" spans="2:10" ht="112.5" customHeight="1">
      <c r="B52" s="77" t="s">
        <v>830</v>
      </c>
      <c r="C52" s="87" t="s">
        <v>831</v>
      </c>
      <c r="D52" s="88" t="s">
        <v>832</v>
      </c>
      <c r="E52" s="87" t="s">
        <v>332</v>
      </c>
      <c r="F52" s="87" t="s">
        <v>833</v>
      </c>
      <c r="G52" s="86">
        <f>COUNTA(FuncEvalItems_Aggregate_All!J464:J478)</f>
        <v>15</v>
      </c>
      <c r="H52" s="86"/>
      <c r="I52" s="86"/>
      <c r="J52" s="86"/>
    </row>
    <row r="53" spans="2:10" ht="112.5" customHeight="1">
      <c r="B53" s="93" t="s">
        <v>834</v>
      </c>
      <c r="C53" s="89" t="s">
        <v>7</v>
      </c>
      <c r="D53" s="90" t="s">
        <v>338</v>
      </c>
      <c r="E53" s="89" t="s">
        <v>47</v>
      </c>
      <c r="F53" s="89"/>
      <c r="G53" s="86">
        <f>COUNTA(FuncEvalItems_Aggregate_All!J479:J480)</f>
        <v>2</v>
      </c>
      <c r="H53" s="86"/>
      <c r="I53" s="86"/>
      <c r="J53" s="86"/>
    </row>
    <row r="54" spans="2:10" ht="112.5" customHeight="1">
      <c r="B54" s="77" t="s">
        <v>836</v>
      </c>
      <c r="C54" s="89" t="s">
        <v>7</v>
      </c>
      <c r="D54" s="90" t="s">
        <v>14</v>
      </c>
      <c r="E54" s="89" t="s">
        <v>343</v>
      </c>
      <c r="F54" s="89"/>
      <c r="G54" s="86">
        <f>COUNTA(FuncEvalItems_Aggregate_All!J481:J482)</f>
        <v>2</v>
      </c>
      <c r="H54" s="86"/>
      <c r="I54" s="86"/>
      <c r="J54" s="86"/>
    </row>
    <row r="55" spans="2:10" ht="112.5" customHeight="1">
      <c r="B55" s="91" t="s">
        <v>838</v>
      </c>
      <c r="C55" s="89" t="s">
        <v>7</v>
      </c>
      <c r="D55" s="89" t="s">
        <v>346</v>
      </c>
      <c r="E55" s="89" t="s">
        <v>839</v>
      </c>
      <c r="F55" s="89"/>
      <c r="G55" s="86">
        <f>COUNTA(FuncEvalItems_Aggregate_All!J483:J490)</f>
        <v>8</v>
      </c>
      <c r="H55" s="86"/>
      <c r="I55" s="86"/>
      <c r="J55" s="86"/>
    </row>
    <row r="56" spans="2:10" ht="112.5" customHeight="1">
      <c r="B56" s="91" t="s">
        <v>840</v>
      </c>
      <c r="C56" s="89" t="s">
        <v>7</v>
      </c>
      <c r="D56" s="89" t="s">
        <v>350</v>
      </c>
      <c r="E56" s="89" t="s">
        <v>351</v>
      </c>
      <c r="F56" s="89"/>
      <c r="G56" s="86">
        <f>COUNTA(FuncEvalItems_Aggregate_All!J491:J494)</f>
        <v>4</v>
      </c>
      <c r="H56" s="86"/>
      <c r="I56" s="86"/>
      <c r="J56" s="86"/>
    </row>
    <row r="57" spans="2:10" ht="112.5" customHeight="1">
      <c r="B57" s="91" t="s">
        <v>841</v>
      </c>
      <c r="C57" s="89" t="s">
        <v>7</v>
      </c>
      <c r="D57" s="89" t="s">
        <v>15</v>
      </c>
      <c r="E57" s="89" t="s">
        <v>1662</v>
      </c>
      <c r="F57" s="89"/>
      <c r="G57" s="86">
        <f>COUNTA(FuncEvalItems_Aggregate_All!J495:J499)</f>
        <v>5</v>
      </c>
      <c r="H57" s="86"/>
      <c r="I57" s="86"/>
      <c r="J57" s="86"/>
    </row>
    <row r="58" spans="2:10" ht="112.5" customHeight="1">
      <c r="B58" s="91" t="s">
        <v>843</v>
      </c>
      <c r="C58" s="89" t="s">
        <v>7</v>
      </c>
      <c r="D58" s="89" t="s">
        <v>10</v>
      </c>
      <c r="E58" s="89" t="s">
        <v>1663</v>
      </c>
      <c r="F58" s="89"/>
      <c r="G58" s="86">
        <f>COUNTA(FuncEvalItems_Aggregate_All!J500:J503)</f>
        <v>4</v>
      </c>
      <c r="H58" s="86"/>
      <c r="I58" s="86"/>
      <c r="J58" s="86"/>
    </row>
    <row r="59" spans="2:10" ht="112.5" customHeight="1">
      <c r="B59" s="91" t="s">
        <v>844</v>
      </c>
      <c r="C59" s="89" t="s">
        <v>365</v>
      </c>
      <c r="D59" s="89" t="s">
        <v>11</v>
      </c>
      <c r="E59" s="89" t="s">
        <v>366</v>
      </c>
      <c r="F59" s="89" t="s">
        <v>368</v>
      </c>
      <c r="G59" s="86">
        <f>COUNTA(FuncEvalItems_Aggregate_All!J504:J563)</f>
        <v>60</v>
      </c>
      <c r="H59" s="86"/>
      <c r="I59" s="86"/>
      <c r="J59" s="86"/>
    </row>
    <row r="60" spans="2:10" ht="159" customHeight="1">
      <c r="B60" s="77" t="s">
        <v>875</v>
      </c>
      <c r="C60" s="87" t="s">
        <v>876</v>
      </c>
      <c r="D60" s="88" t="s">
        <v>877</v>
      </c>
      <c r="E60" s="87" t="s">
        <v>1824</v>
      </c>
      <c r="F60" s="87"/>
      <c r="G60" s="86">
        <f>COUNTA(FuncEvalItems_Aggregate_All!J564:J603)</f>
        <v>40</v>
      </c>
      <c r="H60" s="86"/>
      <c r="I60" s="86"/>
      <c r="J60" s="86"/>
    </row>
    <row r="61" spans="2:10" ht="112.5" customHeight="1">
      <c r="B61" s="91" t="s">
        <v>878</v>
      </c>
      <c r="C61" s="89" t="s">
        <v>365</v>
      </c>
      <c r="D61" s="89" t="s">
        <v>439</v>
      </c>
      <c r="E61" s="89" t="s">
        <v>1675</v>
      </c>
      <c r="F61" s="89"/>
      <c r="G61" s="86">
        <f>COUNTA(FuncEvalItems_Aggregate_All!J604:J606)</f>
        <v>3</v>
      </c>
      <c r="H61" s="86"/>
      <c r="I61" s="86"/>
      <c r="J61" s="86"/>
    </row>
    <row r="62" spans="2:10" ht="112.5" customHeight="1">
      <c r="B62" s="91" t="s">
        <v>883</v>
      </c>
      <c r="C62" s="89" t="s">
        <v>365</v>
      </c>
      <c r="D62" s="89" t="s">
        <v>13</v>
      </c>
      <c r="E62" s="89" t="s">
        <v>448</v>
      </c>
      <c r="F62" s="89"/>
      <c r="G62" s="86">
        <f>COUNTA(FuncEvalItems_Aggregate_All!J607:J614)</f>
        <v>8</v>
      </c>
      <c r="H62" s="86"/>
      <c r="I62" s="86"/>
      <c r="J62" s="86"/>
    </row>
    <row r="63" spans="2:10" ht="112.5" customHeight="1">
      <c r="B63" s="91" t="s">
        <v>888</v>
      </c>
      <c r="C63" s="89" t="s">
        <v>365</v>
      </c>
      <c r="D63" s="89" t="s">
        <v>457</v>
      </c>
      <c r="E63" s="89" t="s">
        <v>458</v>
      </c>
      <c r="F63" s="89"/>
      <c r="G63" s="86">
        <f>COUNTA(FuncEvalItems_Aggregate_All!J615:J634)</f>
        <v>20</v>
      </c>
      <c r="H63" s="86"/>
      <c r="I63" s="86"/>
      <c r="J63" s="86"/>
    </row>
    <row r="64" spans="2:10" ht="112.5" customHeight="1">
      <c r="B64" s="77" t="s">
        <v>899</v>
      </c>
      <c r="C64" s="71" t="s">
        <v>365</v>
      </c>
      <c r="D64" s="78" t="s">
        <v>14</v>
      </c>
      <c r="E64" s="71" t="s">
        <v>477</v>
      </c>
      <c r="F64" s="71"/>
      <c r="G64" s="86">
        <f>COUNTA(FuncEvalItems_Aggregate_All!J635)</f>
        <v>1</v>
      </c>
      <c r="H64" s="86"/>
      <c r="I64" s="86"/>
      <c r="J64" s="86"/>
    </row>
    <row r="65" spans="2:10" ht="112.5" customHeight="1">
      <c r="B65" s="91" t="s">
        <v>901</v>
      </c>
      <c r="C65" s="89" t="s">
        <v>365</v>
      </c>
      <c r="D65" s="89" t="s">
        <v>15</v>
      </c>
      <c r="E65" s="89" t="s">
        <v>1678</v>
      </c>
      <c r="F65" s="89"/>
      <c r="G65" s="86">
        <f>COUNTA(FuncEvalItems_Aggregate_All!J636:J648)</f>
        <v>13</v>
      </c>
      <c r="H65" s="86"/>
      <c r="I65" s="86"/>
      <c r="J65" s="86"/>
    </row>
    <row r="66" spans="2:10" ht="112.5" customHeight="1">
      <c r="B66" s="91" t="s">
        <v>905</v>
      </c>
      <c r="C66" s="89" t="s">
        <v>365</v>
      </c>
      <c r="D66" s="89" t="s">
        <v>10</v>
      </c>
      <c r="E66" s="89" t="s">
        <v>1680</v>
      </c>
      <c r="F66" s="89"/>
      <c r="G66" s="86">
        <f>COUNTA(FuncEvalItems_Aggregate_All!J649:J664)</f>
        <v>16</v>
      </c>
      <c r="H66" s="86"/>
      <c r="I66" s="86"/>
      <c r="J66" s="86"/>
    </row>
    <row r="67" spans="2:10" ht="112.5" customHeight="1">
      <c r="B67" s="92" t="s">
        <v>912</v>
      </c>
      <c r="C67" s="71" t="s">
        <v>365</v>
      </c>
      <c r="D67" s="71" t="s">
        <v>504</v>
      </c>
      <c r="E67" s="71" t="s">
        <v>505</v>
      </c>
      <c r="F67" s="71"/>
      <c r="G67" s="86">
        <f>COUNTA(FuncEvalItems_Aggregate_All!J665:J673)</f>
        <v>9</v>
      </c>
      <c r="H67" s="86"/>
      <c r="I67" s="86"/>
      <c r="J67" s="86"/>
    </row>
    <row r="68" spans="2:10" s="100" customFormat="1" ht="112.5" customHeight="1">
      <c r="B68" s="98" t="s">
        <v>933</v>
      </c>
      <c r="C68" s="99" t="s">
        <v>934</v>
      </c>
      <c r="D68" s="99" t="s">
        <v>935</v>
      </c>
      <c r="E68" s="99" t="s">
        <v>1706</v>
      </c>
      <c r="F68" s="99"/>
      <c r="G68" s="86">
        <f>COUNTA(FuncEvalItems_Aggregate_All!J674:J675)</f>
        <v>2</v>
      </c>
      <c r="H68" s="86"/>
      <c r="I68" s="86"/>
      <c r="J68" s="86"/>
    </row>
  </sheetData>
  <mergeCells count="6">
    <mergeCell ref="G8:H8"/>
    <mergeCell ref="G3:H3"/>
    <mergeCell ref="G4:H4"/>
    <mergeCell ref="G5:H5"/>
    <mergeCell ref="G6:H6"/>
    <mergeCell ref="G7:H7"/>
  </mergeCells>
  <phoneticPr fontId="1"/>
  <hyperlinks>
    <hyperlink ref="A1" location="目次!A1" display="目次" xr:uid="{00000000-0004-0000-0600-000000000000}"/>
  </hyperlinks>
  <pageMargins left="0.7" right="0.7" top="0.75" bottom="0.75" header="0.3" footer="0.3"/>
  <pageSetup paperSize="9" scale="50" orientation="portrait" r:id="rId1"/>
  <headerFooter>
    <oddHeader>&amp;Lメッセージ認証機能評価 単体機能評価仕様書
&amp;A&amp;R【CONFIDENTIAL】
T0100000015687</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dimension ref="A1:V675"/>
  <sheetViews>
    <sheetView view="pageBreakPreview" topLeftCell="A2" zoomScale="70" zoomScaleNormal="100" zoomScaleSheetLayoutView="70" workbookViewId="0">
      <pane xSplit="9" ySplit="7" topLeftCell="J9" activePane="bottomRight" state="frozen"/>
      <selection activeCell="A2" sqref="A2"/>
      <selection pane="topRight" activeCell="L2" sqref="L2"/>
      <selection pane="bottomLeft" activeCell="A9" sqref="A9"/>
      <selection pane="bottomRight" activeCell="G10" sqref="G10:G30"/>
    </sheetView>
  </sheetViews>
  <sheetFormatPr defaultColWidth="9" defaultRowHeight="15.75"/>
  <cols>
    <col min="1" max="1" width="4.140625" style="152" customWidth="1"/>
    <col min="2" max="2" width="5.28515625" style="152" bestFit="1" customWidth="1"/>
    <col min="3" max="3" width="14.42578125" style="153" customWidth="1"/>
    <col min="4" max="4" width="17.42578125" style="153" customWidth="1"/>
    <col min="5" max="5" width="25" style="153" customWidth="1"/>
    <col min="6" max="6" width="17.42578125" style="153" customWidth="1"/>
    <col min="7" max="7" width="92.42578125" style="153" customWidth="1"/>
    <col min="8" max="8" width="16.7109375" style="153" customWidth="1"/>
    <col min="9" max="9" width="17.42578125" style="153" customWidth="1"/>
    <col min="10" max="10" width="12.28515625" style="154" bestFit="1" customWidth="1"/>
    <col min="11" max="11" width="13" style="153" bestFit="1" customWidth="1"/>
    <col min="12" max="12" width="92.42578125" style="153" customWidth="1"/>
    <col min="13" max="13" width="25" style="153" customWidth="1"/>
    <col min="14" max="14" width="9" style="152" customWidth="1"/>
    <col min="15" max="17" width="7.42578125" style="152" customWidth="1"/>
    <col min="18" max="18" width="14" style="153" customWidth="1"/>
    <col min="19" max="19" width="22" style="152" customWidth="1"/>
    <col min="20" max="20" width="18.7109375" style="152" customWidth="1"/>
    <col min="21" max="21" width="26.28515625" style="152" customWidth="1"/>
    <col min="22" max="22" width="43.42578125" style="152" customWidth="1"/>
    <col min="23" max="16384" width="9" style="152"/>
  </cols>
  <sheetData>
    <row r="1" spans="1:22">
      <c r="A1" s="21" t="s">
        <v>82</v>
      </c>
    </row>
    <row r="2" spans="1:22" ht="16.5">
      <c r="A2" s="11" t="s">
        <v>66</v>
      </c>
    </row>
    <row r="4" spans="1:22" ht="21">
      <c r="B4" s="296" t="s">
        <v>321</v>
      </c>
      <c r="C4" s="296"/>
      <c r="D4" s="296"/>
      <c r="E4" s="296"/>
      <c r="F4" s="296"/>
      <c r="G4" s="296"/>
      <c r="H4" s="296"/>
      <c r="I4" s="296"/>
      <c r="J4" s="296" t="s">
        <v>86</v>
      </c>
      <c r="K4" s="296"/>
      <c r="L4" s="296"/>
      <c r="M4" s="297"/>
      <c r="N4" s="167"/>
      <c r="O4" s="166"/>
      <c r="P4" s="165"/>
      <c r="Q4" s="165"/>
      <c r="R4" s="164"/>
      <c r="S4" s="163"/>
      <c r="T4" s="162"/>
      <c r="U4" s="161"/>
      <c r="V4" s="160"/>
    </row>
    <row r="5" spans="1:22" ht="16.5" customHeight="1">
      <c r="B5" s="298" t="s">
        <v>322</v>
      </c>
      <c r="C5" s="300" t="s">
        <v>0</v>
      </c>
      <c r="D5" s="300" t="s">
        <v>1</v>
      </c>
      <c r="E5" s="300" t="s">
        <v>323</v>
      </c>
      <c r="F5" s="300" t="s">
        <v>3</v>
      </c>
      <c r="G5" s="300" t="s">
        <v>4</v>
      </c>
      <c r="H5" s="302" t="s">
        <v>1120</v>
      </c>
      <c r="I5" s="300" t="s">
        <v>5</v>
      </c>
      <c r="J5" s="304" t="s">
        <v>324</v>
      </c>
      <c r="K5" s="300" t="s">
        <v>325</v>
      </c>
      <c r="L5" s="300" t="s">
        <v>941</v>
      </c>
      <c r="M5" s="306" t="s">
        <v>5</v>
      </c>
      <c r="N5" s="300" t="s">
        <v>804</v>
      </c>
      <c r="O5" s="308" t="s">
        <v>942</v>
      </c>
      <c r="P5" s="309"/>
      <c r="Q5" s="310"/>
      <c r="R5" s="184" t="s">
        <v>1115</v>
      </c>
      <c r="S5" s="204" t="s">
        <v>1117</v>
      </c>
      <c r="T5" s="204" t="s">
        <v>1118</v>
      </c>
      <c r="U5" s="204" t="s">
        <v>1119</v>
      </c>
      <c r="V5" s="205" t="s">
        <v>5</v>
      </c>
    </row>
    <row r="6" spans="1:22" ht="47.25">
      <c r="B6" s="299"/>
      <c r="C6" s="301"/>
      <c r="D6" s="301"/>
      <c r="E6" s="301"/>
      <c r="F6" s="301"/>
      <c r="G6" s="301"/>
      <c r="H6" s="303"/>
      <c r="I6" s="301"/>
      <c r="J6" s="305"/>
      <c r="K6" s="301"/>
      <c r="L6" s="301"/>
      <c r="M6" s="307"/>
      <c r="N6" s="301"/>
      <c r="O6" s="159" t="s">
        <v>1649</v>
      </c>
      <c r="P6" s="158" t="s">
        <v>1659</v>
      </c>
      <c r="Q6" s="158" t="s">
        <v>1660</v>
      </c>
      <c r="R6" s="157" t="s">
        <v>1116</v>
      </c>
      <c r="S6" s="206"/>
      <c r="T6" s="206"/>
      <c r="U6" s="206"/>
      <c r="V6" s="207"/>
    </row>
    <row r="7" spans="1:22" ht="16.5" customHeight="1">
      <c r="B7" s="151"/>
      <c r="C7" s="149"/>
      <c r="D7" s="149"/>
      <c r="E7" s="149"/>
      <c r="F7" s="149"/>
      <c r="G7" s="149"/>
      <c r="H7" s="149"/>
      <c r="I7" s="149"/>
      <c r="J7" s="150"/>
      <c r="K7" s="149"/>
      <c r="L7" s="149"/>
      <c r="M7" s="149"/>
      <c r="N7" s="149"/>
      <c r="O7" s="151"/>
      <c r="P7" s="149"/>
      <c r="Q7" s="149"/>
      <c r="R7" s="108"/>
      <c r="S7" s="206"/>
      <c r="T7" s="206"/>
      <c r="U7" s="206"/>
      <c r="V7" s="207"/>
    </row>
    <row r="8" spans="1:22">
      <c r="B8" s="73"/>
      <c r="C8" s="74"/>
      <c r="D8" s="74"/>
      <c r="E8" s="74"/>
      <c r="F8" s="74"/>
      <c r="G8" s="74"/>
      <c r="H8" s="74"/>
      <c r="I8" s="74"/>
      <c r="J8" s="102"/>
      <c r="K8" s="74"/>
      <c r="L8" s="74"/>
      <c r="M8" s="74"/>
      <c r="N8" s="74"/>
      <c r="O8" s="101"/>
      <c r="P8" s="101"/>
      <c r="Q8" s="101"/>
      <c r="R8" s="109"/>
      <c r="S8" s="208"/>
      <c r="T8" s="208"/>
      <c r="U8" s="208"/>
      <c r="V8" s="208"/>
    </row>
    <row r="9" spans="1:22" ht="78.75">
      <c r="B9" s="75" t="s">
        <v>326</v>
      </c>
      <c r="C9" s="106" t="s">
        <v>7</v>
      </c>
      <c r="D9" s="106" t="s">
        <v>327</v>
      </c>
      <c r="E9" s="106" t="s">
        <v>328</v>
      </c>
      <c r="F9" s="106" t="s">
        <v>22</v>
      </c>
      <c r="G9" s="106" t="s">
        <v>1814</v>
      </c>
      <c r="H9" s="106"/>
      <c r="I9" s="106"/>
      <c r="J9" s="76" t="s">
        <v>329</v>
      </c>
      <c r="K9" s="106" t="s">
        <v>1659</v>
      </c>
      <c r="L9" s="106" t="s">
        <v>97</v>
      </c>
      <c r="M9" s="106"/>
      <c r="N9" s="155" t="s">
        <v>30</v>
      </c>
      <c r="O9" s="155" t="s">
        <v>22</v>
      </c>
      <c r="P9" s="155" t="s">
        <v>22</v>
      </c>
      <c r="Q9" s="155" t="s">
        <v>22</v>
      </c>
      <c r="R9" s="106" t="s">
        <v>1017</v>
      </c>
      <c r="S9" s="155"/>
      <c r="T9" s="155"/>
      <c r="U9" s="155"/>
      <c r="V9" s="155"/>
    </row>
    <row r="10" spans="1:22" ht="63" customHeight="1">
      <c r="B10" s="311" t="s">
        <v>330</v>
      </c>
      <c r="C10" s="313" t="s">
        <v>7</v>
      </c>
      <c r="D10" s="313" t="s">
        <v>331</v>
      </c>
      <c r="E10" s="313" t="s">
        <v>332</v>
      </c>
      <c r="F10" s="313" t="s">
        <v>22</v>
      </c>
      <c r="G10" s="313" t="s">
        <v>1954</v>
      </c>
      <c r="H10" s="313"/>
      <c r="I10" s="313" t="s">
        <v>982</v>
      </c>
      <c r="J10" s="103" t="s">
        <v>1738</v>
      </c>
      <c r="K10" s="313" t="s">
        <v>1659</v>
      </c>
      <c r="L10" s="313" t="s">
        <v>1022</v>
      </c>
      <c r="M10" s="110" t="s">
        <v>1833</v>
      </c>
      <c r="N10" s="155" t="s">
        <v>815</v>
      </c>
      <c r="O10" s="155" t="s">
        <v>22</v>
      </c>
      <c r="P10" s="155" t="s">
        <v>22</v>
      </c>
      <c r="Q10" s="155" t="s">
        <v>22</v>
      </c>
      <c r="R10" s="106" t="s">
        <v>945</v>
      </c>
      <c r="S10" s="169"/>
      <c r="T10" s="169"/>
      <c r="U10" s="169"/>
      <c r="V10" s="170"/>
    </row>
    <row r="11" spans="1:22" ht="47.25">
      <c r="B11" s="312"/>
      <c r="C11" s="314"/>
      <c r="D11" s="314"/>
      <c r="E11" s="314"/>
      <c r="F11" s="314"/>
      <c r="G11" s="314"/>
      <c r="H11" s="314"/>
      <c r="I11" s="314"/>
      <c r="J11" s="103" t="s">
        <v>1286</v>
      </c>
      <c r="K11" s="315"/>
      <c r="L11" s="315"/>
      <c r="M11" s="106" t="s">
        <v>1834</v>
      </c>
      <c r="N11" s="155" t="s">
        <v>815</v>
      </c>
      <c r="O11" s="155" t="s">
        <v>22</v>
      </c>
      <c r="P11" s="155" t="s">
        <v>944</v>
      </c>
      <c r="Q11" s="155" t="s">
        <v>22</v>
      </c>
      <c r="R11" s="106" t="s">
        <v>945</v>
      </c>
      <c r="S11" s="169"/>
      <c r="T11" s="169"/>
      <c r="U11" s="169"/>
      <c r="V11" s="169"/>
    </row>
    <row r="12" spans="1:22" ht="63">
      <c r="B12" s="312"/>
      <c r="C12" s="314"/>
      <c r="D12" s="314"/>
      <c r="E12" s="314"/>
      <c r="F12" s="314"/>
      <c r="G12" s="314"/>
      <c r="H12" s="314"/>
      <c r="I12" s="314"/>
      <c r="J12" s="103" t="s">
        <v>946</v>
      </c>
      <c r="K12" s="313" t="s">
        <v>1659</v>
      </c>
      <c r="L12" s="313" t="s">
        <v>823</v>
      </c>
      <c r="M12" s="104" t="s">
        <v>1833</v>
      </c>
      <c r="N12" s="155" t="s">
        <v>815</v>
      </c>
      <c r="O12" s="155" t="s">
        <v>22</v>
      </c>
      <c r="P12" s="155" t="s">
        <v>22</v>
      </c>
      <c r="Q12" s="155" t="s">
        <v>22</v>
      </c>
      <c r="R12" s="106" t="s">
        <v>945</v>
      </c>
      <c r="S12" s="169"/>
      <c r="T12" s="169"/>
      <c r="U12" s="169"/>
      <c r="V12" s="169"/>
    </row>
    <row r="13" spans="1:22" ht="47.25">
      <c r="B13" s="312"/>
      <c r="C13" s="314"/>
      <c r="D13" s="314"/>
      <c r="E13" s="314"/>
      <c r="F13" s="314"/>
      <c r="G13" s="314"/>
      <c r="H13" s="314"/>
      <c r="I13" s="314"/>
      <c r="J13" s="103" t="s">
        <v>947</v>
      </c>
      <c r="K13" s="315"/>
      <c r="L13" s="315"/>
      <c r="M13" s="106" t="s">
        <v>1834</v>
      </c>
      <c r="N13" s="155" t="s">
        <v>815</v>
      </c>
      <c r="O13" s="155" t="s">
        <v>22</v>
      </c>
      <c r="P13" s="155" t="s">
        <v>944</v>
      </c>
      <c r="Q13" s="155" t="s">
        <v>22</v>
      </c>
      <c r="R13" s="106" t="s">
        <v>945</v>
      </c>
      <c r="S13" s="169"/>
      <c r="T13" s="169"/>
      <c r="U13" s="169"/>
      <c r="V13" s="169"/>
    </row>
    <row r="14" spans="1:22" ht="63">
      <c r="B14" s="312"/>
      <c r="C14" s="314"/>
      <c r="D14" s="314"/>
      <c r="E14" s="314"/>
      <c r="F14" s="314"/>
      <c r="G14" s="314"/>
      <c r="H14" s="314"/>
      <c r="I14" s="314"/>
      <c r="J14" s="103" t="s">
        <v>948</v>
      </c>
      <c r="K14" s="313" t="s">
        <v>1659</v>
      </c>
      <c r="L14" s="313" t="s">
        <v>1762</v>
      </c>
      <c r="M14" s="110" t="s">
        <v>1833</v>
      </c>
      <c r="N14" s="155" t="s">
        <v>815</v>
      </c>
      <c r="O14" s="155" t="s">
        <v>22</v>
      </c>
      <c r="P14" s="155" t="s">
        <v>22</v>
      </c>
      <c r="Q14" s="155" t="s">
        <v>22</v>
      </c>
      <c r="R14" s="106" t="s">
        <v>945</v>
      </c>
      <c r="S14" s="169"/>
      <c r="T14" s="169"/>
      <c r="U14" s="169"/>
      <c r="V14" s="170"/>
    </row>
    <row r="15" spans="1:22" ht="47.25">
      <c r="B15" s="312"/>
      <c r="C15" s="314"/>
      <c r="D15" s="314"/>
      <c r="E15" s="314"/>
      <c r="F15" s="314"/>
      <c r="G15" s="314"/>
      <c r="H15" s="314"/>
      <c r="I15" s="314"/>
      <c r="J15" s="103" t="s">
        <v>949</v>
      </c>
      <c r="K15" s="315"/>
      <c r="L15" s="315"/>
      <c r="M15" s="106" t="s">
        <v>1834</v>
      </c>
      <c r="N15" s="155" t="s">
        <v>815</v>
      </c>
      <c r="O15" s="155" t="s">
        <v>22</v>
      </c>
      <c r="P15" s="155" t="s">
        <v>944</v>
      </c>
      <c r="Q15" s="155" t="s">
        <v>22</v>
      </c>
      <c r="R15" s="106" t="s">
        <v>945</v>
      </c>
      <c r="S15" s="169"/>
      <c r="T15" s="169"/>
      <c r="U15" s="169"/>
      <c r="V15" s="169"/>
    </row>
    <row r="16" spans="1:22" ht="63">
      <c r="B16" s="312"/>
      <c r="C16" s="314"/>
      <c r="D16" s="314"/>
      <c r="E16" s="314"/>
      <c r="F16" s="314"/>
      <c r="G16" s="314"/>
      <c r="H16" s="314"/>
      <c r="I16" s="314"/>
      <c r="J16" s="103" t="s">
        <v>951</v>
      </c>
      <c r="K16" s="313" t="s">
        <v>1659</v>
      </c>
      <c r="L16" s="313" t="s">
        <v>1763</v>
      </c>
      <c r="M16" s="110" t="s">
        <v>1833</v>
      </c>
      <c r="N16" s="155" t="s">
        <v>815</v>
      </c>
      <c r="O16" s="155" t="s">
        <v>22</v>
      </c>
      <c r="P16" s="155" t="s">
        <v>22</v>
      </c>
      <c r="Q16" s="155" t="s">
        <v>22</v>
      </c>
      <c r="R16" s="106" t="s">
        <v>945</v>
      </c>
      <c r="S16" s="169"/>
      <c r="T16" s="169"/>
      <c r="U16" s="169"/>
      <c r="V16" s="170"/>
    </row>
    <row r="17" spans="2:22" ht="47.25">
      <c r="B17" s="312"/>
      <c r="C17" s="314"/>
      <c r="D17" s="314"/>
      <c r="E17" s="314"/>
      <c r="F17" s="314"/>
      <c r="G17" s="314"/>
      <c r="H17" s="314"/>
      <c r="I17" s="314"/>
      <c r="J17" s="103" t="s">
        <v>953</v>
      </c>
      <c r="K17" s="315"/>
      <c r="L17" s="315"/>
      <c r="M17" s="106" t="s">
        <v>1834</v>
      </c>
      <c r="N17" s="155" t="s">
        <v>815</v>
      </c>
      <c r="O17" s="155" t="s">
        <v>22</v>
      </c>
      <c r="P17" s="155" t="s">
        <v>944</v>
      </c>
      <c r="Q17" s="155" t="s">
        <v>22</v>
      </c>
      <c r="R17" s="106" t="s">
        <v>945</v>
      </c>
      <c r="S17" s="155"/>
      <c r="T17" s="155"/>
      <c r="U17" s="155"/>
      <c r="V17" s="155"/>
    </row>
    <row r="18" spans="2:22" ht="63">
      <c r="B18" s="312"/>
      <c r="C18" s="314"/>
      <c r="D18" s="314"/>
      <c r="E18" s="314"/>
      <c r="F18" s="314"/>
      <c r="G18" s="314"/>
      <c r="H18" s="314"/>
      <c r="I18" s="314"/>
      <c r="J18" s="103" t="s">
        <v>952</v>
      </c>
      <c r="K18" s="313" t="s">
        <v>1659</v>
      </c>
      <c r="L18" s="313" t="s">
        <v>1764</v>
      </c>
      <c r="M18" s="104" t="s">
        <v>1833</v>
      </c>
      <c r="N18" s="155" t="s">
        <v>815</v>
      </c>
      <c r="O18" s="155" t="s">
        <v>22</v>
      </c>
      <c r="P18" s="155" t="s">
        <v>22</v>
      </c>
      <c r="Q18" s="155" t="s">
        <v>22</v>
      </c>
      <c r="R18" s="106" t="s">
        <v>945</v>
      </c>
      <c r="S18" s="155"/>
      <c r="T18" s="155"/>
      <c r="U18" s="155"/>
      <c r="V18" s="155"/>
    </row>
    <row r="19" spans="2:22" ht="47.25">
      <c r="B19" s="312"/>
      <c r="C19" s="314"/>
      <c r="D19" s="314"/>
      <c r="E19" s="314"/>
      <c r="F19" s="314"/>
      <c r="G19" s="314"/>
      <c r="H19" s="314"/>
      <c r="I19" s="314"/>
      <c r="J19" s="103" t="s">
        <v>954</v>
      </c>
      <c r="K19" s="315"/>
      <c r="L19" s="315"/>
      <c r="M19" s="106" t="s">
        <v>1834</v>
      </c>
      <c r="N19" s="155" t="s">
        <v>815</v>
      </c>
      <c r="O19" s="155" t="s">
        <v>22</v>
      </c>
      <c r="P19" s="155" t="s">
        <v>944</v>
      </c>
      <c r="Q19" s="155" t="s">
        <v>22</v>
      </c>
      <c r="R19" s="106" t="s">
        <v>945</v>
      </c>
      <c r="S19" s="155"/>
      <c r="T19" s="155"/>
      <c r="U19" s="155"/>
      <c r="V19" s="155"/>
    </row>
    <row r="20" spans="2:22" ht="63">
      <c r="B20" s="312"/>
      <c r="C20" s="314"/>
      <c r="D20" s="314"/>
      <c r="E20" s="314"/>
      <c r="F20" s="314"/>
      <c r="G20" s="314"/>
      <c r="H20" s="314"/>
      <c r="I20" s="314"/>
      <c r="J20" s="103" t="s">
        <v>955</v>
      </c>
      <c r="K20" s="313" t="s">
        <v>1659</v>
      </c>
      <c r="L20" s="313" t="s">
        <v>1765</v>
      </c>
      <c r="M20" s="104" t="s">
        <v>1833</v>
      </c>
      <c r="N20" s="155" t="s">
        <v>815</v>
      </c>
      <c r="O20" s="155" t="s">
        <v>22</v>
      </c>
      <c r="P20" s="155" t="s">
        <v>22</v>
      </c>
      <c r="Q20" s="155" t="s">
        <v>22</v>
      </c>
      <c r="R20" s="106" t="s">
        <v>945</v>
      </c>
      <c r="S20" s="155"/>
      <c r="T20" s="155"/>
      <c r="U20" s="155"/>
      <c r="V20" s="155"/>
    </row>
    <row r="21" spans="2:22" ht="47.25">
      <c r="B21" s="312"/>
      <c r="C21" s="314"/>
      <c r="D21" s="314"/>
      <c r="E21" s="314"/>
      <c r="F21" s="314"/>
      <c r="G21" s="314"/>
      <c r="H21" s="314"/>
      <c r="I21" s="314"/>
      <c r="J21" s="103" t="s">
        <v>956</v>
      </c>
      <c r="K21" s="315"/>
      <c r="L21" s="315"/>
      <c r="M21" s="106" t="s">
        <v>1834</v>
      </c>
      <c r="N21" s="155" t="s">
        <v>815</v>
      </c>
      <c r="O21" s="155" t="s">
        <v>22</v>
      </c>
      <c r="P21" s="155" t="s">
        <v>944</v>
      </c>
      <c r="Q21" s="155" t="s">
        <v>22</v>
      </c>
      <c r="R21" s="106" t="s">
        <v>945</v>
      </c>
      <c r="S21" s="155"/>
      <c r="T21" s="155"/>
      <c r="U21" s="155"/>
      <c r="V21" s="155"/>
    </row>
    <row r="22" spans="2:22" ht="63">
      <c r="B22" s="312"/>
      <c r="C22" s="314"/>
      <c r="D22" s="314"/>
      <c r="E22" s="314"/>
      <c r="F22" s="314"/>
      <c r="G22" s="314"/>
      <c r="H22" s="314"/>
      <c r="I22" s="314"/>
      <c r="J22" s="103" t="s">
        <v>957</v>
      </c>
      <c r="K22" s="313" t="s">
        <v>1659</v>
      </c>
      <c r="L22" s="313" t="s">
        <v>1666</v>
      </c>
      <c r="M22" s="104" t="s">
        <v>1833</v>
      </c>
      <c r="N22" s="155" t="s">
        <v>815</v>
      </c>
      <c r="O22" s="155" t="s">
        <v>22</v>
      </c>
      <c r="P22" s="155" t="s">
        <v>22</v>
      </c>
      <c r="Q22" s="155" t="s">
        <v>22</v>
      </c>
      <c r="R22" s="106" t="s">
        <v>945</v>
      </c>
      <c r="S22" s="155"/>
      <c r="T22" s="155"/>
      <c r="U22" s="155"/>
      <c r="V22" s="155"/>
    </row>
    <row r="23" spans="2:22" ht="47.25">
      <c r="B23" s="312"/>
      <c r="C23" s="314"/>
      <c r="D23" s="314"/>
      <c r="E23" s="314"/>
      <c r="F23" s="314"/>
      <c r="G23" s="314"/>
      <c r="H23" s="314"/>
      <c r="I23" s="314"/>
      <c r="J23" s="103" t="s">
        <v>958</v>
      </c>
      <c r="K23" s="315"/>
      <c r="L23" s="315"/>
      <c r="M23" s="106" t="s">
        <v>1834</v>
      </c>
      <c r="N23" s="155" t="s">
        <v>815</v>
      </c>
      <c r="O23" s="155" t="s">
        <v>22</v>
      </c>
      <c r="P23" s="155" t="s">
        <v>944</v>
      </c>
      <c r="Q23" s="155" t="s">
        <v>22</v>
      </c>
      <c r="R23" s="106" t="s">
        <v>945</v>
      </c>
      <c r="S23" s="155"/>
      <c r="T23" s="155"/>
      <c r="U23" s="155"/>
      <c r="V23" s="155"/>
    </row>
    <row r="24" spans="2:22" ht="31.5">
      <c r="B24" s="312"/>
      <c r="C24" s="314"/>
      <c r="D24" s="314"/>
      <c r="E24" s="314"/>
      <c r="F24" s="314"/>
      <c r="G24" s="314"/>
      <c r="H24" s="314"/>
      <c r="I24" s="314"/>
      <c r="J24" s="76" t="s">
        <v>334</v>
      </c>
      <c r="K24" s="106" t="s">
        <v>1659</v>
      </c>
      <c r="L24" s="106" t="s">
        <v>824</v>
      </c>
      <c r="M24" s="104"/>
      <c r="N24" s="155" t="s">
        <v>815</v>
      </c>
      <c r="O24" s="155" t="s">
        <v>22</v>
      </c>
      <c r="P24" s="155" t="s">
        <v>22</v>
      </c>
      <c r="Q24" s="155" t="s">
        <v>22</v>
      </c>
      <c r="R24" s="106" t="s">
        <v>945</v>
      </c>
      <c r="S24" s="155"/>
      <c r="T24" s="155"/>
      <c r="U24" s="155"/>
      <c r="V24" s="155"/>
    </row>
    <row r="25" spans="2:22" ht="63">
      <c r="B25" s="312"/>
      <c r="C25" s="314"/>
      <c r="D25" s="314"/>
      <c r="E25" s="314"/>
      <c r="F25" s="314"/>
      <c r="G25" s="314"/>
      <c r="H25" s="314"/>
      <c r="I25" s="314"/>
      <c r="J25" s="103" t="s">
        <v>959</v>
      </c>
      <c r="K25" s="313" t="s">
        <v>1659</v>
      </c>
      <c r="L25" s="313" t="s">
        <v>1955</v>
      </c>
      <c r="M25" s="104" t="s">
        <v>1833</v>
      </c>
      <c r="N25" s="155" t="s">
        <v>815</v>
      </c>
      <c r="O25" s="155" t="s">
        <v>22</v>
      </c>
      <c r="P25" s="155" t="s">
        <v>22</v>
      </c>
      <c r="Q25" s="155" t="s">
        <v>22</v>
      </c>
      <c r="R25" s="106" t="s">
        <v>945</v>
      </c>
      <c r="S25" s="155"/>
      <c r="T25" s="155"/>
      <c r="U25" s="155"/>
      <c r="V25" s="155"/>
    </row>
    <row r="26" spans="2:22" ht="47.25">
      <c r="B26" s="312"/>
      <c r="C26" s="314"/>
      <c r="D26" s="314"/>
      <c r="E26" s="314"/>
      <c r="F26" s="314"/>
      <c r="G26" s="314"/>
      <c r="H26" s="314"/>
      <c r="I26" s="314"/>
      <c r="J26" s="103" t="s">
        <v>960</v>
      </c>
      <c r="K26" s="315"/>
      <c r="L26" s="315"/>
      <c r="M26" s="106" t="s">
        <v>1834</v>
      </c>
      <c r="N26" s="155" t="s">
        <v>815</v>
      </c>
      <c r="O26" s="155" t="s">
        <v>22</v>
      </c>
      <c r="P26" s="155" t="s">
        <v>944</v>
      </c>
      <c r="Q26" s="155" t="s">
        <v>22</v>
      </c>
      <c r="R26" s="106" t="s">
        <v>945</v>
      </c>
      <c r="S26" s="155"/>
      <c r="T26" s="155"/>
      <c r="U26" s="155"/>
      <c r="V26" s="155"/>
    </row>
    <row r="27" spans="2:22" ht="31.5">
      <c r="B27" s="312"/>
      <c r="C27" s="314"/>
      <c r="D27" s="314"/>
      <c r="E27" s="314"/>
      <c r="F27" s="314"/>
      <c r="G27" s="314"/>
      <c r="H27" s="314"/>
      <c r="I27" s="314"/>
      <c r="J27" s="76" t="s">
        <v>335</v>
      </c>
      <c r="K27" s="106" t="s">
        <v>1659</v>
      </c>
      <c r="L27" s="106" t="s">
        <v>824</v>
      </c>
      <c r="M27" s="104"/>
      <c r="N27" s="155" t="s">
        <v>815</v>
      </c>
      <c r="O27" s="155" t="s">
        <v>22</v>
      </c>
      <c r="P27" s="155" t="s">
        <v>22</v>
      </c>
      <c r="Q27" s="155" t="s">
        <v>22</v>
      </c>
      <c r="R27" s="106" t="s">
        <v>945</v>
      </c>
      <c r="S27" s="155"/>
      <c r="T27" s="155"/>
      <c r="U27" s="155"/>
      <c r="V27" s="155"/>
    </row>
    <row r="28" spans="2:22" ht="63">
      <c r="B28" s="312"/>
      <c r="C28" s="314"/>
      <c r="D28" s="314"/>
      <c r="E28" s="314"/>
      <c r="F28" s="314"/>
      <c r="G28" s="314"/>
      <c r="H28" s="314"/>
      <c r="I28" s="314"/>
      <c r="J28" s="103" t="s">
        <v>961</v>
      </c>
      <c r="K28" s="313" t="s">
        <v>1659</v>
      </c>
      <c r="L28" s="313" t="s">
        <v>1016</v>
      </c>
      <c r="M28" s="104" t="s">
        <v>1833</v>
      </c>
      <c r="N28" s="155" t="s">
        <v>815</v>
      </c>
      <c r="O28" s="155" t="s">
        <v>22</v>
      </c>
      <c r="P28" s="155" t="s">
        <v>22</v>
      </c>
      <c r="Q28" s="155" t="s">
        <v>22</v>
      </c>
      <c r="R28" s="106" t="s">
        <v>945</v>
      </c>
      <c r="S28" s="155"/>
      <c r="T28" s="155"/>
      <c r="U28" s="155"/>
      <c r="V28" s="155"/>
    </row>
    <row r="29" spans="2:22" ht="47.25">
      <c r="B29" s="312"/>
      <c r="C29" s="314"/>
      <c r="D29" s="314"/>
      <c r="E29" s="314"/>
      <c r="F29" s="314"/>
      <c r="G29" s="314"/>
      <c r="H29" s="314"/>
      <c r="I29" s="314"/>
      <c r="J29" s="103" t="s">
        <v>962</v>
      </c>
      <c r="K29" s="315"/>
      <c r="L29" s="315"/>
      <c r="M29" s="106" t="s">
        <v>1834</v>
      </c>
      <c r="N29" s="155" t="s">
        <v>815</v>
      </c>
      <c r="O29" s="155" t="s">
        <v>22</v>
      </c>
      <c r="P29" s="155" t="s">
        <v>944</v>
      </c>
      <c r="Q29" s="155" t="s">
        <v>22</v>
      </c>
      <c r="R29" s="106" t="s">
        <v>945</v>
      </c>
      <c r="S29" s="155"/>
      <c r="T29" s="155"/>
      <c r="U29" s="155"/>
      <c r="V29" s="155"/>
    </row>
    <row r="30" spans="2:22" ht="31.5">
      <c r="B30" s="312"/>
      <c r="C30" s="314"/>
      <c r="D30" s="314"/>
      <c r="E30" s="314"/>
      <c r="F30" s="314"/>
      <c r="G30" s="314"/>
      <c r="H30" s="314"/>
      <c r="I30" s="314"/>
      <c r="J30" s="76" t="s">
        <v>336</v>
      </c>
      <c r="K30" s="106" t="s">
        <v>1659</v>
      </c>
      <c r="L30" s="106" t="s">
        <v>824</v>
      </c>
      <c r="M30" s="106"/>
      <c r="N30" s="155" t="s">
        <v>815</v>
      </c>
      <c r="O30" s="155" t="s">
        <v>22</v>
      </c>
      <c r="P30" s="155" t="s">
        <v>22</v>
      </c>
      <c r="Q30" s="155" t="s">
        <v>22</v>
      </c>
      <c r="R30" s="106" t="s">
        <v>945</v>
      </c>
      <c r="S30" s="155"/>
      <c r="T30" s="155"/>
      <c r="U30" s="155"/>
      <c r="V30" s="155"/>
    </row>
    <row r="31" spans="2:22" ht="99" customHeight="1">
      <c r="B31" s="311" t="s">
        <v>337</v>
      </c>
      <c r="C31" s="313" t="s">
        <v>7</v>
      </c>
      <c r="D31" s="313" t="s">
        <v>338</v>
      </c>
      <c r="E31" s="313" t="s">
        <v>47</v>
      </c>
      <c r="F31" s="313" t="s">
        <v>22</v>
      </c>
      <c r="G31" s="313" t="s">
        <v>1766</v>
      </c>
      <c r="H31" s="313"/>
      <c r="I31" s="313"/>
      <c r="J31" s="76" t="s">
        <v>339</v>
      </c>
      <c r="K31" s="106" t="s">
        <v>1659</v>
      </c>
      <c r="L31" s="106" t="s">
        <v>340</v>
      </c>
      <c r="M31" s="106"/>
      <c r="N31" s="155" t="s">
        <v>30</v>
      </c>
      <c r="O31" s="155" t="s">
        <v>22</v>
      </c>
      <c r="P31" s="155" t="s">
        <v>22</v>
      </c>
      <c r="Q31" s="155" t="s">
        <v>22</v>
      </c>
      <c r="R31" s="106" t="s">
        <v>1017</v>
      </c>
      <c r="S31" s="155"/>
      <c r="T31" s="155"/>
      <c r="U31" s="155"/>
      <c r="V31" s="155"/>
    </row>
    <row r="32" spans="2:22" ht="94.5">
      <c r="B32" s="316"/>
      <c r="C32" s="315"/>
      <c r="D32" s="315"/>
      <c r="E32" s="315"/>
      <c r="F32" s="315"/>
      <c r="G32" s="315"/>
      <c r="H32" s="315"/>
      <c r="I32" s="315"/>
      <c r="J32" s="76" t="s">
        <v>341</v>
      </c>
      <c r="K32" s="106" t="s">
        <v>1659</v>
      </c>
      <c r="L32" s="106" t="s">
        <v>1832</v>
      </c>
      <c r="M32" s="106"/>
      <c r="N32" s="155" t="s">
        <v>30</v>
      </c>
      <c r="O32" s="155" t="s">
        <v>22</v>
      </c>
      <c r="P32" s="155" t="s">
        <v>22</v>
      </c>
      <c r="Q32" s="155" t="s">
        <v>22</v>
      </c>
      <c r="R32" s="106" t="s">
        <v>1017</v>
      </c>
      <c r="S32" s="155"/>
      <c r="T32" s="155"/>
      <c r="U32" s="155"/>
      <c r="V32" s="155"/>
    </row>
    <row r="33" spans="2:22" ht="94.5" customHeight="1">
      <c r="B33" s="311" t="s">
        <v>342</v>
      </c>
      <c r="C33" s="313" t="s">
        <v>7</v>
      </c>
      <c r="D33" s="313" t="s">
        <v>14</v>
      </c>
      <c r="E33" s="313" t="s">
        <v>343</v>
      </c>
      <c r="F33" s="313" t="s">
        <v>22</v>
      </c>
      <c r="G33" s="313" t="s">
        <v>1956</v>
      </c>
      <c r="H33" s="313"/>
      <c r="I33" s="320"/>
      <c r="J33" s="76" t="s">
        <v>344</v>
      </c>
      <c r="K33" s="106" t="s">
        <v>1659</v>
      </c>
      <c r="L33" s="106" t="s">
        <v>1667</v>
      </c>
      <c r="M33" s="106"/>
      <c r="N33" s="155" t="s">
        <v>815</v>
      </c>
      <c r="O33" s="155" t="s">
        <v>22</v>
      </c>
      <c r="P33" s="155" t="s">
        <v>22</v>
      </c>
      <c r="Q33" s="155" t="s">
        <v>22</v>
      </c>
      <c r="R33" s="106" t="s">
        <v>1017</v>
      </c>
      <c r="S33" s="155"/>
      <c r="T33" s="155"/>
      <c r="U33" s="155"/>
      <c r="V33" s="155"/>
    </row>
    <row r="34" spans="2:22" ht="63">
      <c r="B34" s="316"/>
      <c r="C34" s="315"/>
      <c r="D34" s="315"/>
      <c r="E34" s="315"/>
      <c r="F34" s="315"/>
      <c r="G34" s="315"/>
      <c r="H34" s="315"/>
      <c r="I34" s="321"/>
      <c r="J34" s="76" t="s">
        <v>1031</v>
      </c>
      <c r="K34" s="106" t="s">
        <v>1659</v>
      </c>
      <c r="L34" s="106" t="s">
        <v>1957</v>
      </c>
      <c r="M34" s="106"/>
      <c r="N34" s="155" t="s">
        <v>815</v>
      </c>
      <c r="O34" s="155" t="s">
        <v>22</v>
      </c>
      <c r="P34" s="155" t="s">
        <v>22</v>
      </c>
      <c r="Q34" s="155" t="s">
        <v>22</v>
      </c>
      <c r="R34" s="106" t="s">
        <v>1017</v>
      </c>
      <c r="S34" s="155"/>
      <c r="T34" s="155"/>
      <c r="U34" s="155"/>
      <c r="V34" s="155"/>
    </row>
    <row r="35" spans="2:22" ht="47.25" customHeight="1">
      <c r="B35" s="317" t="s">
        <v>345</v>
      </c>
      <c r="C35" s="313" t="s">
        <v>7</v>
      </c>
      <c r="D35" s="313" t="s">
        <v>346</v>
      </c>
      <c r="E35" s="313" t="s">
        <v>347</v>
      </c>
      <c r="F35" s="313" t="s">
        <v>348</v>
      </c>
      <c r="G35" s="313" t="s">
        <v>1709</v>
      </c>
      <c r="H35" s="313"/>
      <c r="I35" s="313"/>
      <c r="J35" s="103" t="s">
        <v>966</v>
      </c>
      <c r="K35" s="313" t="s">
        <v>1659</v>
      </c>
      <c r="L35" s="313" t="s">
        <v>1767</v>
      </c>
      <c r="M35" s="106" t="s">
        <v>1835</v>
      </c>
      <c r="N35" s="155" t="s">
        <v>30</v>
      </c>
      <c r="O35" s="155" t="s">
        <v>22</v>
      </c>
      <c r="P35" s="155" t="s">
        <v>22</v>
      </c>
      <c r="Q35" s="155" t="s">
        <v>22</v>
      </c>
      <c r="R35" s="106" t="s">
        <v>1017</v>
      </c>
      <c r="S35" s="155"/>
      <c r="T35" s="155"/>
      <c r="U35" s="155"/>
      <c r="V35" s="155"/>
    </row>
    <row r="36" spans="2:22" ht="63">
      <c r="B36" s="318"/>
      <c r="C36" s="314"/>
      <c r="D36" s="314"/>
      <c r="E36" s="314"/>
      <c r="F36" s="314"/>
      <c r="G36" s="314"/>
      <c r="H36" s="314"/>
      <c r="I36" s="314"/>
      <c r="J36" s="103" t="s">
        <v>967</v>
      </c>
      <c r="K36" s="315"/>
      <c r="L36" s="315"/>
      <c r="M36" s="106" t="s">
        <v>1836</v>
      </c>
      <c r="N36" s="155" t="s">
        <v>30</v>
      </c>
      <c r="O36" s="155" t="s">
        <v>22</v>
      </c>
      <c r="P36" s="155" t="s">
        <v>944</v>
      </c>
      <c r="Q36" s="155" t="s">
        <v>22</v>
      </c>
      <c r="R36" s="106" t="s">
        <v>945</v>
      </c>
      <c r="S36" s="155"/>
      <c r="T36" s="155"/>
      <c r="U36" s="155"/>
      <c r="V36" s="155"/>
    </row>
    <row r="37" spans="2:22" ht="47.25">
      <c r="B37" s="318"/>
      <c r="C37" s="314"/>
      <c r="D37" s="314"/>
      <c r="E37" s="314"/>
      <c r="F37" s="314"/>
      <c r="G37" s="314"/>
      <c r="H37" s="314"/>
      <c r="I37" s="314"/>
      <c r="J37" s="103" t="s">
        <v>968</v>
      </c>
      <c r="K37" s="313" t="s">
        <v>1659</v>
      </c>
      <c r="L37" s="313" t="s">
        <v>1768</v>
      </c>
      <c r="M37" s="106" t="s">
        <v>1835</v>
      </c>
      <c r="N37" s="155" t="s">
        <v>30</v>
      </c>
      <c r="O37" s="155" t="s">
        <v>22</v>
      </c>
      <c r="P37" s="155" t="s">
        <v>22</v>
      </c>
      <c r="Q37" s="155" t="s">
        <v>22</v>
      </c>
      <c r="R37" s="106" t="s">
        <v>1017</v>
      </c>
      <c r="S37" s="155"/>
      <c r="T37" s="155"/>
      <c r="U37" s="155"/>
      <c r="V37" s="155"/>
    </row>
    <row r="38" spans="2:22" ht="63">
      <c r="B38" s="318"/>
      <c r="C38" s="314"/>
      <c r="D38" s="314"/>
      <c r="E38" s="314"/>
      <c r="F38" s="314"/>
      <c r="G38" s="314"/>
      <c r="H38" s="314"/>
      <c r="I38" s="314"/>
      <c r="J38" s="103" t="s">
        <v>969</v>
      </c>
      <c r="K38" s="315"/>
      <c r="L38" s="315"/>
      <c r="M38" s="106" t="s">
        <v>1836</v>
      </c>
      <c r="N38" s="155" t="s">
        <v>30</v>
      </c>
      <c r="O38" s="155" t="s">
        <v>22</v>
      </c>
      <c r="P38" s="155" t="s">
        <v>944</v>
      </c>
      <c r="Q38" s="155" t="s">
        <v>22</v>
      </c>
      <c r="R38" s="106" t="s">
        <v>945</v>
      </c>
      <c r="S38" s="155"/>
      <c r="T38" s="155"/>
      <c r="U38" s="155"/>
      <c r="V38" s="155"/>
    </row>
    <row r="39" spans="2:22" ht="47.25">
      <c r="B39" s="318"/>
      <c r="C39" s="314"/>
      <c r="D39" s="314"/>
      <c r="E39" s="314"/>
      <c r="F39" s="314"/>
      <c r="G39" s="314"/>
      <c r="H39" s="314"/>
      <c r="I39" s="314"/>
      <c r="J39" s="103" t="s">
        <v>970</v>
      </c>
      <c r="K39" s="313" t="s">
        <v>1659</v>
      </c>
      <c r="L39" s="313" t="s">
        <v>1769</v>
      </c>
      <c r="M39" s="106" t="s">
        <v>1835</v>
      </c>
      <c r="N39" s="155" t="s">
        <v>30</v>
      </c>
      <c r="O39" s="155" t="s">
        <v>22</v>
      </c>
      <c r="P39" s="155" t="s">
        <v>22</v>
      </c>
      <c r="Q39" s="155" t="s">
        <v>22</v>
      </c>
      <c r="R39" s="106" t="s">
        <v>1017</v>
      </c>
      <c r="S39" s="155"/>
      <c r="T39" s="155"/>
      <c r="U39" s="155"/>
      <c r="V39" s="155"/>
    </row>
    <row r="40" spans="2:22" ht="63">
      <c r="B40" s="318"/>
      <c r="C40" s="314"/>
      <c r="D40" s="314"/>
      <c r="E40" s="314"/>
      <c r="F40" s="314"/>
      <c r="G40" s="314"/>
      <c r="H40" s="314"/>
      <c r="I40" s="314"/>
      <c r="J40" s="103" t="s">
        <v>971</v>
      </c>
      <c r="K40" s="315"/>
      <c r="L40" s="315"/>
      <c r="M40" s="106" t="s">
        <v>1836</v>
      </c>
      <c r="N40" s="155" t="s">
        <v>30</v>
      </c>
      <c r="O40" s="155" t="s">
        <v>22</v>
      </c>
      <c r="P40" s="155" t="s">
        <v>944</v>
      </c>
      <c r="Q40" s="155" t="s">
        <v>22</v>
      </c>
      <c r="R40" s="106" t="s">
        <v>945</v>
      </c>
      <c r="S40" s="155"/>
      <c r="T40" s="155"/>
      <c r="U40" s="155"/>
      <c r="V40" s="155"/>
    </row>
    <row r="41" spans="2:22" ht="47.25">
      <c r="B41" s="318"/>
      <c r="C41" s="314"/>
      <c r="D41" s="314"/>
      <c r="E41" s="314"/>
      <c r="F41" s="314"/>
      <c r="G41" s="314"/>
      <c r="H41" s="314"/>
      <c r="I41" s="314"/>
      <c r="J41" s="103" t="s">
        <v>972</v>
      </c>
      <c r="K41" s="313" t="s">
        <v>1659</v>
      </c>
      <c r="L41" s="313" t="s">
        <v>1770</v>
      </c>
      <c r="M41" s="106" t="s">
        <v>1835</v>
      </c>
      <c r="N41" s="155" t="s">
        <v>30</v>
      </c>
      <c r="O41" s="155" t="s">
        <v>22</v>
      </c>
      <c r="P41" s="155" t="s">
        <v>22</v>
      </c>
      <c r="Q41" s="155" t="s">
        <v>22</v>
      </c>
      <c r="R41" s="106" t="s">
        <v>1017</v>
      </c>
      <c r="S41" s="155"/>
      <c r="T41" s="155"/>
      <c r="U41" s="155"/>
      <c r="V41" s="155"/>
    </row>
    <row r="42" spans="2:22" ht="63">
      <c r="B42" s="319"/>
      <c r="C42" s="315"/>
      <c r="D42" s="315"/>
      <c r="E42" s="315"/>
      <c r="F42" s="315"/>
      <c r="G42" s="315"/>
      <c r="H42" s="315"/>
      <c r="I42" s="315"/>
      <c r="J42" s="103" t="s">
        <v>973</v>
      </c>
      <c r="K42" s="315"/>
      <c r="L42" s="315"/>
      <c r="M42" s="106" t="s">
        <v>1836</v>
      </c>
      <c r="N42" s="155" t="s">
        <v>30</v>
      </c>
      <c r="O42" s="155" t="s">
        <v>22</v>
      </c>
      <c r="P42" s="155" t="s">
        <v>944</v>
      </c>
      <c r="Q42" s="155" t="s">
        <v>22</v>
      </c>
      <c r="R42" s="106" t="s">
        <v>945</v>
      </c>
      <c r="S42" s="155"/>
      <c r="T42" s="155"/>
      <c r="U42" s="155"/>
      <c r="V42" s="155"/>
    </row>
    <row r="43" spans="2:22" ht="47.25" customHeight="1">
      <c r="B43" s="317" t="s">
        <v>349</v>
      </c>
      <c r="C43" s="313" t="s">
        <v>7</v>
      </c>
      <c r="D43" s="313" t="s">
        <v>350</v>
      </c>
      <c r="E43" s="313" t="s">
        <v>351</v>
      </c>
      <c r="F43" s="313" t="s">
        <v>348</v>
      </c>
      <c r="G43" s="313" t="s">
        <v>352</v>
      </c>
      <c r="H43" s="313"/>
      <c r="I43" s="313"/>
      <c r="J43" s="103" t="s">
        <v>974</v>
      </c>
      <c r="K43" s="313" t="s">
        <v>1659</v>
      </c>
      <c r="L43" s="313" t="s">
        <v>353</v>
      </c>
      <c r="M43" s="106" t="s">
        <v>1835</v>
      </c>
      <c r="N43" s="155" t="s">
        <v>30</v>
      </c>
      <c r="O43" s="155" t="s">
        <v>22</v>
      </c>
      <c r="P43" s="155" t="s">
        <v>22</v>
      </c>
      <c r="Q43" s="155" t="s">
        <v>22</v>
      </c>
      <c r="R43" s="106" t="s">
        <v>1017</v>
      </c>
      <c r="S43" s="155"/>
      <c r="T43" s="155"/>
      <c r="U43" s="155"/>
      <c r="V43" s="155"/>
    </row>
    <row r="44" spans="2:22" ht="63">
      <c r="B44" s="318"/>
      <c r="C44" s="314"/>
      <c r="D44" s="314"/>
      <c r="E44" s="314"/>
      <c r="F44" s="314"/>
      <c r="G44" s="314"/>
      <c r="H44" s="314"/>
      <c r="I44" s="314"/>
      <c r="J44" s="103" t="s">
        <v>975</v>
      </c>
      <c r="K44" s="315"/>
      <c r="L44" s="315"/>
      <c r="M44" s="106" t="s">
        <v>1836</v>
      </c>
      <c r="N44" s="155" t="s">
        <v>30</v>
      </c>
      <c r="O44" s="155" t="s">
        <v>22</v>
      </c>
      <c r="P44" s="155" t="s">
        <v>944</v>
      </c>
      <c r="Q44" s="155" t="s">
        <v>22</v>
      </c>
      <c r="R44" s="106" t="s">
        <v>945</v>
      </c>
      <c r="S44" s="155"/>
      <c r="T44" s="155"/>
      <c r="U44" s="155"/>
      <c r="V44" s="155"/>
    </row>
    <row r="45" spans="2:22" ht="31.5">
      <c r="B45" s="318"/>
      <c r="C45" s="314"/>
      <c r="D45" s="314"/>
      <c r="E45" s="314"/>
      <c r="F45" s="314"/>
      <c r="G45" s="314"/>
      <c r="H45" s="314"/>
      <c r="I45" s="314"/>
      <c r="J45" s="103" t="s">
        <v>976</v>
      </c>
      <c r="K45" s="313" t="s">
        <v>1659</v>
      </c>
      <c r="L45" s="313" t="s">
        <v>354</v>
      </c>
      <c r="M45" s="106" t="s">
        <v>965</v>
      </c>
      <c r="N45" s="155" t="s">
        <v>30</v>
      </c>
      <c r="O45" s="155" t="s">
        <v>22</v>
      </c>
      <c r="P45" s="155" t="s">
        <v>22</v>
      </c>
      <c r="Q45" s="155" t="s">
        <v>22</v>
      </c>
      <c r="R45" s="106" t="s">
        <v>1017</v>
      </c>
      <c r="S45" s="155"/>
      <c r="T45" s="155"/>
      <c r="U45" s="155"/>
      <c r="V45" s="155"/>
    </row>
    <row r="46" spans="2:22" ht="47.25">
      <c r="B46" s="319"/>
      <c r="C46" s="315"/>
      <c r="D46" s="315"/>
      <c r="E46" s="315"/>
      <c r="F46" s="315"/>
      <c r="G46" s="315"/>
      <c r="H46" s="315"/>
      <c r="I46" s="315"/>
      <c r="J46" s="103" t="s">
        <v>977</v>
      </c>
      <c r="K46" s="315"/>
      <c r="L46" s="315"/>
      <c r="M46" s="106" t="s">
        <v>1661</v>
      </c>
      <c r="N46" s="155" t="s">
        <v>30</v>
      </c>
      <c r="O46" s="155" t="s">
        <v>22</v>
      </c>
      <c r="P46" s="155" t="s">
        <v>944</v>
      </c>
      <c r="Q46" s="155" t="s">
        <v>22</v>
      </c>
      <c r="R46" s="106" t="s">
        <v>945</v>
      </c>
      <c r="S46" s="155"/>
      <c r="T46" s="155"/>
      <c r="U46" s="155"/>
      <c r="V46" s="155"/>
    </row>
    <row r="47" spans="2:22" ht="31.5" customHeight="1">
      <c r="B47" s="317" t="s">
        <v>355</v>
      </c>
      <c r="C47" s="313" t="s">
        <v>7</v>
      </c>
      <c r="D47" s="313" t="s">
        <v>15</v>
      </c>
      <c r="E47" s="313" t="s">
        <v>1662</v>
      </c>
      <c r="F47" s="313" t="s">
        <v>348</v>
      </c>
      <c r="G47" s="313" t="s">
        <v>356</v>
      </c>
      <c r="H47" s="313"/>
      <c r="I47" s="313"/>
      <c r="J47" s="107" t="s">
        <v>978</v>
      </c>
      <c r="K47" s="313" t="s">
        <v>1659</v>
      </c>
      <c r="L47" s="313" t="s">
        <v>357</v>
      </c>
      <c r="M47" s="106" t="s">
        <v>965</v>
      </c>
      <c r="N47" s="155" t="s">
        <v>38</v>
      </c>
      <c r="O47" s="155" t="s">
        <v>943</v>
      </c>
      <c r="P47" s="155" t="s">
        <v>22</v>
      </c>
      <c r="Q47" s="155" t="s">
        <v>22</v>
      </c>
      <c r="R47" s="106" t="s">
        <v>1017</v>
      </c>
      <c r="S47" s="155"/>
      <c r="T47" s="155"/>
      <c r="U47" s="155"/>
      <c r="V47" s="155"/>
    </row>
    <row r="48" spans="2:22" ht="47.25">
      <c r="B48" s="318"/>
      <c r="C48" s="314"/>
      <c r="D48" s="314"/>
      <c r="E48" s="314"/>
      <c r="F48" s="314"/>
      <c r="G48" s="314"/>
      <c r="H48" s="314"/>
      <c r="I48" s="314"/>
      <c r="J48" s="103" t="s">
        <v>979</v>
      </c>
      <c r="K48" s="315"/>
      <c r="L48" s="315"/>
      <c r="M48" s="106" t="s">
        <v>1661</v>
      </c>
      <c r="N48" s="155" t="s">
        <v>38</v>
      </c>
      <c r="O48" s="155" t="s">
        <v>943</v>
      </c>
      <c r="P48" s="155" t="s">
        <v>944</v>
      </c>
      <c r="Q48" s="155" t="s">
        <v>22</v>
      </c>
      <c r="R48" s="106" t="s">
        <v>945</v>
      </c>
      <c r="S48" s="155"/>
      <c r="T48" s="155"/>
      <c r="U48" s="155"/>
      <c r="V48" s="155"/>
    </row>
    <row r="49" spans="2:22" ht="31.5">
      <c r="B49" s="318"/>
      <c r="C49" s="314"/>
      <c r="D49" s="314"/>
      <c r="E49" s="314"/>
      <c r="F49" s="314"/>
      <c r="G49" s="314"/>
      <c r="H49" s="314"/>
      <c r="I49" s="314"/>
      <c r="J49" s="103" t="s">
        <v>980</v>
      </c>
      <c r="K49" s="313" t="s">
        <v>1659</v>
      </c>
      <c r="L49" s="313" t="s">
        <v>358</v>
      </c>
      <c r="M49" s="106" t="s">
        <v>965</v>
      </c>
      <c r="N49" s="155" t="s">
        <v>38</v>
      </c>
      <c r="O49" s="155" t="s">
        <v>943</v>
      </c>
      <c r="P49" s="155" t="s">
        <v>22</v>
      </c>
      <c r="Q49" s="155" t="s">
        <v>22</v>
      </c>
      <c r="R49" s="106" t="s">
        <v>1017</v>
      </c>
      <c r="S49" s="155"/>
      <c r="T49" s="155"/>
      <c r="U49" s="155"/>
      <c r="V49" s="155"/>
    </row>
    <row r="50" spans="2:22" ht="47.25">
      <c r="B50" s="318"/>
      <c r="C50" s="314"/>
      <c r="D50" s="314"/>
      <c r="E50" s="314"/>
      <c r="F50" s="314"/>
      <c r="G50" s="314"/>
      <c r="H50" s="314"/>
      <c r="I50" s="314"/>
      <c r="J50" s="103" t="s">
        <v>981</v>
      </c>
      <c r="K50" s="315"/>
      <c r="L50" s="315"/>
      <c r="M50" s="106" t="s">
        <v>1661</v>
      </c>
      <c r="N50" s="155" t="s">
        <v>38</v>
      </c>
      <c r="O50" s="155" t="s">
        <v>943</v>
      </c>
      <c r="P50" s="155" t="s">
        <v>944</v>
      </c>
      <c r="Q50" s="155" t="s">
        <v>22</v>
      </c>
      <c r="R50" s="106" t="s">
        <v>945</v>
      </c>
      <c r="S50" s="155"/>
      <c r="T50" s="155"/>
      <c r="U50" s="155"/>
      <c r="V50" s="155"/>
    </row>
    <row r="51" spans="2:22" ht="31.5">
      <c r="B51" s="319"/>
      <c r="C51" s="315"/>
      <c r="D51" s="315"/>
      <c r="E51" s="315"/>
      <c r="F51" s="315"/>
      <c r="G51" s="315"/>
      <c r="H51" s="315"/>
      <c r="I51" s="315"/>
      <c r="J51" s="76" t="s">
        <v>359</v>
      </c>
      <c r="K51" s="106" t="s">
        <v>1659</v>
      </c>
      <c r="L51" s="106" t="s">
        <v>96</v>
      </c>
      <c r="M51" s="106"/>
      <c r="N51" s="155" t="s">
        <v>38</v>
      </c>
      <c r="O51" s="155" t="s">
        <v>943</v>
      </c>
      <c r="P51" s="155" t="s">
        <v>944</v>
      </c>
      <c r="Q51" s="155" t="s">
        <v>22</v>
      </c>
      <c r="R51" s="106" t="s">
        <v>945</v>
      </c>
      <c r="S51" s="155"/>
      <c r="T51" s="155"/>
      <c r="U51" s="155"/>
      <c r="V51" s="155"/>
    </row>
    <row r="52" spans="2:22" ht="31.5" customHeight="1">
      <c r="B52" s="317" t="s">
        <v>360</v>
      </c>
      <c r="C52" s="313" t="s">
        <v>7</v>
      </c>
      <c r="D52" s="313" t="s">
        <v>10</v>
      </c>
      <c r="E52" s="313" t="s">
        <v>1663</v>
      </c>
      <c r="F52" s="313" t="s">
        <v>22</v>
      </c>
      <c r="G52" s="313" t="s">
        <v>361</v>
      </c>
      <c r="H52" s="313"/>
      <c r="I52" s="313"/>
      <c r="J52" s="103" t="s">
        <v>1247</v>
      </c>
      <c r="K52" s="313" t="s">
        <v>1659</v>
      </c>
      <c r="L52" s="313" t="s">
        <v>362</v>
      </c>
      <c r="M52" s="106" t="s">
        <v>965</v>
      </c>
      <c r="N52" s="155" t="s">
        <v>38</v>
      </c>
      <c r="O52" s="155" t="s">
        <v>943</v>
      </c>
      <c r="P52" s="155" t="s">
        <v>22</v>
      </c>
      <c r="Q52" s="155" t="s">
        <v>22</v>
      </c>
      <c r="R52" s="106" t="s">
        <v>1017</v>
      </c>
      <c r="S52" s="155"/>
      <c r="T52" s="155"/>
      <c r="U52" s="155"/>
      <c r="V52" s="155"/>
    </row>
    <row r="53" spans="2:22" ht="47.25">
      <c r="B53" s="318"/>
      <c r="C53" s="314"/>
      <c r="D53" s="314"/>
      <c r="E53" s="314"/>
      <c r="F53" s="314"/>
      <c r="G53" s="314"/>
      <c r="H53" s="314"/>
      <c r="I53" s="314"/>
      <c r="J53" s="103" t="s">
        <v>1248</v>
      </c>
      <c r="K53" s="315"/>
      <c r="L53" s="315"/>
      <c r="M53" s="106" t="s">
        <v>1661</v>
      </c>
      <c r="N53" s="155" t="s">
        <v>38</v>
      </c>
      <c r="O53" s="155" t="s">
        <v>943</v>
      </c>
      <c r="P53" s="155" t="s">
        <v>944</v>
      </c>
      <c r="Q53" s="155" t="s">
        <v>22</v>
      </c>
      <c r="R53" s="106" t="s">
        <v>945</v>
      </c>
      <c r="S53" s="155"/>
      <c r="T53" s="155"/>
      <c r="U53" s="155"/>
      <c r="V53" s="155"/>
    </row>
    <row r="54" spans="2:22" ht="31.5">
      <c r="B54" s="318"/>
      <c r="C54" s="314"/>
      <c r="D54" s="314"/>
      <c r="E54" s="314"/>
      <c r="F54" s="314"/>
      <c r="G54" s="314"/>
      <c r="H54" s="314"/>
      <c r="I54" s="314"/>
      <c r="J54" s="103" t="s">
        <v>1249</v>
      </c>
      <c r="K54" s="313" t="s">
        <v>1659</v>
      </c>
      <c r="L54" s="313" t="s">
        <v>363</v>
      </c>
      <c r="M54" s="106" t="s">
        <v>965</v>
      </c>
      <c r="N54" s="155" t="s">
        <v>38</v>
      </c>
      <c r="O54" s="155" t="s">
        <v>943</v>
      </c>
      <c r="P54" s="155" t="s">
        <v>22</v>
      </c>
      <c r="Q54" s="155" t="s">
        <v>22</v>
      </c>
      <c r="R54" s="106" t="s">
        <v>1017</v>
      </c>
      <c r="S54" s="155"/>
      <c r="T54" s="155"/>
      <c r="U54" s="155"/>
      <c r="V54" s="155"/>
    </row>
    <row r="55" spans="2:22" ht="47.25">
      <c r="B55" s="319"/>
      <c r="C55" s="315"/>
      <c r="D55" s="315"/>
      <c r="E55" s="315"/>
      <c r="F55" s="315"/>
      <c r="G55" s="315"/>
      <c r="H55" s="315"/>
      <c r="I55" s="315"/>
      <c r="J55" s="103" t="s">
        <v>1250</v>
      </c>
      <c r="K55" s="315"/>
      <c r="L55" s="315"/>
      <c r="M55" s="106" t="s">
        <v>1661</v>
      </c>
      <c r="N55" s="155" t="s">
        <v>38</v>
      </c>
      <c r="O55" s="155" t="s">
        <v>943</v>
      </c>
      <c r="P55" s="155" t="s">
        <v>944</v>
      </c>
      <c r="Q55" s="155" t="s">
        <v>22</v>
      </c>
      <c r="R55" s="106" t="s">
        <v>945</v>
      </c>
      <c r="S55" s="155"/>
      <c r="T55" s="155"/>
      <c r="U55" s="155"/>
      <c r="V55" s="155"/>
    </row>
    <row r="56" spans="2:22" ht="47.25" customHeight="1">
      <c r="B56" s="317" t="s">
        <v>364</v>
      </c>
      <c r="C56" s="313" t="s">
        <v>365</v>
      </c>
      <c r="D56" s="313" t="s">
        <v>11</v>
      </c>
      <c r="E56" s="313" t="s">
        <v>366</v>
      </c>
      <c r="F56" s="313" t="s">
        <v>1664</v>
      </c>
      <c r="G56" s="313" t="s">
        <v>367</v>
      </c>
      <c r="H56" s="313"/>
      <c r="I56" s="313" t="s">
        <v>368</v>
      </c>
      <c r="J56" s="107" t="s">
        <v>1032</v>
      </c>
      <c r="K56" s="313" t="s">
        <v>1660</v>
      </c>
      <c r="L56" s="313" t="s">
        <v>369</v>
      </c>
      <c r="M56" s="106" t="s">
        <v>1823</v>
      </c>
      <c r="N56" s="155" t="s">
        <v>37</v>
      </c>
      <c r="O56" s="155" t="s">
        <v>943</v>
      </c>
      <c r="P56" s="155" t="s">
        <v>943</v>
      </c>
      <c r="Q56" s="155" t="s">
        <v>944</v>
      </c>
      <c r="R56" s="106" t="s">
        <v>1017</v>
      </c>
      <c r="S56" s="169"/>
      <c r="T56" s="169"/>
      <c r="U56" s="169"/>
      <c r="V56" s="169"/>
    </row>
    <row r="57" spans="2:22" ht="47.25">
      <c r="B57" s="318"/>
      <c r="C57" s="314"/>
      <c r="D57" s="314"/>
      <c r="E57" s="314"/>
      <c r="F57" s="314"/>
      <c r="G57" s="314"/>
      <c r="H57" s="314"/>
      <c r="I57" s="314"/>
      <c r="J57" s="107" t="s">
        <v>1033</v>
      </c>
      <c r="K57" s="315"/>
      <c r="L57" s="315"/>
      <c r="M57" s="106" t="s">
        <v>1822</v>
      </c>
      <c r="N57" s="155" t="s">
        <v>37</v>
      </c>
      <c r="O57" s="155" t="s">
        <v>943</v>
      </c>
      <c r="P57" s="155" t="s">
        <v>943</v>
      </c>
      <c r="Q57" s="155" t="s">
        <v>944</v>
      </c>
      <c r="R57" s="106" t="s">
        <v>945</v>
      </c>
      <c r="S57" s="170"/>
      <c r="T57" s="169"/>
      <c r="U57" s="169"/>
      <c r="V57" s="169"/>
    </row>
    <row r="58" spans="2:22" ht="47.25">
      <c r="B58" s="318"/>
      <c r="C58" s="314"/>
      <c r="D58" s="314"/>
      <c r="E58" s="314"/>
      <c r="F58" s="314"/>
      <c r="G58" s="314"/>
      <c r="H58" s="314"/>
      <c r="I58" s="314"/>
      <c r="J58" s="76" t="s">
        <v>370</v>
      </c>
      <c r="K58" s="106" t="s">
        <v>1660</v>
      </c>
      <c r="L58" s="106" t="s">
        <v>1837</v>
      </c>
      <c r="M58" s="106"/>
      <c r="N58" s="155" t="s">
        <v>37</v>
      </c>
      <c r="O58" s="155" t="s">
        <v>943</v>
      </c>
      <c r="P58" s="155" t="s">
        <v>943</v>
      </c>
      <c r="Q58" s="155" t="s">
        <v>944</v>
      </c>
      <c r="R58" s="106" t="s">
        <v>945</v>
      </c>
      <c r="S58" s="169"/>
      <c r="T58" s="169"/>
      <c r="U58" s="169"/>
      <c r="V58" s="169"/>
    </row>
    <row r="59" spans="2:22" ht="47.25">
      <c r="B59" s="318"/>
      <c r="C59" s="314"/>
      <c r="D59" s="314"/>
      <c r="E59" s="314"/>
      <c r="F59" s="314"/>
      <c r="G59" s="314"/>
      <c r="H59" s="314"/>
      <c r="I59" s="314"/>
      <c r="J59" s="76" t="s">
        <v>371</v>
      </c>
      <c r="K59" s="106" t="s">
        <v>1660</v>
      </c>
      <c r="L59" s="106" t="s">
        <v>1838</v>
      </c>
      <c r="M59" s="106"/>
      <c r="N59" s="155" t="s">
        <v>37</v>
      </c>
      <c r="O59" s="155" t="s">
        <v>943</v>
      </c>
      <c r="P59" s="155" t="s">
        <v>943</v>
      </c>
      <c r="Q59" s="155" t="s">
        <v>944</v>
      </c>
      <c r="R59" s="106" t="s">
        <v>945</v>
      </c>
      <c r="S59" s="169"/>
      <c r="T59" s="169"/>
      <c r="U59" s="169"/>
      <c r="V59" s="169"/>
    </row>
    <row r="60" spans="2:22" ht="63">
      <c r="B60" s="318"/>
      <c r="C60" s="314"/>
      <c r="D60" s="314"/>
      <c r="E60" s="314"/>
      <c r="F60" s="314"/>
      <c r="G60" s="314"/>
      <c r="H60" s="314"/>
      <c r="I60" s="314"/>
      <c r="J60" s="107" t="s">
        <v>1035</v>
      </c>
      <c r="K60" s="322" t="s">
        <v>1660</v>
      </c>
      <c r="L60" s="313" t="s">
        <v>372</v>
      </c>
      <c r="M60" s="106" t="s">
        <v>1823</v>
      </c>
      <c r="N60" s="155" t="s">
        <v>37</v>
      </c>
      <c r="O60" s="155" t="s">
        <v>943</v>
      </c>
      <c r="P60" s="155" t="s">
        <v>943</v>
      </c>
      <c r="Q60" s="155" t="s">
        <v>944</v>
      </c>
      <c r="R60" s="106" t="s">
        <v>1017</v>
      </c>
      <c r="S60" s="169"/>
      <c r="T60" s="169"/>
      <c r="U60" s="169"/>
      <c r="V60" s="169"/>
    </row>
    <row r="61" spans="2:22" ht="47.25">
      <c r="B61" s="318"/>
      <c r="C61" s="314"/>
      <c r="D61" s="314"/>
      <c r="E61" s="314"/>
      <c r="F61" s="314"/>
      <c r="G61" s="314"/>
      <c r="H61" s="314"/>
      <c r="I61" s="314"/>
      <c r="J61" s="107" t="s">
        <v>1036</v>
      </c>
      <c r="K61" s="323"/>
      <c r="L61" s="315"/>
      <c r="M61" s="106" t="s">
        <v>1822</v>
      </c>
      <c r="N61" s="155" t="s">
        <v>37</v>
      </c>
      <c r="O61" s="155" t="s">
        <v>943</v>
      </c>
      <c r="P61" s="155" t="s">
        <v>943</v>
      </c>
      <c r="Q61" s="155" t="s">
        <v>944</v>
      </c>
      <c r="R61" s="106" t="s">
        <v>945</v>
      </c>
      <c r="S61" s="169"/>
      <c r="T61" s="169"/>
      <c r="U61" s="169"/>
      <c r="V61" s="169"/>
    </row>
    <row r="62" spans="2:22" ht="47.25">
      <c r="B62" s="318"/>
      <c r="C62" s="314"/>
      <c r="D62" s="314"/>
      <c r="E62" s="314"/>
      <c r="F62" s="314"/>
      <c r="G62" s="314"/>
      <c r="H62" s="314"/>
      <c r="I62" s="314"/>
      <c r="J62" s="76" t="s">
        <v>373</v>
      </c>
      <c r="K62" s="106" t="s">
        <v>1660</v>
      </c>
      <c r="L62" s="106" t="s">
        <v>1837</v>
      </c>
      <c r="M62" s="106"/>
      <c r="N62" s="155" t="s">
        <v>37</v>
      </c>
      <c r="O62" s="155" t="s">
        <v>943</v>
      </c>
      <c r="P62" s="155" t="s">
        <v>943</v>
      </c>
      <c r="Q62" s="155" t="s">
        <v>944</v>
      </c>
      <c r="R62" s="106" t="s">
        <v>945</v>
      </c>
      <c r="S62" s="169"/>
      <c r="T62" s="169"/>
      <c r="U62" s="169"/>
      <c r="V62" s="169"/>
    </row>
    <row r="63" spans="2:22" ht="47.25">
      <c r="B63" s="318"/>
      <c r="C63" s="314"/>
      <c r="D63" s="314"/>
      <c r="E63" s="314"/>
      <c r="F63" s="314"/>
      <c r="G63" s="314"/>
      <c r="H63" s="314"/>
      <c r="I63" s="314"/>
      <c r="J63" s="76" t="s">
        <v>374</v>
      </c>
      <c r="K63" s="106" t="s">
        <v>1660</v>
      </c>
      <c r="L63" s="106" t="s">
        <v>1838</v>
      </c>
      <c r="M63" s="106"/>
      <c r="N63" s="155" t="s">
        <v>37</v>
      </c>
      <c r="O63" s="155" t="s">
        <v>943</v>
      </c>
      <c r="P63" s="155" t="s">
        <v>943</v>
      </c>
      <c r="Q63" s="155" t="s">
        <v>944</v>
      </c>
      <c r="R63" s="106" t="s">
        <v>945</v>
      </c>
      <c r="S63" s="169"/>
      <c r="T63" s="169"/>
      <c r="U63" s="169"/>
      <c r="V63" s="169"/>
    </row>
    <row r="64" spans="2:22" ht="63">
      <c r="B64" s="318"/>
      <c r="C64" s="314"/>
      <c r="D64" s="314"/>
      <c r="E64" s="314"/>
      <c r="F64" s="314"/>
      <c r="G64" s="314"/>
      <c r="H64" s="314"/>
      <c r="I64" s="314"/>
      <c r="J64" s="107" t="s">
        <v>1037</v>
      </c>
      <c r="K64" s="313" t="s">
        <v>1660</v>
      </c>
      <c r="L64" s="313" t="s">
        <v>375</v>
      </c>
      <c r="M64" s="106" t="s">
        <v>1823</v>
      </c>
      <c r="N64" s="155" t="s">
        <v>37</v>
      </c>
      <c r="O64" s="155" t="s">
        <v>943</v>
      </c>
      <c r="P64" s="155" t="s">
        <v>943</v>
      </c>
      <c r="Q64" s="155" t="s">
        <v>944</v>
      </c>
      <c r="R64" s="106" t="s">
        <v>1017</v>
      </c>
      <c r="S64" s="169"/>
      <c r="T64" s="169"/>
      <c r="U64" s="169"/>
      <c r="V64" s="169"/>
    </row>
    <row r="65" spans="2:22" ht="47.25">
      <c r="B65" s="318"/>
      <c r="C65" s="314"/>
      <c r="D65" s="314"/>
      <c r="E65" s="314"/>
      <c r="F65" s="314"/>
      <c r="G65" s="314"/>
      <c r="H65" s="314"/>
      <c r="I65" s="314"/>
      <c r="J65" s="107" t="s">
        <v>1038</v>
      </c>
      <c r="K65" s="315"/>
      <c r="L65" s="315"/>
      <c r="M65" s="106" t="s">
        <v>1822</v>
      </c>
      <c r="N65" s="155" t="s">
        <v>37</v>
      </c>
      <c r="O65" s="155" t="s">
        <v>943</v>
      </c>
      <c r="P65" s="155" t="s">
        <v>943</v>
      </c>
      <c r="Q65" s="155" t="s">
        <v>944</v>
      </c>
      <c r="R65" s="106" t="s">
        <v>945</v>
      </c>
      <c r="S65" s="169"/>
      <c r="T65" s="169"/>
      <c r="U65" s="169"/>
      <c r="V65" s="169"/>
    </row>
    <row r="66" spans="2:22" ht="47.25">
      <c r="B66" s="318"/>
      <c r="C66" s="314"/>
      <c r="D66" s="314"/>
      <c r="E66" s="314"/>
      <c r="F66" s="314"/>
      <c r="G66" s="314"/>
      <c r="H66" s="314"/>
      <c r="I66" s="314"/>
      <c r="J66" s="76" t="s">
        <v>376</v>
      </c>
      <c r="K66" s="106" t="s">
        <v>1660</v>
      </c>
      <c r="L66" s="106" t="s">
        <v>1837</v>
      </c>
      <c r="M66" s="106"/>
      <c r="N66" s="155" t="s">
        <v>37</v>
      </c>
      <c r="O66" s="155" t="s">
        <v>943</v>
      </c>
      <c r="P66" s="155" t="s">
        <v>943</v>
      </c>
      <c r="Q66" s="155" t="s">
        <v>944</v>
      </c>
      <c r="R66" s="106" t="s">
        <v>945</v>
      </c>
      <c r="S66" s="169"/>
      <c r="T66" s="169"/>
      <c r="U66" s="169"/>
      <c r="V66" s="169"/>
    </row>
    <row r="67" spans="2:22" ht="47.25">
      <c r="B67" s="318"/>
      <c r="C67" s="314"/>
      <c r="D67" s="314"/>
      <c r="E67" s="314"/>
      <c r="F67" s="314"/>
      <c r="G67" s="314"/>
      <c r="H67" s="314"/>
      <c r="I67" s="314"/>
      <c r="J67" s="76" t="s">
        <v>377</v>
      </c>
      <c r="K67" s="106" t="s">
        <v>1660</v>
      </c>
      <c r="L67" s="106" t="s">
        <v>1838</v>
      </c>
      <c r="M67" s="106"/>
      <c r="N67" s="155" t="s">
        <v>37</v>
      </c>
      <c r="O67" s="155" t="s">
        <v>943</v>
      </c>
      <c r="P67" s="155" t="s">
        <v>943</v>
      </c>
      <c r="Q67" s="155" t="s">
        <v>944</v>
      </c>
      <c r="R67" s="106" t="s">
        <v>945</v>
      </c>
      <c r="S67" s="169"/>
      <c r="T67" s="169"/>
      <c r="U67" s="169"/>
      <c r="V67" s="169"/>
    </row>
    <row r="68" spans="2:22" ht="63">
      <c r="B68" s="318"/>
      <c r="C68" s="314"/>
      <c r="D68" s="314"/>
      <c r="E68" s="314"/>
      <c r="F68" s="314"/>
      <c r="G68" s="314"/>
      <c r="H68" s="314"/>
      <c r="I68" s="314"/>
      <c r="J68" s="107" t="s">
        <v>1039</v>
      </c>
      <c r="K68" s="313" t="s">
        <v>1660</v>
      </c>
      <c r="L68" s="313" t="s">
        <v>378</v>
      </c>
      <c r="M68" s="106" t="s">
        <v>1823</v>
      </c>
      <c r="N68" s="155" t="s">
        <v>37</v>
      </c>
      <c r="O68" s="155" t="s">
        <v>943</v>
      </c>
      <c r="P68" s="155" t="s">
        <v>943</v>
      </c>
      <c r="Q68" s="155" t="s">
        <v>944</v>
      </c>
      <c r="R68" s="106" t="s">
        <v>1017</v>
      </c>
      <c r="S68" s="169"/>
      <c r="T68" s="169"/>
      <c r="U68" s="169"/>
      <c r="V68" s="169"/>
    </row>
    <row r="69" spans="2:22" ht="47.25">
      <c r="B69" s="318"/>
      <c r="C69" s="314"/>
      <c r="D69" s="314"/>
      <c r="E69" s="314"/>
      <c r="F69" s="314"/>
      <c r="G69" s="314"/>
      <c r="H69" s="314"/>
      <c r="I69" s="314"/>
      <c r="J69" s="107" t="s">
        <v>1040</v>
      </c>
      <c r="K69" s="315"/>
      <c r="L69" s="315"/>
      <c r="M69" s="106" t="s">
        <v>1822</v>
      </c>
      <c r="N69" s="155" t="s">
        <v>37</v>
      </c>
      <c r="O69" s="155" t="s">
        <v>943</v>
      </c>
      <c r="P69" s="155" t="s">
        <v>943</v>
      </c>
      <c r="Q69" s="155" t="s">
        <v>944</v>
      </c>
      <c r="R69" s="106" t="s">
        <v>945</v>
      </c>
      <c r="S69" s="155"/>
      <c r="T69" s="155"/>
      <c r="U69" s="155"/>
      <c r="V69" s="155"/>
    </row>
    <row r="70" spans="2:22" ht="47.25">
      <c r="B70" s="318"/>
      <c r="C70" s="314"/>
      <c r="D70" s="314"/>
      <c r="E70" s="314"/>
      <c r="F70" s="314"/>
      <c r="G70" s="314"/>
      <c r="H70" s="314"/>
      <c r="I70" s="314"/>
      <c r="J70" s="76" t="s">
        <v>379</v>
      </c>
      <c r="K70" s="106" t="s">
        <v>1660</v>
      </c>
      <c r="L70" s="106" t="s">
        <v>1837</v>
      </c>
      <c r="M70" s="106"/>
      <c r="N70" s="155" t="s">
        <v>37</v>
      </c>
      <c r="O70" s="155" t="s">
        <v>943</v>
      </c>
      <c r="P70" s="155" t="s">
        <v>943</v>
      </c>
      <c r="Q70" s="155" t="s">
        <v>944</v>
      </c>
      <c r="R70" s="106" t="s">
        <v>945</v>
      </c>
      <c r="S70" s="155"/>
      <c r="T70" s="155"/>
      <c r="U70" s="155"/>
      <c r="V70" s="155"/>
    </row>
    <row r="71" spans="2:22" ht="47.25">
      <c r="B71" s="318"/>
      <c r="C71" s="314"/>
      <c r="D71" s="314"/>
      <c r="E71" s="314"/>
      <c r="F71" s="314"/>
      <c r="G71" s="314"/>
      <c r="H71" s="314"/>
      <c r="I71" s="314"/>
      <c r="J71" s="76" t="s">
        <v>380</v>
      </c>
      <c r="K71" s="106" t="s">
        <v>1660</v>
      </c>
      <c r="L71" s="106" t="s">
        <v>1838</v>
      </c>
      <c r="M71" s="106"/>
      <c r="N71" s="155" t="s">
        <v>37</v>
      </c>
      <c r="O71" s="155" t="s">
        <v>943</v>
      </c>
      <c r="P71" s="155" t="s">
        <v>943</v>
      </c>
      <c r="Q71" s="155" t="s">
        <v>944</v>
      </c>
      <c r="R71" s="106" t="s">
        <v>945</v>
      </c>
      <c r="S71" s="155"/>
      <c r="T71" s="155"/>
      <c r="U71" s="155"/>
      <c r="V71" s="155"/>
    </row>
    <row r="72" spans="2:22" ht="63">
      <c r="B72" s="318"/>
      <c r="C72" s="314"/>
      <c r="D72" s="314"/>
      <c r="E72" s="314"/>
      <c r="F72" s="314"/>
      <c r="G72" s="314"/>
      <c r="H72" s="314"/>
      <c r="I72" s="314"/>
      <c r="J72" s="107" t="s">
        <v>1041</v>
      </c>
      <c r="K72" s="313" t="s">
        <v>1660</v>
      </c>
      <c r="L72" s="313" t="s">
        <v>381</v>
      </c>
      <c r="M72" s="106" t="s">
        <v>1823</v>
      </c>
      <c r="N72" s="155" t="s">
        <v>37</v>
      </c>
      <c r="O72" s="155" t="s">
        <v>943</v>
      </c>
      <c r="P72" s="155" t="s">
        <v>943</v>
      </c>
      <c r="Q72" s="155" t="s">
        <v>944</v>
      </c>
      <c r="R72" s="106" t="s">
        <v>1017</v>
      </c>
      <c r="S72" s="169"/>
      <c r="T72" s="169"/>
      <c r="U72" s="169"/>
      <c r="V72" s="169"/>
    </row>
    <row r="73" spans="2:22" ht="47.25">
      <c r="B73" s="318"/>
      <c r="C73" s="314"/>
      <c r="D73" s="314"/>
      <c r="E73" s="314"/>
      <c r="F73" s="314"/>
      <c r="G73" s="314"/>
      <c r="H73" s="314"/>
      <c r="I73" s="314"/>
      <c r="J73" s="107" t="s">
        <v>1042</v>
      </c>
      <c r="K73" s="315"/>
      <c r="L73" s="315"/>
      <c r="M73" s="106" t="s">
        <v>1822</v>
      </c>
      <c r="N73" s="155" t="s">
        <v>37</v>
      </c>
      <c r="O73" s="155" t="s">
        <v>943</v>
      </c>
      <c r="P73" s="155" t="s">
        <v>943</v>
      </c>
      <c r="Q73" s="155" t="s">
        <v>944</v>
      </c>
      <c r="R73" s="106" t="s">
        <v>945</v>
      </c>
      <c r="S73" s="169"/>
      <c r="T73" s="169"/>
      <c r="U73" s="169"/>
      <c r="V73" s="169"/>
    </row>
    <row r="74" spans="2:22" ht="47.25">
      <c r="B74" s="318"/>
      <c r="C74" s="314"/>
      <c r="D74" s="314"/>
      <c r="E74" s="314"/>
      <c r="F74" s="314"/>
      <c r="G74" s="314"/>
      <c r="H74" s="314"/>
      <c r="I74" s="314"/>
      <c r="J74" s="76" t="s">
        <v>382</v>
      </c>
      <c r="K74" s="106" t="s">
        <v>1660</v>
      </c>
      <c r="L74" s="106" t="s">
        <v>1837</v>
      </c>
      <c r="M74" s="106"/>
      <c r="N74" s="155" t="s">
        <v>37</v>
      </c>
      <c r="O74" s="155" t="s">
        <v>943</v>
      </c>
      <c r="P74" s="155" t="s">
        <v>943</v>
      </c>
      <c r="Q74" s="155" t="s">
        <v>944</v>
      </c>
      <c r="R74" s="106" t="s">
        <v>945</v>
      </c>
      <c r="S74" s="169"/>
      <c r="T74" s="169"/>
      <c r="U74" s="169"/>
      <c r="V74" s="169"/>
    </row>
    <row r="75" spans="2:22" ht="47.25">
      <c r="B75" s="318"/>
      <c r="C75" s="314"/>
      <c r="D75" s="314"/>
      <c r="E75" s="314"/>
      <c r="F75" s="314"/>
      <c r="G75" s="314"/>
      <c r="H75" s="314"/>
      <c r="I75" s="314"/>
      <c r="J75" s="76" t="s">
        <v>383</v>
      </c>
      <c r="K75" s="106" t="s">
        <v>1660</v>
      </c>
      <c r="L75" s="106" t="s">
        <v>1838</v>
      </c>
      <c r="M75" s="106"/>
      <c r="N75" s="155" t="s">
        <v>37</v>
      </c>
      <c r="O75" s="155" t="s">
        <v>943</v>
      </c>
      <c r="P75" s="155" t="s">
        <v>943</v>
      </c>
      <c r="Q75" s="155" t="s">
        <v>944</v>
      </c>
      <c r="R75" s="106" t="s">
        <v>945</v>
      </c>
      <c r="S75" s="169"/>
      <c r="T75" s="169"/>
      <c r="U75" s="169"/>
      <c r="V75" s="169"/>
    </row>
    <row r="76" spans="2:22" ht="63">
      <c r="B76" s="318"/>
      <c r="C76" s="314"/>
      <c r="D76" s="314"/>
      <c r="E76" s="314"/>
      <c r="F76" s="314"/>
      <c r="G76" s="314"/>
      <c r="H76" s="314"/>
      <c r="I76" s="314"/>
      <c r="J76" s="107" t="s">
        <v>1043</v>
      </c>
      <c r="K76" s="313" t="s">
        <v>1660</v>
      </c>
      <c r="L76" s="313" t="s">
        <v>384</v>
      </c>
      <c r="M76" s="106" t="s">
        <v>1823</v>
      </c>
      <c r="N76" s="155" t="s">
        <v>37</v>
      </c>
      <c r="O76" s="155" t="s">
        <v>943</v>
      </c>
      <c r="P76" s="155" t="s">
        <v>943</v>
      </c>
      <c r="Q76" s="155" t="s">
        <v>944</v>
      </c>
      <c r="R76" s="106" t="s">
        <v>1017</v>
      </c>
      <c r="S76" s="169"/>
      <c r="T76" s="169"/>
      <c r="U76" s="169"/>
      <c r="V76" s="169"/>
    </row>
    <row r="77" spans="2:22" ht="47.25">
      <c r="B77" s="318"/>
      <c r="C77" s="314"/>
      <c r="D77" s="314"/>
      <c r="E77" s="314"/>
      <c r="F77" s="314"/>
      <c r="G77" s="314"/>
      <c r="H77" s="314"/>
      <c r="I77" s="314"/>
      <c r="J77" s="107" t="s">
        <v>1044</v>
      </c>
      <c r="K77" s="315"/>
      <c r="L77" s="315"/>
      <c r="M77" s="106" t="s">
        <v>1822</v>
      </c>
      <c r="N77" s="155" t="s">
        <v>37</v>
      </c>
      <c r="O77" s="155" t="s">
        <v>943</v>
      </c>
      <c r="P77" s="155" t="s">
        <v>943</v>
      </c>
      <c r="Q77" s="155" t="s">
        <v>944</v>
      </c>
      <c r="R77" s="106" t="s">
        <v>945</v>
      </c>
      <c r="S77" s="169"/>
      <c r="T77" s="169"/>
      <c r="U77" s="169"/>
      <c r="V77" s="169"/>
    </row>
    <row r="78" spans="2:22" ht="47.25">
      <c r="B78" s="318"/>
      <c r="C78" s="314"/>
      <c r="D78" s="314"/>
      <c r="E78" s="314"/>
      <c r="F78" s="314"/>
      <c r="G78" s="314"/>
      <c r="H78" s="314"/>
      <c r="I78" s="314"/>
      <c r="J78" s="76" t="s">
        <v>385</v>
      </c>
      <c r="K78" s="106" t="s">
        <v>1660</v>
      </c>
      <c r="L78" s="106" t="s">
        <v>1837</v>
      </c>
      <c r="M78" s="106"/>
      <c r="N78" s="155" t="s">
        <v>37</v>
      </c>
      <c r="O78" s="155" t="s">
        <v>943</v>
      </c>
      <c r="P78" s="155" t="s">
        <v>943</v>
      </c>
      <c r="Q78" s="155" t="s">
        <v>944</v>
      </c>
      <c r="R78" s="106" t="s">
        <v>945</v>
      </c>
      <c r="S78" s="169"/>
      <c r="T78" s="169"/>
      <c r="U78" s="169"/>
      <c r="V78" s="169"/>
    </row>
    <row r="79" spans="2:22" ht="47.25">
      <c r="B79" s="318"/>
      <c r="C79" s="314"/>
      <c r="D79" s="314"/>
      <c r="E79" s="314"/>
      <c r="F79" s="314"/>
      <c r="G79" s="314"/>
      <c r="H79" s="314"/>
      <c r="I79" s="314"/>
      <c r="J79" s="76" t="s">
        <v>386</v>
      </c>
      <c r="K79" s="106" t="s">
        <v>1660</v>
      </c>
      <c r="L79" s="106" t="s">
        <v>1838</v>
      </c>
      <c r="M79" s="106"/>
      <c r="N79" s="155" t="s">
        <v>37</v>
      </c>
      <c r="O79" s="155" t="s">
        <v>943</v>
      </c>
      <c r="P79" s="155" t="s">
        <v>943</v>
      </c>
      <c r="Q79" s="155" t="s">
        <v>944</v>
      </c>
      <c r="R79" s="106" t="s">
        <v>945</v>
      </c>
      <c r="S79" s="169"/>
      <c r="T79" s="169"/>
      <c r="U79" s="169"/>
      <c r="V79" s="169"/>
    </row>
    <row r="80" spans="2:22" ht="63">
      <c r="B80" s="318"/>
      <c r="C80" s="314"/>
      <c r="D80" s="314"/>
      <c r="E80" s="314"/>
      <c r="F80" s="314"/>
      <c r="G80" s="314"/>
      <c r="H80" s="314"/>
      <c r="I80" s="314"/>
      <c r="J80" s="107" t="s">
        <v>1045</v>
      </c>
      <c r="K80" s="313" t="s">
        <v>1660</v>
      </c>
      <c r="L80" s="313" t="s">
        <v>387</v>
      </c>
      <c r="M80" s="106" t="s">
        <v>1823</v>
      </c>
      <c r="N80" s="155" t="s">
        <v>37</v>
      </c>
      <c r="O80" s="155" t="s">
        <v>943</v>
      </c>
      <c r="P80" s="155" t="s">
        <v>943</v>
      </c>
      <c r="Q80" s="155" t="s">
        <v>944</v>
      </c>
      <c r="R80" s="106" t="s">
        <v>1017</v>
      </c>
      <c r="S80" s="169"/>
      <c r="T80" s="169"/>
      <c r="U80" s="169"/>
      <c r="V80" s="169"/>
    </row>
    <row r="81" spans="2:22" ht="47.25">
      <c r="B81" s="318"/>
      <c r="C81" s="314"/>
      <c r="D81" s="314"/>
      <c r="E81" s="314"/>
      <c r="F81" s="314"/>
      <c r="G81" s="314"/>
      <c r="H81" s="314"/>
      <c r="I81" s="314"/>
      <c r="J81" s="107" t="s">
        <v>1046</v>
      </c>
      <c r="K81" s="315"/>
      <c r="L81" s="315"/>
      <c r="M81" s="106" t="s">
        <v>1822</v>
      </c>
      <c r="N81" s="155" t="s">
        <v>37</v>
      </c>
      <c r="O81" s="155" t="s">
        <v>943</v>
      </c>
      <c r="P81" s="155" t="s">
        <v>943</v>
      </c>
      <c r="Q81" s="155" t="s">
        <v>944</v>
      </c>
      <c r="R81" s="106" t="s">
        <v>945</v>
      </c>
      <c r="S81" s="169"/>
      <c r="T81" s="169"/>
      <c r="U81" s="169"/>
      <c r="V81" s="169"/>
    </row>
    <row r="82" spans="2:22" ht="47.25">
      <c r="B82" s="318"/>
      <c r="C82" s="314"/>
      <c r="D82" s="314"/>
      <c r="E82" s="314"/>
      <c r="F82" s="314"/>
      <c r="G82" s="314"/>
      <c r="H82" s="314"/>
      <c r="I82" s="314"/>
      <c r="J82" s="76" t="s">
        <v>388</v>
      </c>
      <c r="K82" s="106" t="s">
        <v>1660</v>
      </c>
      <c r="L82" s="106" t="s">
        <v>1837</v>
      </c>
      <c r="M82" s="106"/>
      <c r="N82" s="155" t="s">
        <v>37</v>
      </c>
      <c r="O82" s="155" t="s">
        <v>943</v>
      </c>
      <c r="P82" s="155" t="s">
        <v>943</v>
      </c>
      <c r="Q82" s="155" t="s">
        <v>944</v>
      </c>
      <c r="R82" s="106" t="s">
        <v>945</v>
      </c>
      <c r="S82" s="169"/>
      <c r="T82" s="169"/>
      <c r="U82" s="169"/>
      <c r="V82" s="169"/>
    </row>
    <row r="83" spans="2:22" ht="47.25">
      <c r="B83" s="318"/>
      <c r="C83" s="314"/>
      <c r="D83" s="314"/>
      <c r="E83" s="314"/>
      <c r="F83" s="314"/>
      <c r="G83" s="314"/>
      <c r="H83" s="314"/>
      <c r="I83" s="314"/>
      <c r="J83" s="76" t="s">
        <v>389</v>
      </c>
      <c r="K83" s="106" t="s">
        <v>1660</v>
      </c>
      <c r="L83" s="106" t="s">
        <v>1838</v>
      </c>
      <c r="M83" s="106"/>
      <c r="N83" s="155" t="s">
        <v>37</v>
      </c>
      <c r="O83" s="155" t="s">
        <v>943</v>
      </c>
      <c r="P83" s="155" t="s">
        <v>943</v>
      </c>
      <c r="Q83" s="155" t="s">
        <v>944</v>
      </c>
      <c r="R83" s="106" t="s">
        <v>945</v>
      </c>
      <c r="S83" s="169"/>
      <c r="T83" s="169"/>
      <c r="U83" s="169"/>
      <c r="V83" s="169"/>
    </row>
    <row r="84" spans="2:22" ht="63">
      <c r="B84" s="318"/>
      <c r="C84" s="314"/>
      <c r="D84" s="314"/>
      <c r="E84" s="314"/>
      <c r="F84" s="314"/>
      <c r="G84" s="314"/>
      <c r="H84" s="314"/>
      <c r="I84" s="314"/>
      <c r="J84" s="107" t="s">
        <v>1047</v>
      </c>
      <c r="K84" s="313" t="s">
        <v>1660</v>
      </c>
      <c r="L84" s="313" t="s">
        <v>390</v>
      </c>
      <c r="M84" s="106" t="s">
        <v>1823</v>
      </c>
      <c r="N84" s="155" t="s">
        <v>37</v>
      </c>
      <c r="O84" s="155" t="s">
        <v>943</v>
      </c>
      <c r="P84" s="155" t="s">
        <v>943</v>
      </c>
      <c r="Q84" s="155" t="s">
        <v>944</v>
      </c>
      <c r="R84" s="106" t="s">
        <v>1017</v>
      </c>
      <c r="S84" s="169"/>
      <c r="T84" s="169"/>
      <c r="U84" s="169"/>
      <c r="V84" s="169"/>
    </row>
    <row r="85" spans="2:22" ht="47.25">
      <c r="B85" s="318"/>
      <c r="C85" s="314"/>
      <c r="D85" s="314"/>
      <c r="E85" s="314"/>
      <c r="F85" s="314"/>
      <c r="G85" s="314"/>
      <c r="H85" s="314"/>
      <c r="I85" s="314"/>
      <c r="J85" s="107" t="s">
        <v>1048</v>
      </c>
      <c r="K85" s="315"/>
      <c r="L85" s="315"/>
      <c r="M85" s="106" t="s">
        <v>1822</v>
      </c>
      <c r="N85" s="155" t="s">
        <v>37</v>
      </c>
      <c r="O85" s="155" t="s">
        <v>943</v>
      </c>
      <c r="P85" s="155" t="s">
        <v>943</v>
      </c>
      <c r="Q85" s="155" t="s">
        <v>944</v>
      </c>
      <c r="R85" s="106" t="s">
        <v>945</v>
      </c>
      <c r="S85" s="155"/>
      <c r="T85" s="155"/>
      <c r="U85" s="155"/>
      <c r="V85" s="155"/>
    </row>
    <row r="86" spans="2:22" ht="47.25">
      <c r="B86" s="318"/>
      <c r="C86" s="314"/>
      <c r="D86" s="314"/>
      <c r="E86" s="314"/>
      <c r="F86" s="314"/>
      <c r="G86" s="314"/>
      <c r="H86" s="314"/>
      <c r="I86" s="314"/>
      <c r="J86" s="76" t="s">
        <v>391</v>
      </c>
      <c r="K86" s="106" t="s">
        <v>1660</v>
      </c>
      <c r="L86" s="106" t="s">
        <v>1837</v>
      </c>
      <c r="M86" s="106"/>
      <c r="N86" s="155" t="s">
        <v>37</v>
      </c>
      <c r="O86" s="155" t="s">
        <v>943</v>
      </c>
      <c r="P86" s="155" t="s">
        <v>943</v>
      </c>
      <c r="Q86" s="155" t="s">
        <v>944</v>
      </c>
      <c r="R86" s="106" t="s">
        <v>945</v>
      </c>
      <c r="S86" s="155"/>
      <c r="T86" s="155"/>
      <c r="U86" s="155"/>
      <c r="V86" s="155"/>
    </row>
    <row r="87" spans="2:22" ht="47.25">
      <c r="B87" s="318"/>
      <c r="C87" s="314"/>
      <c r="D87" s="314"/>
      <c r="E87" s="314"/>
      <c r="F87" s="314"/>
      <c r="G87" s="314"/>
      <c r="H87" s="314"/>
      <c r="I87" s="314"/>
      <c r="J87" s="76" t="s">
        <v>392</v>
      </c>
      <c r="K87" s="106" t="s">
        <v>1660</v>
      </c>
      <c r="L87" s="106" t="s">
        <v>1838</v>
      </c>
      <c r="M87" s="106"/>
      <c r="N87" s="155" t="s">
        <v>37</v>
      </c>
      <c r="O87" s="155" t="s">
        <v>943</v>
      </c>
      <c r="P87" s="155" t="s">
        <v>943</v>
      </c>
      <c r="Q87" s="155" t="s">
        <v>944</v>
      </c>
      <c r="R87" s="106" t="s">
        <v>945</v>
      </c>
      <c r="S87" s="155"/>
      <c r="T87" s="155"/>
      <c r="U87" s="155"/>
      <c r="V87" s="155"/>
    </row>
    <row r="88" spans="2:22" ht="63">
      <c r="B88" s="318"/>
      <c r="C88" s="314"/>
      <c r="D88" s="314"/>
      <c r="E88" s="314"/>
      <c r="F88" s="314"/>
      <c r="G88" s="314"/>
      <c r="H88" s="314"/>
      <c r="I88" s="314"/>
      <c r="J88" s="107" t="s">
        <v>1049</v>
      </c>
      <c r="K88" s="313" t="s">
        <v>1660</v>
      </c>
      <c r="L88" s="313" t="s">
        <v>393</v>
      </c>
      <c r="M88" s="106" t="s">
        <v>1823</v>
      </c>
      <c r="N88" s="155" t="s">
        <v>37</v>
      </c>
      <c r="O88" s="155" t="s">
        <v>943</v>
      </c>
      <c r="P88" s="155" t="s">
        <v>943</v>
      </c>
      <c r="Q88" s="155" t="s">
        <v>944</v>
      </c>
      <c r="R88" s="106" t="s">
        <v>1017</v>
      </c>
      <c r="S88" s="169"/>
      <c r="T88" s="169"/>
      <c r="U88" s="169"/>
      <c r="V88" s="169"/>
    </row>
    <row r="89" spans="2:22" ht="47.25">
      <c r="B89" s="318"/>
      <c r="C89" s="314"/>
      <c r="D89" s="314"/>
      <c r="E89" s="314"/>
      <c r="F89" s="314"/>
      <c r="G89" s="314"/>
      <c r="H89" s="314"/>
      <c r="I89" s="314"/>
      <c r="J89" s="107" t="s">
        <v>1050</v>
      </c>
      <c r="K89" s="315"/>
      <c r="L89" s="315"/>
      <c r="M89" s="106" t="s">
        <v>1822</v>
      </c>
      <c r="N89" s="155" t="s">
        <v>37</v>
      </c>
      <c r="O89" s="155" t="s">
        <v>943</v>
      </c>
      <c r="P89" s="155" t="s">
        <v>943</v>
      </c>
      <c r="Q89" s="155" t="s">
        <v>944</v>
      </c>
      <c r="R89" s="106" t="s">
        <v>945</v>
      </c>
      <c r="S89" s="169"/>
      <c r="T89" s="169"/>
      <c r="U89" s="169"/>
      <c r="V89" s="169"/>
    </row>
    <row r="90" spans="2:22" ht="47.25">
      <c r="B90" s="318"/>
      <c r="C90" s="314"/>
      <c r="D90" s="314"/>
      <c r="E90" s="314"/>
      <c r="F90" s="314"/>
      <c r="G90" s="314"/>
      <c r="H90" s="314"/>
      <c r="I90" s="314"/>
      <c r="J90" s="76" t="s">
        <v>394</v>
      </c>
      <c r="K90" s="106" t="s">
        <v>1660</v>
      </c>
      <c r="L90" s="106" t="s">
        <v>1837</v>
      </c>
      <c r="M90" s="106"/>
      <c r="N90" s="155" t="s">
        <v>37</v>
      </c>
      <c r="O90" s="155" t="s">
        <v>943</v>
      </c>
      <c r="P90" s="155" t="s">
        <v>943</v>
      </c>
      <c r="Q90" s="155" t="s">
        <v>944</v>
      </c>
      <c r="R90" s="106" t="s">
        <v>945</v>
      </c>
      <c r="S90" s="169"/>
      <c r="T90" s="169"/>
      <c r="U90" s="169"/>
      <c r="V90" s="169"/>
    </row>
    <row r="91" spans="2:22" ht="47.25">
      <c r="B91" s="318"/>
      <c r="C91" s="314"/>
      <c r="D91" s="314"/>
      <c r="E91" s="314"/>
      <c r="F91" s="314"/>
      <c r="G91" s="314"/>
      <c r="H91" s="314"/>
      <c r="I91" s="314"/>
      <c r="J91" s="76" t="s">
        <v>395</v>
      </c>
      <c r="K91" s="106" t="s">
        <v>1660</v>
      </c>
      <c r="L91" s="106" t="s">
        <v>1838</v>
      </c>
      <c r="M91" s="106"/>
      <c r="N91" s="155" t="s">
        <v>37</v>
      </c>
      <c r="O91" s="155" t="s">
        <v>943</v>
      </c>
      <c r="P91" s="155" t="s">
        <v>943</v>
      </c>
      <c r="Q91" s="155" t="s">
        <v>944</v>
      </c>
      <c r="R91" s="106" t="s">
        <v>945</v>
      </c>
      <c r="S91" s="169"/>
      <c r="T91" s="169"/>
      <c r="U91" s="169"/>
      <c r="V91" s="169"/>
    </row>
    <row r="92" spans="2:22" ht="63">
      <c r="B92" s="318"/>
      <c r="C92" s="314"/>
      <c r="D92" s="314"/>
      <c r="E92" s="314"/>
      <c r="F92" s="314"/>
      <c r="G92" s="314"/>
      <c r="H92" s="314"/>
      <c r="I92" s="314"/>
      <c r="J92" s="107" t="s">
        <v>1051</v>
      </c>
      <c r="K92" s="313" t="s">
        <v>1660</v>
      </c>
      <c r="L92" s="313" t="s">
        <v>396</v>
      </c>
      <c r="M92" s="106" t="s">
        <v>1823</v>
      </c>
      <c r="N92" s="155" t="s">
        <v>37</v>
      </c>
      <c r="O92" s="155" t="s">
        <v>943</v>
      </c>
      <c r="P92" s="155" t="s">
        <v>943</v>
      </c>
      <c r="Q92" s="155" t="s">
        <v>944</v>
      </c>
      <c r="R92" s="106" t="s">
        <v>1017</v>
      </c>
      <c r="S92" s="169"/>
      <c r="T92" s="169"/>
      <c r="U92" s="169"/>
      <c r="V92" s="169"/>
    </row>
    <row r="93" spans="2:22" ht="47.25">
      <c r="B93" s="318"/>
      <c r="C93" s="314"/>
      <c r="D93" s="314"/>
      <c r="E93" s="314"/>
      <c r="F93" s="314"/>
      <c r="G93" s="314"/>
      <c r="H93" s="314"/>
      <c r="I93" s="314"/>
      <c r="J93" s="107" t="s">
        <v>1052</v>
      </c>
      <c r="K93" s="315"/>
      <c r="L93" s="315"/>
      <c r="M93" s="106" t="s">
        <v>1822</v>
      </c>
      <c r="N93" s="155" t="s">
        <v>37</v>
      </c>
      <c r="O93" s="155" t="s">
        <v>943</v>
      </c>
      <c r="P93" s="155" t="s">
        <v>943</v>
      </c>
      <c r="Q93" s="155" t="s">
        <v>944</v>
      </c>
      <c r="R93" s="106" t="s">
        <v>945</v>
      </c>
      <c r="S93" s="169"/>
      <c r="T93" s="169"/>
      <c r="U93" s="169"/>
      <c r="V93" s="169"/>
    </row>
    <row r="94" spans="2:22" ht="47.25">
      <c r="B94" s="318"/>
      <c r="C94" s="314"/>
      <c r="D94" s="314"/>
      <c r="E94" s="314"/>
      <c r="F94" s="314"/>
      <c r="G94" s="314"/>
      <c r="H94" s="314"/>
      <c r="I94" s="314"/>
      <c r="J94" s="76" t="s">
        <v>397</v>
      </c>
      <c r="K94" s="106" t="s">
        <v>1660</v>
      </c>
      <c r="L94" s="106" t="s">
        <v>1837</v>
      </c>
      <c r="M94" s="106"/>
      <c r="N94" s="155" t="s">
        <v>37</v>
      </c>
      <c r="O94" s="155" t="s">
        <v>943</v>
      </c>
      <c r="P94" s="155" t="s">
        <v>943</v>
      </c>
      <c r="Q94" s="155" t="s">
        <v>944</v>
      </c>
      <c r="R94" s="106" t="s">
        <v>945</v>
      </c>
      <c r="S94" s="169"/>
      <c r="T94" s="169"/>
      <c r="U94" s="169"/>
      <c r="V94" s="169"/>
    </row>
    <row r="95" spans="2:22" ht="47.25">
      <c r="B95" s="318"/>
      <c r="C95" s="314"/>
      <c r="D95" s="314"/>
      <c r="E95" s="314"/>
      <c r="F95" s="314"/>
      <c r="G95" s="314"/>
      <c r="H95" s="314"/>
      <c r="I95" s="314"/>
      <c r="J95" s="76" t="s">
        <v>398</v>
      </c>
      <c r="K95" s="106" t="s">
        <v>1660</v>
      </c>
      <c r="L95" s="106" t="s">
        <v>1838</v>
      </c>
      <c r="M95" s="106"/>
      <c r="N95" s="155" t="s">
        <v>37</v>
      </c>
      <c r="O95" s="155" t="s">
        <v>943</v>
      </c>
      <c r="P95" s="155" t="s">
        <v>943</v>
      </c>
      <c r="Q95" s="155" t="s">
        <v>944</v>
      </c>
      <c r="R95" s="106" t="s">
        <v>945</v>
      </c>
      <c r="S95" s="169"/>
      <c r="T95" s="169"/>
      <c r="U95" s="169"/>
      <c r="V95" s="169"/>
    </row>
    <row r="96" spans="2:22" ht="63">
      <c r="B96" s="318"/>
      <c r="C96" s="314"/>
      <c r="D96" s="314"/>
      <c r="E96" s="314"/>
      <c r="F96" s="314"/>
      <c r="G96" s="314"/>
      <c r="H96" s="314"/>
      <c r="I96" s="314"/>
      <c r="J96" s="107" t="s">
        <v>1053</v>
      </c>
      <c r="K96" s="313" t="s">
        <v>1660</v>
      </c>
      <c r="L96" s="313" t="s">
        <v>399</v>
      </c>
      <c r="M96" s="106" t="s">
        <v>1823</v>
      </c>
      <c r="N96" s="155" t="s">
        <v>37</v>
      </c>
      <c r="O96" s="155" t="s">
        <v>943</v>
      </c>
      <c r="P96" s="155" t="s">
        <v>943</v>
      </c>
      <c r="Q96" s="155" t="s">
        <v>944</v>
      </c>
      <c r="R96" s="106" t="s">
        <v>1017</v>
      </c>
      <c r="S96" s="169"/>
      <c r="T96" s="169"/>
      <c r="U96" s="169"/>
      <c r="V96" s="169"/>
    </row>
    <row r="97" spans="2:22" ht="47.25">
      <c r="B97" s="318"/>
      <c r="C97" s="314"/>
      <c r="D97" s="314"/>
      <c r="E97" s="314"/>
      <c r="F97" s="314"/>
      <c r="G97" s="314"/>
      <c r="H97" s="314"/>
      <c r="I97" s="314"/>
      <c r="J97" s="107" t="s">
        <v>1053</v>
      </c>
      <c r="K97" s="315"/>
      <c r="L97" s="315"/>
      <c r="M97" s="106" t="s">
        <v>1822</v>
      </c>
      <c r="N97" s="155" t="s">
        <v>37</v>
      </c>
      <c r="O97" s="155" t="s">
        <v>943</v>
      </c>
      <c r="P97" s="155" t="s">
        <v>943</v>
      </c>
      <c r="Q97" s="155" t="s">
        <v>944</v>
      </c>
      <c r="R97" s="106" t="s">
        <v>945</v>
      </c>
      <c r="S97" s="169"/>
      <c r="T97" s="169"/>
      <c r="U97" s="169"/>
      <c r="V97" s="169"/>
    </row>
    <row r="98" spans="2:22" ht="47.25">
      <c r="B98" s="318"/>
      <c r="C98" s="314"/>
      <c r="D98" s="314"/>
      <c r="E98" s="314"/>
      <c r="F98" s="314"/>
      <c r="G98" s="314"/>
      <c r="H98" s="314"/>
      <c r="I98" s="314"/>
      <c r="J98" s="76" t="s">
        <v>400</v>
      </c>
      <c r="K98" s="106" t="s">
        <v>1660</v>
      </c>
      <c r="L98" s="106" t="s">
        <v>1837</v>
      </c>
      <c r="M98" s="106"/>
      <c r="N98" s="155" t="s">
        <v>37</v>
      </c>
      <c r="O98" s="155" t="s">
        <v>943</v>
      </c>
      <c r="P98" s="155" t="s">
        <v>943</v>
      </c>
      <c r="Q98" s="155" t="s">
        <v>944</v>
      </c>
      <c r="R98" s="106" t="s">
        <v>945</v>
      </c>
      <c r="S98" s="155"/>
      <c r="T98" s="155"/>
      <c r="U98" s="155"/>
      <c r="V98" s="155"/>
    </row>
    <row r="99" spans="2:22" ht="47.25">
      <c r="B99" s="318"/>
      <c r="C99" s="314"/>
      <c r="D99" s="314"/>
      <c r="E99" s="314"/>
      <c r="F99" s="314"/>
      <c r="G99" s="314"/>
      <c r="H99" s="314"/>
      <c r="I99" s="314"/>
      <c r="J99" s="76" t="s">
        <v>401</v>
      </c>
      <c r="K99" s="106" t="s">
        <v>1660</v>
      </c>
      <c r="L99" s="106" t="s">
        <v>1838</v>
      </c>
      <c r="M99" s="106"/>
      <c r="N99" s="155" t="s">
        <v>37</v>
      </c>
      <c r="O99" s="155" t="s">
        <v>943</v>
      </c>
      <c r="P99" s="155" t="s">
        <v>943</v>
      </c>
      <c r="Q99" s="155" t="s">
        <v>944</v>
      </c>
      <c r="R99" s="106" t="s">
        <v>945</v>
      </c>
      <c r="S99" s="155"/>
      <c r="T99" s="155"/>
      <c r="U99" s="155"/>
      <c r="V99" s="155"/>
    </row>
    <row r="100" spans="2:22" ht="63">
      <c r="B100" s="318"/>
      <c r="C100" s="314"/>
      <c r="D100" s="314"/>
      <c r="E100" s="314"/>
      <c r="F100" s="314"/>
      <c r="G100" s="314"/>
      <c r="H100" s="314"/>
      <c r="I100" s="314"/>
      <c r="J100" s="107" t="s">
        <v>1054</v>
      </c>
      <c r="K100" s="313" t="s">
        <v>1660</v>
      </c>
      <c r="L100" s="313" t="s">
        <v>402</v>
      </c>
      <c r="M100" s="106" t="s">
        <v>1823</v>
      </c>
      <c r="N100" s="155" t="s">
        <v>37</v>
      </c>
      <c r="O100" s="155" t="s">
        <v>943</v>
      </c>
      <c r="P100" s="155" t="s">
        <v>943</v>
      </c>
      <c r="Q100" s="155" t="s">
        <v>944</v>
      </c>
      <c r="R100" s="106" t="s">
        <v>1017</v>
      </c>
      <c r="S100" s="169"/>
      <c r="T100" s="169"/>
      <c r="U100" s="169"/>
      <c r="V100" s="169"/>
    </row>
    <row r="101" spans="2:22" ht="47.25">
      <c r="B101" s="318"/>
      <c r="C101" s="314"/>
      <c r="D101" s="314"/>
      <c r="E101" s="314"/>
      <c r="F101" s="314"/>
      <c r="G101" s="314"/>
      <c r="H101" s="314"/>
      <c r="I101" s="314"/>
      <c r="J101" s="107" t="s">
        <v>1054</v>
      </c>
      <c r="K101" s="315"/>
      <c r="L101" s="315"/>
      <c r="M101" s="106" t="s">
        <v>1822</v>
      </c>
      <c r="N101" s="155" t="s">
        <v>37</v>
      </c>
      <c r="O101" s="155" t="s">
        <v>943</v>
      </c>
      <c r="P101" s="155" t="s">
        <v>943</v>
      </c>
      <c r="Q101" s="155" t="s">
        <v>944</v>
      </c>
      <c r="R101" s="106" t="s">
        <v>945</v>
      </c>
      <c r="S101" s="169"/>
      <c r="T101" s="169"/>
      <c r="U101" s="169"/>
      <c r="V101" s="169"/>
    </row>
    <row r="102" spans="2:22" ht="47.25">
      <c r="B102" s="318"/>
      <c r="C102" s="314"/>
      <c r="D102" s="314"/>
      <c r="E102" s="314"/>
      <c r="F102" s="314"/>
      <c r="G102" s="314"/>
      <c r="H102" s="314"/>
      <c r="I102" s="314"/>
      <c r="J102" s="76" t="s">
        <v>403</v>
      </c>
      <c r="K102" s="106" t="s">
        <v>1660</v>
      </c>
      <c r="L102" s="106" t="s">
        <v>1837</v>
      </c>
      <c r="M102" s="106"/>
      <c r="N102" s="155" t="s">
        <v>37</v>
      </c>
      <c r="O102" s="155" t="s">
        <v>943</v>
      </c>
      <c r="P102" s="155" t="s">
        <v>943</v>
      </c>
      <c r="Q102" s="155" t="s">
        <v>944</v>
      </c>
      <c r="R102" s="106" t="s">
        <v>945</v>
      </c>
      <c r="S102" s="169"/>
      <c r="T102" s="169"/>
      <c r="U102" s="169"/>
      <c r="V102" s="169"/>
    </row>
    <row r="103" spans="2:22" ht="47.25">
      <c r="B103" s="318"/>
      <c r="C103" s="314"/>
      <c r="D103" s="314"/>
      <c r="E103" s="314"/>
      <c r="F103" s="314"/>
      <c r="G103" s="314"/>
      <c r="H103" s="314"/>
      <c r="I103" s="314"/>
      <c r="J103" s="76" t="s">
        <v>404</v>
      </c>
      <c r="K103" s="106" t="s">
        <v>1660</v>
      </c>
      <c r="L103" s="106" t="s">
        <v>1838</v>
      </c>
      <c r="M103" s="106"/>
      <c r="N103" s="155" t="s">
        <v>37</v>
      </c>
      <c r="O103" s="155" t="s">
        <v>943</v>
      </c>
      <c r="P103" s="155" t="s">
        <v>943</v>
      </c>
      <c r="Q103" s="155" t="s">
        <v>944</v>
      </c>
      <c r="R103" s="106" t="s">
        <v>945</v>
      </c>
      <c r="S103" s="169"/>
      <c r="T103" s="169"/>
      <c r="U103" s="169"/>
      <c r="V103" s="169"/>
    </row>
    <row r="104" spans="2:22" ht="63">
      <c r="B104" s="318"/>
      <c r="C104" s="314"/>
      <c r="D104" s="314"/>
      <c r="E104" s="314"/>
      <c r="F104" s="314"/>
      <c r="G104" s="314"/>
      <c r="H104" s="314"/>
      <c r="I104" s="314"/>
      <c r="J104" s="107" t="s">
        <v>1055</v>
      </c>
      <c r="K104" s="313" t="s">
        <v>1660</v>
      </c>
      <c r="L104" s="313" t="s">
        <v>405</v>
      </c>
      <c r="M104" s="106" t="s">
        <v>1823</v>
      </c>
      <c r="N104" s="155" t="s">
        <v>37</v>
      </c>
      <c r="O104" s="155" t="s">
        <v>943</v>
      </c>
      <c r="P104" s="155" t="s">
        <v>943</v>
      </c>
      <c r="Q104" s="155" t="s">
        <v>944</v>
      </c>
      <c r="R104" s="106" t="s">
        <v>1017</v>
      </c>
      <c r="S104" s="169"/>
      <c r="T104" s="169"/>
      <c r="U104" s="169"/>
      <c r="V104" s="169"/>
    </row>
    <row r="105" spans="2:22" ht="47.25">
      <c r="B105" s="318"/>
      <c r="C105" s="314"/>
      <c r="D105" s="314"/>
      <c r="E105" s="314"/>
      <c r="F105" s="314"/>
      <c r="G105" s="314"/>
      <c r="H105" s="314"/>
      <c r="I105" s="314"/>
      <c r="J105" s="107" t="s">
        <v>1056</v>
      </c>
      <c r="K105" s="315"/>
      <c r="L105" s="315"/>
      <c r="M105" s="106" t="s">
        <v>1822</v>
      </c>
      <c r="N105" s="155" t="s">
        <v>37</v>
      </c>
      <c r="O105" s="155" t="s">
        <v>943</v>
      </c>
      <c r="P105" s="155" t="s">
        <v>943</v>
      </c>
      <c r="Q105" s="155" t="s">
        <v>944</v>
      </c>
      <c r="R105" s="106" t="s">
        <v>945</v>
      </c>
      <c r="S105" s="169"/>
      <c r="T105" s="169"/>
      <c r="U105" s="169"/>
      <c r="V105" s="169"/>
    </row>
    <row r="106" spans="2:22" ht="47.25">
      <c r="B106" s="318"/>
      <c r="C106" s="314"/>
      <c r="D106" s="314"/>
      <c r="E106" s="314"/>
      <c r="F106" s="314"/>
      <c r="G106" s="314"/>
      <c r="H106" s="314"/>
      <c r="I106" s="314"/>
      <c r="J106" s="76" t="s">
        <v>406</v>
      </c>
      <c r="K106" s="106" t="s">
        <v>1660</v>
      </c>
      <c r="L106" s="106" t="s">
        <v>1837</v>
      </c>
      <c r="M106" s="106"/>
      <c r="N106" s="155" t="s">
        <v>37</v>
      </c>
      <c r="O106" s="155" t="s">
        <v>943</v>
      </c>
      <c r="P106" s="155" t="s">
        <v>943</v>
      </c>
      <c r="Q106" s="155" t="s">
        <v>944</v>
      </c>
      <c r="R106" s="106" t="s">
        <v>945</v>
      </c>
      <c r="S106" s="169"/>
      <c r="T106" s="169"/>
      <c r="U106" s="169"/>
      <c r="V106" s="169"/>
    </row>
    <row r="107" spans="2:22" ht="47.25">
      <c r="B107" s="318"/>
      <c r="C107" s="314"/>
      <c r="D107" s="314"/>
      <c r="E107" s="314"/>
      <c r="F107" s="314"/>
      <c r="G107" s="314"/>
      <c r="H107" s="314"/>
      <c r="I107" s="314"/>
      <c r="J107" s="76" t="s">
        <v>407</v>
      </c>
      <c r="K107" s="106" t="s">
        <v>1660</v>
      </c>
      <c r="L107" s="106" t="s">
        <v>1838</v>
      </c>
      <c r="M107" s="106"/>
      <c r="N107" s="155" t="s">
        <v>37</v>
      </c>
      <c r="O107" s="155" t="s">
        <v>943</v>
      </c>
      <c r="P107" s="155" t="s">
        <v>943</v>
      </c>
      <c r="Q107" s="155" t="s">
        <v>944</v>
      </c>
      <c r="R107" s="106" t="s">
        <v>945</v>
      </c>
      <c r="S107" s="169"/>
      <c r="T107" s="169"/>
      <c r="U107" s="169"/>
      <c r="V107" s="169"/>
    </row>
    <row r="108" spans="2:22" ht="63">
      <c r="B108" s="318"/>
      <c r="C108" s="314"/>
      <c r="D108" s="314"/>
      <c r="E108" s="314"/>
      <c r="F108" s="314"/>
      <c r="G108" s="314"/>
      <c r="H108" s="314"/>
      <c r="I108" s="314"/>
      <c r="J108" s="107" t="s">
        <v>1057</v>
      </c>
      <c r="K108" s="313" t="s">
        <v>1660</v>
      </c>
      <c r="L108" s="313" t="s">
        <v>408</v>
      </c>
      <c r="M108" s="106" t="s">
        <v>1823</v>
      </c>
      <c r="N108" s="155" t="s">
        <v>37</v>
      </c>
      <c r="O108" s="155" t="s">
        <v>943</v>
      </c>
      <c r="P108" s="155" t="s">
        <v>943</v>
      </c>
      <c r="Q108" s="155" t="s">
        <v>944</v>
      </c>
      <c r="R108" s="106" t="s">
        <v>1017</v>
      </c>
      <c r="S108" s="169"/>
      <c r="T108" s="169"/>
      <c r="U108" s="169"/>
      <c r="V108" s="169"/>
    </row>
    <row r="109" spans="2:22" ht="47.25">
      <c r="B109" s="318"/>
      <c r="C109" s="314"/>
      <c r="D109" s="314"/>
      <c r="E109" s="314"/>
      <c r="F109" s="314"/>
      <c r="G109" s="314"/>
      <c r="H109" s="314"/>
      <c r="I109" s="314"/>
      <c r="J109" s="107" t="s">
        <v>1058</v>
      </c>
      <c r="K109" s="315"/>
      <c r="L109" s="315"/>
      <c r="M109" s="106" t="s">
        <v>1822</v>
      </c>
      <c r="N109" s="155" t="s">
        <v>37</v>
      </c>
      <c r="O109" s="155" t="s">
        <v>943</v>
      </c>
      <c r="P109" s="155" t="s">
        <v>943</v>
      </c>
      <c r="Q109" s="155" t="s">
        <v>944</v>
      </c>
      <c r="R109" s="106" t="s">
        <v>945</v>
      </c>
      <c r="S109" s="169"/>
      <c r="T109" s="169"/>
      <c r="U109" s="169"/>
      <c r="V109" s="169"/>
    </row>
    <row r="110" spans="2:22" ht="47.25">
      <c r="B110" s="318"/>
      <c r="C110" s="314"/>
      <c r="D110" s="314"/>
      <c r="E110" s="314"/>
      <c r="F110" s="314"/>
      <c r="G110" s="314"/>
      <c r="H110" s="314"/>
      <c r="I110" s="314"/>
      <c r="J110" s="76" t="s">
        <v>409</v>
      </c>
      <c r="K110" s="106" t="s">
        <v>1660</v>
      </c>
      <c r="L110" s="106" t="s">
        <v>1837</v>
      </c>
      <c r="M110" s="106"/>
      <c r="N110" s="155" t="s">
        <v>37</v>
      </c>
      <c r="O110" s="155" t="s">
        <v>943</v>
      </c>
      <c r="P110" s="155" t="s">
        <v>943</v>
      </c>
      <c r="Q110" s="155" t="s">
        <v>944</v>
      </c>
      <c r="R110" s="106" t="s">
        <v>945</v>
      </c>
      <c r="S110" s="169"/>
      <c r="T110" s="169"/>
      <c r="U110" s="169"/>
      <c r="V110" s="169"/>
    </row>
    <row r="111" spans="2:22" ht="47.25">
      <c r="B111" s="318"/>
      <c r="C111" s="314"/>
      <c r="D111" s="314"/>
      <c r="E111" s="314"/>
      <c r="F111" s="314"/>
      <c r="G111" s="314"/>
      <c r="H111" s="314"/>
      <c r="I111" s="314"/>
      <c r="J111" s="76" t="s">
        <v>410</v>
      </c>
      <c r="K111" s="106" t="s">
        <v>1660</v>
      </c>
      <c r="L111" s="106" t="s">
        <v>1838</v>
      </c>
      <c r="M111" s="106"/>
      <c r="N111" s="155" t="s">
        <v>37</v>
      </c>
      <c r="O111" s="155" t="s">
        <v>943</v>
      </c>
      <c r="P111" s="155" t="s">
        <v>943</v>
      </c>
      <c r="Q111" s="155" t="s">
        <v>944</v>
      </c>
      <c r="R111" s="106" t="s">
        <v>945</v>
      </c>
      <c r="S111" s="169"/>
      <c r="T111" s="169"/>
      <c r="U111" s="169"/>
      <c r="V111" s="169"/>
    </row>
    <row r="112" spans="2:22" ht="63">
      <c r="B112" s="318"/>
      <c r="C112" s="314"/>
      <c r="D112" s="314"/>
      <c r="E112" s="314"/>
      <c r="F112" s="314"/>
      <c r="G112" s="314"/>
      <c r="H112" s="314"/>
      <c r="I112" s="314"/>
      <c r="J112" s="107" t="s">
        <v>1059</v>
      </c>
      <c r="K112" s="313" t="s">
        <v>1660</v>
      </c>
      <c r="L112" s="313" t="s">
        <v>411</v>
      </c>
      <c r="M112" s="106" t="s">
        <v>1823</v>
      </c>
      <c r="N112" s="155" t="s">
        <v>37</v>
      </c>
      <c r="O112" s="155" t="s">
        <v>943</v>
      </c>
      <c r="P112" s="155" t="s">
        <v>943</v>
      </c>
      <c r="Q112" s="155" t="s">
        <v>944</v>
      </c>
      <c r="R112" s="106" t="s">
        <v>1017</v>
      </c>
      <c r="S112" s="169"/>
      <c r="T112" s="169"/>
      <c r="U112" s="169"/>
      <c r="V112" s="169"/>
    </row>
    <row r="113" spans="2:22" ht="47.25">
      <c r="B113" s="318"/>
      <c r="C113" s="314"/>
      <c r="D113" s="314"/>
      <c r="E113" s="314"/>
      <c r="F113" s="314"/>
      <c r="G113" s="314"/>
      <c r="H113" s="314"/>
      <c r="I113" s="314"/>
      <c r="J113" s="107" t="s">
        <v>1060</v>
      </c>
      <c r="K113" s="315"/>
      <c r="L113" s="315"/>
      <c r="M113" s="106" t="s">
        <v>1822</v>
      </c>
      <c r="N113" s="155" t="s">
        <v>37</v>
      </c>
      <c r="O113" s="155" t="s">
        <v>943</v>
      </c>
      <c r="P113" s="155" t="s">
        <v>943</v>
      </c>
      <c r="Q113" s="155" t="s">
        <v>944</v>
      </c>
      <c r="R113" s="106" t="s">
        <v>945</v>
      </c>
      <c r="S113" s="155"/>
      <c r="T113" s="155"/>
      <c r="U113" s="155"/>
      <c r="V113" s="155"/>
    </row>
    <row r="114" spans="2:22" ht="47.25">
      <c r="B114" s="318"/>
      <c r="C114" s="314"/>
      <c r="D114" s="314"/>
      <c r="E114" s="314"/>
      <c r="F114" s="314"/>
      <c r="G114" s="314"/>
      <c r="H114" s="314"/>
      <c r="I114" s="314"/>
      <c r="J114" s="76" t="s">
        <v>412</v>
      </c>
      <c r="K114" s="106" t="s">
        <v>1660</v>
      </c>
      <c r="L114" s="106" t="s">
        <v>1837</v>
      </c>
      <c r="M114" s="106"/>
      <c r="N114" s="155" t="s">
        <v>37</v>
      </c>
      <c r="O114" s="155" t="s">
        <v>943</v>
      </c>
      <c r="P114" s="155" t="s">
        <v>943</v>
      </c>
      <c r="Q114" s="155" t="s">
        <v>944</v>
      </c>
      <c r="R114" s="106" t="s">
        <v>945</v>
      </c>
      <c r="S114" s="155"/>
      <c r="T114" s="155"/>
      <c r="U114" s="155"/>
      <c r="V114" s="155"/>
    </row>
    <row r="115" spans="2:22" ht="47.25">
      <c r="B115" s="319"/>
      <c r="C115" s="315"/>
      <c r="D115" s="315"/>
      <c r="E115" s="315"/>
      <c r="F115" s="315"/>
      <c r="G115" s="315"/>
      <c r="H115" s="315"/>
      <c r="I115" s="315"/>
      <c r="J115" s="76" t="s">
        <v>413</v>
      </c>
      <c r="K115" s="106" t="s">
        <v>1660</v>
      </c>
      <c r="L115" s="106" t="s">
        <v>1838</v>
      </c>
      <c r="M115" s="106"/>
      <c r="N115" s="155" t="s">
        <v>37</v>
      </c>
      <c r="O115" s="155" t="s">
        <v>943</v>
      </c>
      <c r="P115" s="155" t="s">
        <v>943</v>
      </c>
      <c r="Q115" s="155" t="s">
        <v>944</v>
      </c>
      <c r="R115" s="106" t="s">
        <v>945</v>
      </c>
      <c r="S115" s="155"/>
      <c r="T115" s="155"/>
      <c r="U115" s="155"/>
      <c r="V115" s="155"/>
    </row>
    <row r="116" spans="2:22" ht="63" customHeight="1">
      <c r="B116" s="311" t="s">
        <v>414</v>
      </c>
      <c r="C116" s="313" t="s">
        <v>365</v>
      </c>
      <c r="D116" s="313" t="s">
        <v>12</v>
      </c>
      <c r="E116" s="313" t="s">
        <v>1665</v>
      </c>
      <c r="F116" s="313" t="s">
        <v>415</v>
      </c>
      <c r="G116" s="313" t="s">
        <v>1958</v>
      </c>
      <c r="H116" s="313"/>
      <c r="I116" s="313" t="s">
        <v>950</v>
      </c>
      <c r="J116" s="103" t="s">
        <v>983</v>
      </c>
      <c r="K116" s="313" t="s">
        <v>1660</v>
      </c>
      <c r="L116" s="313" t="s">
        <v>1771</v>
      </c>
      <c r="M116" s="105"/>
      <c r="N116" s="155" t="s">
        <v>37</v>
      </c>
      <c r="O116" s="155" t="s">
        <v>22</v>
      </c>
      <c r="P116" s="155" t="s">
        <v>22</v>
      </c>
      <c r="Q116" s="155" t="s">
        <v>944</v>
      </c>
      <c r="R116" s="106" t="s">
        <v>945</v>
      </c>
      <c r="S116" s="155"/>
      <c r="T116" s="155"/>
      <c r="U116" s="155"/>
      <c r="V116" s="155"/>
    </row>
    <row r="117" spans="2:22" ht="47.25">
      <c r="B117" s="312"/>
      <c r="C117" s="314"/>
      <c r="D117" s="314"/>
      <c r="E117" s="314"/>
      <c r="F117" s="314"/>
      <c r="G117" s="314"/>
      <c r="H117" s="314"/>
      <c r="I117" s="314"/>
      <c r="J117" s="103" t="s">
        <v>984</v>
      </c>
      <c r="K117" s="315"/>
      <c r="L117" s="315"/>
      <c r="M117" s="106" t="s">
        <v>1840</v>
      </c>
      <c r="N117" s="155" t="s">
        <v>37</v>
      </c>
      <c r="O117" s="155" t="s">
        <v>22</v>
      </c>
      <c r="P117" s="155" t="s">
        <v>22</v>
      </c>
      <c r="Q117" s="155" t="s">
        <v>944</v>
      </c>
      <c r="R117" s="106" t="s">
        <v>945</v>
      </c>
      <c r="S117" s="155"/>
      <c r="T117" s="155"/>
      <c r="U117" s="155"/>
      <c r="V117" s="155"/>
    </row>
    <row r="118" spans="2:22" ht="47.25">
      <c r="B118" s="312"/>
      <c r="C118" s="314"/>
      <c r="D118" s="314"/>
      <c r="E118" s="314"/>
      <c r="F118" s="314"/>
      <c r="G118" s="314"/>
      <c r="H118" s="314"/>
      <c r="I118" s="314"/>
      <c r="J118" s="76" t="s">
        <v>416</v>
      </c>
      <c r="K118" s="106" t="s">
        <v>1660</v>
      </c>
      <c r="L118" s="106" t="s">
        <v>1839</v>
      </c>
      <c r="M118" s="106"/>
      <c r="N118" s="155" t="s">
        <v>37</v>
      </c>
      <c r="O118" s="155" t="s">
        <v>22</v>
      </c>
      <c r="P118" s="155" t="s">
        <v>22</v>
      </c>
      <c r="Q118" s="155" t="s">
        <v>944</v>
      </c>
      <c r="R118" s="106" t="s">
        <v>945</v>
      </c>
      <c r="S118" s="155"/>
      <c r="T118" s="155"/>
      <c r="U118" s="155"/>
      <c r="V118" s="155"/>
    </row>
    <row r="119" spans="2:22" ht="47.25">
      <c r="B119" s="312"/>
      <c r="C119" s="314"/>
      <c r="D119" s="314"/>
      <c r="E119" s="314"/>
      <c r="F119" s="314"/>
      <c r="G119" s="314"/>
      <c r="H119" s="314"/>
      <c r="I119" s="314"/>
      <c r="J119" s="76" t="s">
        <v>417</v>
      </c>
      <c r="K119" s="106" t="s">
        <v>1660</v>
      </c>
      <c r="L119" s="106" t="s">
        <v>1841</v>
      </c>
      <c r="M119" s="106"/>
      <c r="N119" s="155" t="s">
        <v>37</v>
      </c>
      <c r="O119" s="155" t="s">
        <v>22</v>
      </c>
      <c r="P119" s="155" t="s">
        <v>22</v>
      </c>
      <c r="Q119" s="155" t="s">
        <v>944</v>
      </c>
      <c r="R119" s="106" t="s">
        <v>945</v>
      </c>
      <c r="S119" s="155"/>
      <c r="T119" s="155"/>
      <c r="U119" s="155"/>
      <c r="V119" s="155"/>
    </row>
    <row r="120" spans="2:22" ht="63" customHeight="1">
      <c r="B120" s="312"/>
      <c r="C120" s="314"/>
      <c r="D120" s="314"/>
      <c r="E120" s="314"/>
      <c r="F120" s="314"/>
      <c r="G120" s="314"/>
      <c r="H120" s="314"/>
      <c r="I120" s="314"/>
      <c r="J120" s="103" t="s">
        <v>985</v>
      </c>
      <c r="K120" s="313" t="s">
        <v>1660</v>
      </c>
      <c r="L120" s="313" t="s">
        <v>1772</v>
      </c>
      <c r="M120" s="105"/>
      <c r="N120" s="155" t="s">
        <v>37</v>
      </c>
      <c r="O120" s="155" t="s">
        <v>22</v>
      </c>
      <c r="P120" s="155" t="s">
        <v>22</v>
      </c>
      <c r="Q120" s="155" t="s">
        <v>944</v>
      </c>
      <c r="R120" s="106" t="s">
        <v>945</v>
      </c>
      <c r="S120" s="155"/>
      <c r="T120" s="155"/>
      <c r="U120" s="155"/>
      <c r="V120" s="155"/>
    </row>
    <row r="121" spans="2:22" ht="47.25">
      <c r="B121" s="312"/>
      <c r="C121" s="314"/>
      <c r="D121" s="314"/>
      <c r="E121" s="314"/>
      <c r="F121" s="314"/>
      <c r="G121" s="314"/>
      <c r="H121" s="314"/>
      <c r="I121" s="314"/>
      <c r="J121" s="103" t="s">
        <v>986</v>
      </c>
      <c r="K121" s="315"/>
      <c r="L121" s="315"/>
      <c r="M121" s="106" t="s">
        <v>1840</v>
      </c>
      <c r="N121" s="155" t="s">
        <v>37</v>
      </c>
      <c r="O121" s="155" t="s">
        <v>22</v>
      </c>
      <c r="P121" s="155" t="s">
        <v>22</v>
      </c>
      <c r="Q121" s="155" t="s">
        <v>944</v>
      </c>
      <c r="R121" s="106" t="s">
        <v>945</v>
      </c>
      <c r="S121" s="155"/>
      <c r="T121" s="155"/>
      <c r="U121" s="155"/>
      <c r="V121" s="155"/>
    </row>
    <row r="122" spans="2:22" ht="47.25">
      <c r="B122" s="312"/>
      <c r="C122" s="314"/>
      <c r="D122" s="314"/>
      <c r="E122" s="314"/>
      <c r="F122" s="314"/>
      <c r="G122" s="314"/>
      <c r="H122" s="314"/>
      <c r="I122" s="314"/>
      <c r="J122" s="76" t="s">
        <v>418</v>
      </c>
      <c r="K122" s="106" t="s">
        <v>1660</v>
      </c>
      <c r="L122" s="106" t="s">
        <v>1839</v>
      </c>
      <c r="M122" s="106"/>
      <c r="N122" s="155" t="s">
        <v>37</v>
      </c>
      <c r="O122" s="155" t="s">
        <v>22</v>
      </c>
      <c r="P122" s="155" t="s">
        <v>22</v>
      </c>
      <c r="Q122" s="155" t="s">
        <v>944</v>
      </c>
      <c r="R122" s="106" t="s">
        <v>945</v>
      </c>
      <c r="S122" s="155"/>
      <c r="T122" s="155"/>
      <c r="U122" s="155"/>
      <c r="V122" s="155"/>
    </row>
    <row r="123" spans="2:22" ht="47.25">
      <c r="B123" s="312"/>
      <c r="C123" s="314"/>
      <c r="D123" s="314"/>
      <c r="E123" s="314"/>
      <c r="F123" s="314"/>
      <c r="G123" s="314"/>
      <c r="H123" s="314"/>
      <c r="I123" s="314"/>
      <c r="J123" s="76" t="s">
        <v>419</v>
      </c>
      <c r="K123" s="106" t="s">
        <v>1660</v>
      </c>
      <c r="L123" s="106" t="s">
        <v>1841</v>
      </c>
      <c r="M123" s="106"/>
      <c r="N123" s="155" t="s">
        <v>37</v>
      </c>
      <c r="O123" s="155" t="s">
        <v>22</v>
      </c>
      <c r="P123" s="155" t="s">
        <v>22</v>
      </c>
      <c r="Q123" s="155" t="s">
        <v>944</v>
      </c>
      <c r="R123" s="106" t="s">
        <v>945</v>
      </c>
      <c r="S123" s="155"/>
      <c r="T123" s="155"/>
      <c r="U123" s="155"/>
      <c r="V123" s="155"/>
    </row>
    <row r="124" spans="2:22" ht="63" customHeight="1">
      <c r="B124" s="312"/>
      <c r="C124" s="314"/>
      <c r="D124" s="314"/>
      <c r="E124" s="314"/>
      <c r="F124" s="314"/>
      <c r="G124" s="314"/>
      <c r="H124" s="314"/>
      <c r="I124" s="314"/>
      <c r="J124" s="103" t="s">
        <v>987</v>
      </c>
      <c r="K124" s="313" t="s">
        <v>1660</v>
      </c>
      <c r="L124" s="313" t="s">
        <v>1773</v>
      </c>
      <c r="M124" s="105"/>
      <c r="N124" s="155" t="s">
        <v>37</v>
      </c>
      <c r="O124" s="155" t="s">
        <v>22</v>
      </c>
      <c r="P124" s="155" t="s">
        <v>22</v>
      </c>
      <c r="Q124" s="155" t="s">
        <v>944</v>
      </c>
      <c r="R124" s="106" t="s">
        <v>945</v>
      </c>
      <c r="S124" s="155"/>
      <c r="T124" s="155"/>
      <c r="U124" s="155"/>
      <c r="V124" s="155"/>
    </row>
    <row r="125" spans="2:22" ht="47.25">
      <c r="B125" s="312"/>
      <c r="C125" s="314"/>
      <c r="D125" s="314"/>
      <c r="E125" s="314"/>
      <c r="F125" s="314"/>
      <c r="G125" s="314"/>
      <c r="H125" s="314"/>
      <c r="I125" s="314"/>
      <c r="J125" s="103" t="s">
        <v>988</v>
      </c>
      <c r="K125" s="315"/>
      <c r="L125" s="315"/>
      <c r="M125" s="106" t="s">
        <v>1840</v>
      </c>
      <c r="N125" s="155" t="s">
        <v>37</v>
      </c>
      <c r="O125" s="155" t="s">
        <v>22</v>
      </c>
      <c r="P125" s="155" t="s">
        <v>22</v>
      </c>
      <c r="Q125" s="155" t="s">
        <v>944</v>
      </c>
      <c r="R125" s="106" t="s">
        <v>945</v>
      </c>
      <c r="S125" s="155"/>
      <c r="T125" s="155"/>
      <c r="U125" s="155"/>
      <c r="V125" s="155"/>
    </row>
    <row r="126" spans="2:22" ht="47.25">
      <c r="B126" s="312"/>
      <c r="C126" s="314"/>
      <c r="D126" s="314"/>
      <c r="E126" s="314"/>
      <c r="F126" s="314"/>
      <c r="G126" s="314"/>
      <c r="H126" s="314"/>
      <c r="I126" s="314"/>
      <c r="J126" s="76" t="s">
        <v>420</v>
      </c>
      <c r="K126" s="106" t="s">
        <v>1660</v>
      </c>
      <c r="L126" s="106" t="s">
        <v>1839</v>
      </c>
      <c r="M126" s="106"/>
      <c r="N126" s="155" t="s">
        <v>37</v>
      </c>
      <c r="O126" s="155" t="s">
        <v>22</v>
      </c>
      <c r="P126" s="155" t="s">
        <v>22</v>
      </c>
      <c r="Q126" s="155" t="s">
        <v>944</v>
      </c>
      <c r="R126" s="106" t="s">
        <v>945</v>
      </c>
      <c r="S126" s="155"/>
      <c r="T126" s="155"/>
      <c r="U126" s="155"/>
      <c r="V126" s="155"/>
    </row>
    <row r="127" spans="2:22" ht="47.25">
      <c r="B127" s="312"/>
      <c r="C127" s="314"/>
      <c r="D127" s="314"/>
      <c r="E127" s="314"/>
      <c r="F127" s="314"/>
      <c r="G127" s="314"/>
      <c r="H127" s="314"/>
      <c r="I127" s="314"/>
      <c r="J127" s="76" t="s">
        <v>421</v>
      </c>
      <c r="K127" s="106" t="s">
        <v>1660</v>
      </c>
      <c r="L127" s="106" t="s">
        <v>1841</v>
      </c>
      <c r="M127" s="106"/>
      <c r="N127" s="155" t="s">
        <v>37</v>
      </c>
      <c r="O127" s="155" t="s">
        <v>22</v>
      </c>
      <c r="P127" s="155" t="s">
        <v>22</v>
      </c>
      <c r="Q127" s="155" t="s">
        <v>944</v>
      </c>
      <c r="R127" s="106" t="s">
        <v>945</v>
      </c>
      <c r="S127" s="155"/>
      <c r="T127" s="155"/>
      <c r="U127" s="155"/>
      <c r="V127" s="155"/>
    </row>
    <row r="128" spans="2:22" ht="63" customHeight="1">
      <c r="B128" s="312"/>
      <c r="C128" s="314"/>
      <c r="D128" s="314"/>
      <c r="E128" s="314"/>
      <c r="F128" s="314"/>
      <c r="G128" s="314"/>
      <c r="H128" s="314"/>
      <c r="I128" s="314"/>
      <c r="J128" s="103" t="s">
        <v>989</v>
      </c>
      <c r="K128" s="313" t="s">
        <v>1660</v>
      </c>
      <c r="L128" s="313" t="s">
        <v>1774</v>
      </c>
      <c r="M128" s="105"/>
      <c r="N128" s="155" t="s">
        <v>37</v>
      </c>
      <c r="O128" s="155" t="s">
        <v>22</v>
      </c>
      <c r="P128" s="155" t="s">
        <v>22</v>
      </c>
      <c r="Q128" s="155" t="s">
        <v>944</v>
      </c>
      <c r="R128" s="106" t="s">
        <v>945</v>
      </c>
      <c r="S128" s="155"/>
      <c r="T128" s="155"/>
      <c r="U128" s="155"/>
      <c r="V128" s="155"/>
    </row>
    <row r="129" spans="2:22" ht="47.25">
      <c r="B129" s="312"/>
      <c r="C129" s="314"/>
      <c r="D129" s="314"/>
      <c r="E129" s="314"/>
      <c r="F129" s="314"/>
      <c r="G129" s="314"/>
      <c r="H129" s="314"/>
      <c r="I129" s="314"/>
      <c r="J129" s="103" t="s">
        <v>990</v>
      </c>
      <c r="K129" s="315"/>
      <c r="L129" s="315"/>
      <c r="M129" s="106" t="s">
        <v>1840</v>
      </c>
      <c r="N129" s="155" t="s">
        <v>37</v>
      </c>
      <c r="O129" s="155" t="s">
        <v>22</v>
      </c>
      <c r="P129" s="155" t="s">
        <v>22</v>
      </c>
      <c r="Q129" s="155" t="s">
        <v>944</v>
      </c>
      <c r="R129" s="106" t="s">
        <v>945</v>
      </c>
      <c r="S129" s="155"/>
      <c r="T129" s="155"/>
      <c r="U129" s="155"/>
      <c r="V129" s="155"/>
    </row>
    <row r="130" spans="2:22" ht="47.25">
      <c r="B130" s="312"/>
      <c r="C130" s="314"/>
      <c r="D130" s="314"/>
      <c r="E130" s="314"/>
      <c r="F130" s="314"/>
      <c r="G130" s="314"/>
      <c r="H130" s="314"/>
      <c r="I130" s="314"/>
      <c r="J130" s="76" t="s">
        <v>422</v>
      </c>
      <c r="K130" s="106" t="s">
        <v>1660</v>
      </c>
      <c r="L130" s="106" t="s">
        <v>1839</v>
      </c>
      <c r="M130" s="106"/>
      <c r="N130" s="155" t="s">
        <v>37</v>
      </c>
      <c r="O130" s="155" t="s">
        <v>22</v>
      </c>
      <c r="P130" s="155" t="s">
        <v>22</v>
      </c>
      <c r="Q130" s="155" t="s">
        <v>944</v>
      </c>
      <c r="R130" s="106" t="s">
        <v>945</v>
      </c>
      <c r="S130" s="155"/>
      <c r="T130" s="155"/>
      <c r="U130" s="155"/>
      <c r="V130" s="155"/>
    </row>
    <row r="131" spans="2:22" ht="47.25">
      <c r="B131" s="312"/>
      <c r="C131" s="314"/>
      <c r="D131" s="314"/>
      <c r="E131" s="314"/>
      <c r="F131" s="314"/>
      <c r="G131" s="314"/>
      <c r="H131" s="314"/>
      <c r="I131" s="314"/>
      <c r="J131" s="76" t="s">
        <v>423</v>
      </c>
      <c r="K131" s="106" t="s">
        <v>1660</v>
      </c>
      <c r="L131" s="106" t="s">
        <v>1841</v>
      </c>
      <c r="M131" s="106"/>
      <c r="N131" s="155" t="s">
        <v>37</v>
      </c>
      <c r="O131" s="155" t="s">
        <v>22</v>
      </c>
      <c r="P131" s="155" t="s">
        <v>22</v>
      </c>
      <c r="Q131" s="155" t="s">
        <v>944</v>
      </c>
      <c r="R131" s="106" t="s">
        <v>945</v>
      </c>
      <c r="S131" s="155"/>
      <c r="T131" s="155"/>
      <c r="U131" s="155"/>
      <c r="V131" s="155"/>
    </row>
    <row r="132" spans="2:22" ht="63" customHeight="1">
      <c r="B132" s="312"/>
      <c r="C132" s="314"/>
      <c r="D132" s="314"/>
      <c r="E132" s="314"/>
      <c r="F132" s="314"/>
      <c r="G132" s="314"/>
      <c r="H132" s="314"/>
      <c r="I132" s="314"/>
      <c r="J132" s="103" t="s">
        <v>991</v>
      </c>
      <c r="K132" s="313" t="s">
        <v>1660</v>
      </c>
      <c r="L132" s="313" t="s">
        <v>1669</v>
      </c>
      <c r="M132" s="105"/>
      <c r="N132" s="155" t="s">
        <v>37</v>
      </c>
      <c r="O132" s="155" t="s">
        <v>943</v>
      </c>
      <c r="P132" s="155" t="s">
        <v>943</v>
      </c>
      <c r="Q132" s="155" t="s">
        <v>944</v>
      </c>
      <c r="R132" s="106" t="s">
        <v>945</v>
      </c>
      <c r="S132" s="155"/>
      <c r="T132" s="155"/>
      <c r="U132" s="155"/>
      <c r="V132" s="155"/>
    </row>
    <row r="133" spans="2:22" ht="47.25">
      <c r="B133" s="312"/>
      <c r="C133" s="314"/>
      <c r="D133" s="314"/>
      <c r="E133" s="314"/>
      <c r="F133" s="314"/>
      <c r="G133" s="314"/>
      <c r="H133" s="314"/>
      <c r="I133" s="314"/>
      <c r="J133" s="103" t="s">
        <v>992</v>
      </c>
      <c r="K133" s="315"/>
      <c r="L133" s="315"/>
      <c r="M133" s="106" t="s">
        <v>1840</v>
      </c>
      <c r="N133" s="155" t="s">
        <v>37</v>
      </c>
      <c r="O133" s="155" t="s">
        <v>943</v>
      </c>
      <c r="P133" s="155" t="s">
        <v>943</v>
      </c>
      <c r="Q133" s="155" t="s">
        <v>944</v>
      </c>
      <c r="R133" s="106" t="s">
        <v>945</v>
      </c>
      <c r="S133" s="155"/>
      <c r="T133" s="155"/>
      <c r="U133" s="155"/>
      <c r="V133" s="155"/>
    </row>
    <row r="134" spans="2:22" ht="47.25">
      <c r="B134" s="312"/>
      <c r="C134" s="314"/>
      <c r="D134" s="314"/>
      <c r="E134" s="314"/>
      <c r="F134" s="314"/>
      <c r="G134" s="314"/>
      <c r="H134" s="314"/>
      <c r="I134" s="314"/>
      <c r="J134" s="76" t="s">
        <v>424</v>
      </c>
      <c r="K134" s="106" t="s">
        <v>1660</v>
      </c>
      <c r="L134" s="106" t="s">
        <v>1842</v>
      </c>
      <c r="M134" s="106"/>
      <c r="N134" s="155" t="s">
        <v>37</v>
      </c>
      <c r="O134" s="155" t="s">
        <v>943</v>
      </c>
      <c r="P134" s="155" t="s">
        <v>943</v>
      </c>
      <c r="Q134" s="155" t="s">
        <v>944</v>
      </c>
      <c r="R134" s="106" t="s">
        <v>945</v>
      </c>
      <c r="S134" s="155"/>
      <c r="T134" s="155"/>
      <c r="U134" s="155"/>
      <c r="V134" s="155"/>
    </row>
    <row r="135" spans="2:22" ht="47.25">
      <c r="B135" s="312"/>
      <c r="C135" s="314"/>
      <c r="D135" s="314"/>
      <c r="E135" s="314"/>
      <c r="F135" s="314"/>
      <c r="G135" s="314"/>
      <c r="H135" s="314"/>
      <c r="I135" s="314"/>
      <c r="J135" s="76" t="s">
        <v>425</v>
      </c>
      <c r="K135" s="106" t="s">
        <v>1660</v>
      </c>
      <c r="L135" s="106" t="s">
        <v>1843</v>
      </c>
      <c r="M135" s="106"/>
      <c r="N135" s="155" t="s">
        <v>37</v>
      </c>
      <c r="O135" s="155" t="s">
        <v>943</v>
      </c>
      <c r="P135" s="155" t="s">
        <v>943</v>
      </c>
      <c r="Q135" s="155" t="s">
        <v>944</v>
      </c>
      <c r="R135" s="106" t="s">
        <v>945</v>
      </c>
      <c r="S135" s="155"/>
      <c r="T135" s="155"/>
      <c r="U135" s="155"/>
      <c r="V135" s="155"/>
    </row>
    <row r="136" spans="2:22" ht="63" customHeight="1">
      <c r="B136" s="312"/>
      <c r="C136" s="314"/>
      <c r="D136" s="314"/>
      <c r="E136" s="314"/>
      <c r="F136" s="314"/>
      <c r="G136" s="314"/>
      <c r="H136" s="314"/>
      <c r="I136" s="314"/>
      <c r="J136" s="103" t="s">
        <v>993</v>
      </c>
      <c r="K136" s="313" t="s">
        <v>1660</v>
      </c>
      <c r="L136" s="313" t="s">
        <v>1670</v>
      </c>
      <c r="M136" s="105"/>
      <c r="N136" s="155" t="s">
        <v>37</v>
      </c>
      <c r="O136" s="155" t="s">
        <v>943</v>
      </c>
      <c r="P136" s="155" t="s">
        <v>943</v>
      </c>
      <c r="Q136" s="155" t="s">
        <v>944</v>
      </c>
      <c r="R136" s="106" t="s">
        <v>945</v>
      </c>
      <c r="S136" s="155"/>
      <c r="T136" s="155"/>
      <c r="U136" s="155"/>
      <c r="V136" s="155"/>
    </row>
    <row r="137" spans="2:22" ht="47.25">
      <c r="B137" s="312"/>
      <c r="C137" s="314"/>
      <c r="D137" s="314"/>
      <c r="E137" s="314"/>
      <c r="F137" s="314"/>
      <c r="G137" s="314"/>
      <c r="H137" s="314"/>
      <c r="I137" s="314"/>
      <c r="J137" s="103" t="s">
        <v>994</v>
      </c>
      <c r="K137" s="315"/>
      <c r="L137" s="315"/>
      <c r="M137" s="106" t="s">
        <v>1840</v>
      </c>
      <c r="N137" s="155" t="s">
        <v>37</v>
      </c>
      <c r="O137" s="155" t="s">
        <v>943</v>
      </c>
      <c r="P137" s="155" t="s">
        <v>943</v>
      </c>
      <c r="Q137" s="155" t="s">
        <v>944</v>
      </c>
      <c r="R137" s="106" t="s">
        <v>945</v>
      </c>
      <c r="S137" s="155"/>
      <c r="T137" s="155"/>
      <c r="U137" s="155"/>
      <c r="V137" s="155"/>
    </row>
    <row r="138" spans="2:22" ht="47.25">
      <c r="B138" s="312"/>
      <c r="C138" s="314"/>
      <c r="D138" s="314"/>
      <c r="E138" s="314"/>
      <c r="F138" s="314"/>
      <c r="G138" s="314"/>
      <c r="H138" s="314"/>
      <c r="I138" s="314"/>
      <c r="J138" s="76" t="s">
        <v>426</v>
      </c>
      <c r="K138" s="106" t="s">
        <v>1660</v>
      </c>
      <c r="L138" s="106" t="s">
        <v>1842</v>
      </c>
      <c r="M138" s="106"/>
      <c r="N138" s="155" t="s">
        <v>37</v>
      </c>
      <c r="O138" s="155" t="s">
        <v>943</v>
      </c>
      <c r="P138" s="155" t="s">
        <v>943</v>
      </c>
      <c r="Q138" s="155" t="s">
        <v>944</v>
      </c>
      <c r="R138" s="106" t="s">
        <v>945</v>
      </c>
      <c r="S138" s="155"/>
      <c r="T138" s="155"/>
      <c r="U138" s="155"/>
      <c r="V138" s="155"/>
    </row>
    <row r="139" spans="2:22" ht="47.25">
      <c r="B139" s="312"/>
      <c r="C139" s="314"/>
      <c r="D139" s="314"/>
      <c r="E139" s="314"/>
      <c r="F139" s="314"/>
      <c r="G139" s="314"/>
      <c r="H139" s="314"/>
      <c r="I139" s="314"/>
      <c r="J139" s="76" t="s">
        <v>427</v>
      </c>
      <c r="K139" s="106" t="s">
        <v>1660</v>
      </c>
      <c r="L139" s="106" t="s">
        <v>1843</v>
      </c>
      <c r="M139" s="106"/>
      <c r="N139" s="155" t="s">
        <v>37</v>
      </c>
      <c r="O139" s="155" t="s">
        <v>943</v>
      </c>
      <c r="P139" s="155" t="s">
        <v>943</v>
      </c>
      <c r="Q139" s="155" t="s">
        <v>944</v>
      </c>
      <c r="R139" s="106" t="s">
        <v>945</v>
      </c>
      <c r="S139" s="155"/>
      <c r="T139" s="155"/>
      <c r="U139" s="155"/>
      <c r="V139" s="155"/>
    </row>
    <row r="140" spans="2:22" ht="47.25" customHeight="1">
      <c r="B140" s="312"/>
      <c r="C140" s="314"/>
      <c r="D140" s="314"/>
      <c r="E140" s="314"/>
      <c r="F140" s="314"/>
      <c r="G140" s="314"/>
      <c r="H140" s="314"/>
      <c r="I140" s="314"/>
      <c r="J140" s="103" t="s">
        <v>995</v>
      </c>
      <c r="K140" s="313" t="s">
        <v>1660</v>
      </c>
      <c r="L140" s="313" t="s">
        <v>1671</v>
      </c>
      <c r="M140" s="105"/>
      <c r="N140" s="155" t="s">
        <v>37</v>
      </c>
      <c r="O140" s="155" t="s">
        <v>943</v>
      </c>
      <c r="P140" s="155" t="s">
        <v>943</v>
      </c>
      <c r="Q140" s="155" t="s">
        <v>944</v>
      </c>
      <c r="R140" s="106" t="s">
        <v>945</v>
      </c>
      <c r="S140" s="155"/>
      <c r="T140" s="155"/>
      <c r="U140" s="155"/>
      <c r="V140" s="155"/>
    </row>
    <row r="141" spans="2:22" ht="47.25">
      <c r="B141" s="312"/>
      <c r="C141" s="314"/>
      <c r="D141" s="314"/>
      <c r="E141" s="314"/>
      <c r="F141" s="314"/>
      <c r="G141" s="314"/>
      <c r="H141" s="314"/>
      <c r="I141" s="314"/>
      <c r="J141" s="103" t="s">
        <v>996</v>
      </c>
      <c r="K141" s="315"/>
      <c r="L141" s="315"/>
      <c r="M141" s="106" t="s">
        <v>1840</v>
      </c>
      <c r="N141" s="155" t="s">
        <v>37</v>
      </c>
      <c r="O141" s="155" t="s">
        <v>943</v>
      </c>
      <c r="P141" s="155" t="s">
        <v>943</v>
      </c>
      <c r="Q141" s="155" t="s">
        <v>944</v>
      </c>
      <c r="R141" s="106" t="s">
        <v>945</v>
      </c>
      <c r="S141" s="155"/>
      <c r="T141" s="155"/>
      <c r="U141" s="155"/>
      <c r="V141" s="155"/>
    </row>
    <row r="142" spans="2:22" ht="47.25">
      <c r="B142" s="312"/>
      <c r="C142" s="314"/>
      <c r="D142" s="314"/>
      <c r="E142" s="314"/>
      <c r="F142" s="314"/>
      <c r="G142" s="314"/>
      <c r="H142" s="314"/>
      <c r="I142" s="314"/>
      <c r="J142" s="76" t="s">
        <v>428</v>
      </c>
      <c r="K142" s="106" t="s">
        <v>1660</v>
      </c>
      <c r="L142" s="106" t="s">
        <v>1844</v>
      </c>
      <c r="M142" s="106"/>
      <c r="N142" s="155" t="s">
        <v>37</v>
      </c>
      <c r="O142" s="155" t="s">
        <v>943</v>
      </c>
      <c r="P142" s="155" t="s">
        <v>943</v>
      </c>
      <c r="Q142" s="155" t="s">
        <v>944</v>
      </c>
      <c r="R142" s="106" t="s">
        <v>945</v>
      </c>
      <c r="S142" s="155"/>
      <c r="T142" s="155"/>
      <c r="U142" s="155"/>
      <c r="V142" s="155"/>
    </row>
    <row r="143" spans="2:22" ht="47.25">
      <c r="B143" s="312"/>
      <c r="C143" s="314"/>
      <c r="D143" s="314"/>
      <c r="E143" s="314"/>
      <c r="F143" s="314"/>
      <c r="G143" s="314"/>
      <c r="H143" s="314"/>
      <c r="I143" s="314"/>
      <c r="J143" s="76" t="s">
        <v>429</v>
      </c>
      <c r="K143" s="106" t="s">
        <v>1660</v>
      </c>
      <c r="L143" s="106" t="s">
        <v>1845</v>
      </c>
      <c r="M143" s="106"/>
      <c r="N143" s="155" t="s">
        <v>37</v>
      </c>
      <c r="O143" s="155" t="s">
        <v>943</v>
      </c>
      <c r="P143" s="155" t="s">
        <v>943</v>
      </c>
      <c r="Q143" s="155" t="s">
        <v>944</v>
      </c>
      <c r="R143" s="106" t="s">
        <v>945</v>
      </c>
      <c r="S143" s="155"/>
      <c r="T143" s="155"/>
      <c r="U143" s="155"/>
      <c r="V143" s="155"/>
    </row>
    <row r="144" spans="2:22" ht="47.25" customHeight="1">
      <c r="B144" s="312"/>
      <c r="C144" s="314"/>
      <c r="D144" s="314"/>
      <c r="E144" s="314"/>
      <c r="F144" s="314"/>
      <c r="G144" s="314"/>
      <c r="H144" s="314"/>
      <c r="I144" s="314"/>
      <c r="J144" s="103" t="s">
        <v>997</v>
      </c>
      <c r="K144" s="313" t="s">
        <v>1660</v>
      </c>
      <c r="L144" s="313" t="s">
        <v>1672</v>
      </c>
      <c r="M144" s="105"/>
      <c r="N144" s="155" t="s">
        <v>37</v>
      </c>
      <c r="O144" s="155" t="s">
        <v>943</v>
      </c>
      <c r="P144" s="155" t="s">
        <v>943</v>
      </c>
      <c r="Q144" s="155" t="s">
        <v>944</v>
      </c>
      <c r="R144" s="106" t="s">
        <v>945</v>
      </c>
      <c r="S144" s="155"/>
      <c r="T144" s="155"/>
      <c r="U144" s="155"/>
      <c r="V144" s="155"/>
    </row>
    <row r="145" spans="2:22" ht="47.25">
      <c r="B145" s="312"/>
      <c r="C145" s="314"/>
      <c r="D145" s="314"/>
      <c r="E145" s="314"/>
      <c r="F145" s="314"/>
      <c r="G145" s="314"/>
      <c r="H145" s="314"/>
      <c r="I145" s="314"/>
      <c r="J145" s="103" t="s">
        <v>998</v>
      </c>
      <c r="K145" s="315"/>
      <c r="L145" s="315"/>
      <c r="M145" s="106" t="s">
        <v>1840</v>
      </c>
      <c r="N145" s="155" t="s">
        <v>37</v>
      </c>
      <c r="O145" s="155" t="s">
        <v>943</v>
      </c>
      <c r="P145" s="155" t="s">
        <v>943</v>
      </c>
      <c r="Q145" s="155" t="s">
        <v>944</v>
      </c>
      <c r="R145" s="106" t="s">
        <v>945</v>
      </c>
      <c r="S145" s="155"/>
      <c r="T145" s="155"/>
      <c r="U145" s="155"/>
      <c r="V145" s="155"/>
    </row>
    <row r="146" spans="2:22" ht="47.25">
      <c r="B146" s="312"/>
      <c r="C146" s="314"/>
      <c r="D146" s="314"/>
      <c r="E146" s="314"/>
      <c r="F146" s="314"/>
      <c r="G146" s="314"/>
      <c r="H146" s="314"/>
      <c r="I146" s="314"/>
      <c r="J146" s="76" t="s">
        <v>430</v>
      </c>
      <c r="K146" s="106" t="s">
        <v>1660</v>
      </c>
      <c r="L146" s="106" t="s">
        <v>1844</v>
      </c>
      <c r="M146" s="106"/>
      <c r="N146" s="155" t="s">
        <v>37</v>
      </c>
      <c r="O146" s="155" t="s">
        <v>943</v>
      </c>
      <c r="P146" s="155" t="s">
        <v>943</v>
      </c>
      <c r="Q146" s="155" t="s">
        <v>944</v>
      </c>
      <c r="R146" s="106" t="s">
        <v>945</v>
      </c>
      <c r="S146" s="155"/>
      <c r="T146" s="155"/>
      <c r="U146" s="155"/>
      <c r="V146" s="155"/>
    </row>
    <row r="147" spans="2:22" ht="47.25">
      <c r="B147" s="312"/>
      <c r="C147" s="314"/>
      <c r="D147" s="314"/>
      <c r="E147" s="314"/>
      <c r="F147" s="314"/>
      <c r="G147" s="314"/>
      <c r="H147" s="314"/>
      <c r="I147" s="314"/>
      <c r="J147" s="76" t="s">
        <v>431</v>
      </c>
      <c r="K147" s="106" t="s">
        <v>1660</v>
      </c>
      <c r="L147" s="106" t="s">
        <v>1845</v>
      </c>
      <c r="M147" s="106"/>
      <c r="N147" s="155" t="s">
        <v>37</v>
      </c>
      <c r="O147" s="155" t="s">
        <v>943</v>
      </c>
      <c r="P147" s="155" t="s">
        <v>943</v>
      </c>
      <c r="Q147" s="155" t="s">
        <v>944</v>
      </c>
      <c r="R147" s="106" t="s">
        <v>945</v>
      </c>
      <c r="S147" s="155"/>
      <c r="T147" s="155"/>
      <c r="U147" s="155"/>
      <c r="V147" s="155"/>
    </row>
    <row r="148" spans="2:22" ht="63" customHeight="1">
      <c r="B148" s="312"/>
      <c r="C148" s="314"/>
      <c r="D148" s="314"/>
      <c r="E148" s="314"/>
      <c r="F148" s="314"/>
      <c r="G148" s="314"/>
      <c r="H148" s="314"/>
      <c r="I148" s="314"/>
      <c r="J148" s="103" t="s">
        <v>999</v>
      </c>
      <c r="K148" s="106" t="s">
        <v>1660</v>
      </c>
      <c r="L148" s="313" t="s">
        <v>1673</v>
      </c>
      <c r="M148" s="105"/>
      <c r="N148" s="155" t="s">
        <v>37</v>
      </c>
      <c r="O148" s="155" t="s">
        <v>943</v>
      </c>
      <c r="P148" s="155" t="s">
        <v>943</v>
      </c>
      <c r="Q148" s="155" t="s">
        <v>944</v>
      </c>
      <c r="R148" s="106" t="s">
        <v>945</v>
      </c>
      <c r="S148" s="155"/>
      <c r="T148" s="155"/>
      <c r="U148" s="155"/>
      <c r="V148" s="155"/>
    </row>
    <row r="149" spans="2:22" ht="47.25">
      <c r="B149" s="312"/>
      <c r="C149" s="314"/>
      <c r="D149" s="314"/>
      <c r="E149" s="314"/>
      <c r="F149" s="314"/>
      <c r="G149" s="314"/>
      <c r="H149" s="314"/>
      <c r="I149" s="314"/>
      <c r="J149" s="103" t="s">
        <v>1000</v>
      </c>
      <c r="K149" s="106" t="s">
        <v>1660</v>
      </c>
      <c r="L149" s="315"/>
      <c r="M149" s="106" t="s">
        <v>1840</v>
      </c>
      <c r="N149" s="155" t="s">
        <v>37</v>
      </c>
      <c r="O149" s="155" t="s">
        <v>943</v>
      </c>
      <c r="P149" s="155" t="s">
        <v>943</v>
      </c>
      <c r="Q149" s="155" t="s">
        <v>944</v>
      </c>
      <c r="R149" s="106" t="s">
        <v>945</v>
      </c>
      <c r="S149" s="155"/>
      <c r="T149" s="155"/>
      <c r="U149" s="155"/>
      <c r="V149" s="155"/>
    </row>
    <row r="150" spans="2:22" ht="47.25">
      <c r="B150" s="312"/>
      <c r="C150" s="314"/>
      <c r="D150" s="314"/>
      <c r="E150" s="314"/>
      <c r="F150" s="314"/>
      <c r="G150" s="314"/>
      <c r="H150" s="314"/>
      <c r="I150" s="314"/>
      <c r="J150" s="76" t="s">
        <v>432</v>
      </c>
      <c r="K150" s="106" t="s">
        <v>1660</v>
      </c>
      <c r="L150" s="106" t="s">
        <v>1959</v>
      </c>
      <c r="M150" s="106"/>
      <c r="N150" s="155" t="s">
        <v>37</v>
      </c>
      <c r="O150" s="155" t="s">
        <v>943</v>
      </c>
      <c r="P150" s="155" t="s">
        <v>943</v>
      </c>
      <c r="Q150" s="155" t="s">
        <v>944</v>
      </c>
      <c r="R150" s="106" t="s">
        <v>945</v>
      </c>
      <c r="S150" s="155"/>
      <c r="T150" s="155"/>
      <c r="U150" s="155"/>
      <c r="V150" s="155"/>
    </row>
    <row r="151" spans="2:22" ht="47.25">
      <c r="B151" s="312"/>
      <c r="C151" s="314"/>
      <c r="D151" s="314"/>
      <c r="E151" s="314"/>
      <c r="F151" s="314"/>
      <c r="G151" s="314"/>
      <c r="H151" s="314"/>
      <c r="I151" s="314"/>
      <c r="J151" s="76" t="s">
        <v>433</v>
      </c>
      <c r="K151" s="106" t="s">
        <v>1660</v>
      </c>
      <c r="L151" s="106" t="s">
        <v>1960</v>
      </c>
      <c r="M151" s="106"/>
      <c r="N151" s="155" t="s">
        <v>37</v>
      </c>
      <c r="O151" s="155" t="s">
        <v>943</v>
      </c>
      <c r="P151" s="155" t="s">
        <v>943</v>
      </c>
      <c r="Q151" s="155" t="s">
        <v>944</v>
      </c>
      <c r="R151" s="106" t="s">
        <v>945</v>
      </c>
      <c r="S151" s="155"/>
      <c r="T151" s="155"/>
      <c r="U151" s="155"/>
      <c r="V151" s="155"/>
    </row>
    <row r="152" spans="2:22" ht="63" customHeight="1">
      <c r="B152" s="312"/>
      <c r="C152" s="314"/>
      <c r="D152" s="314"/>
      <c r="E152" s="314"/>
      <c r="F152" s="314"/>
      <c r="G152" s="314"/>
      <c r="H152" s="314"/>
      <c r="I152" s="314"/>
      <c r="J152" s="103" t="s">
        <v>1001</v>
      </c>
      <c r="K152" s="313" t="s">
        <v>1660</v>
      </c>
      <c r="L152" s="313" t="s">
        <v>1961</v>
      </c>
      <c r="M152" s="105"/>
      <c r="N152" s="155" t="s">
        <v>37</v>
      </c>
      <c r="O152" s="155" t="s">
        <v>943</v>
      </c>
      <c r="P152" s="155" t="s">
        <v>943</v>
      </c>
      <c r="Q152" s="155" t="s">
        <v>944</v>
      </c>
      <c r="R152" s="106" t="s">
        <v>945</v>
      </c>
      <c r="S152" s="155"/>
      <c r="T152" s="155"/>
      <c r="U152" s="155"/>
      <c r="V152" s="155"/>
    </row>
    <row r="153" spans="2:22" ht="47.25">
      <c r="B153" s="312"/>
      <c r="C153" s="314"/>
      <c r="D153" s="314"/>
      <c r="E153" s="314"/>
      <c r="F153" s="314"/>
      <c r="G153" s="314"/>
      <c r="H153" s="314"/>
      <c r="I153" s="314"/>
      <c r="J153" s="103" t="s">
        <v>1002</v>
      </c>
      <c r="K153" s="315"/>
      <c r="L153" s="315"/>
      <c r="M153" s="106" t="s">
        <v>1840</v>
      </c>
      <c r="N153" s="155" t="s">
        <v>37</v>
      </c>
      <c r="O153" s="155" t="s">
        <v>943</v>
      </c>
      <c r="P153" s="155" t="s">
        <v>943</v>
      </c>
      <c r="Q153" s="155" t="s">
        <v>944</v>
      </c>
      <c r="R153" s="106" t="s">
        <v>945</v>
      </c>
      <c r="S153" s="155"/>
      <c r="T153" s="155"/>
      <c r="U153" s="155"/>
      <c r="V153" s="155"/>
    </row>
    <row r="154" spans="2:22" ht="47.25">
      <c r="B154" s="312"/>
      <c r="C154" s="314"/>
      <c r="D154" s="314"/>
      <c r="E154" s="314"/>
      <c r="F154" s="314"/>
      <c r="G154" s="314"/>
      <c r="H154" s="314"/>
      <c r="I154" s="314"/>
      <c r="J154" s="76" t="s">
        <v>434</v>
      </c>
      <c r="K154" s="106" t="s">
        <v>1660</v>
      </c>
      <c r="L154" s="106" t="s">
        <v>1959</v>
      </c>
      <c r="M154" s="106"/>
      <c r="N154" s="155" t="s">
        <v>37</v>
      </c>
      <c r="O154" s="155" t="s">
        <v>943</v>
      </c>
      <c r="P154" s="155" t="s">
        <v>943</v>
      </c>
      <c r="Q154" s="155" t="s">
        <v>944</v>
      </c>
      <c r="R154" s="106" t="s">
        <v>945</v>
      </c>
      <c r="S154" s="155"/>
      <c r="T154" s="155"/>
      <c r="U154" s="155"/>
      <c r="V154" s="155"/>
    </row>
    <row r="155" spans="2:22" ht="47.25">
      <c r="B155" s="312"/>
      <c r="C155" s="314"/>
      <c r="D155" s="314"/>
      <c r="E155" s="314"/>
      <c r="F155" s="314"/>
      <c r="G155" s="314"/>
      <c r="H155" s="314"/>
      <c r="I155" s="314"/>
      <c r="J155" s="76" t="s">
        <v>435</v>
      </c>
      <c r="K155" s="106" t="s">
        <v>1660</v>
      </c>
      <c r="L155" s="106" t="s">
        <v>1960</v>
      </c>
      <c r="M155" s="106"/>
      <c r="N155" s="155" t="s">
        <v>37</v>
      </c>
      <c r="O155" s="155" t="s">
        <v>943</v>
      </c>
      <c r="P155" s="155" t="s">
        <v>943</v>
      </c>
      <c r="Q155" s="155" t="s">
        <v>944</v>
      </c>
      <c r="R155" s="106" t="s">
        <v>945</v>
      </c>
      <c r="S155" s="155"/>
      <c r="T155" s="155"/>
      <c r="U155" s="155"/>
      <c r="V155" s="155"/>
    </row>
    <row r="156" spans="2:22" ht="63" customHeight="1">
      <c r="B156" s="312"/>
      <c r="C156" s="314"/>
      <c r="D156" s="314"/>
      <c r="E156" s="314"/>
      <c r="F156" s="314"/>
      <c r="G156" s="314"/>
      <c r="H156" s="314"/>
      <c r="I156" s="314"/>
      <c r="J156" s="103" t="s">
        <v>1003</v>
      </c>
      <c r="K156" s="313" t="s">
        <v>1660</v>
      </c>
      <c r="L156" s="313" t="s">
        <v>1674</v>
      </c>
      <c r="M156" s="105"/>
      <c r="N156" s="155" t="s">
        <v>37</v>
      </c>
      <c r="O156" s="155" t="s">
        <v>943</v>
      </c>
      <c r="P156" s="155" t="s">
        <v>943</v>
      </c>
      <c r="Q156" s="155" t="s">
        <v>944</v>
      </c>
      <c r="R156" s="106" t="s">
        <v>945</v>
      </c>
      <c r="S156" s="155"/>
      <c r="T156" s="155"/>
      <c r="U156" s="155"/>
      <c r="V156" s="155"/>
    </row>
    <row r="157" spans="2:22" ht="47.25">
      <c r="B157" s="312"/>
      <c r="C157" s="314"/>
      <c r="D157" s="314"/>
      <c r="E157" s="314"/>
      <c r="F157" s="314"/>
      <c r="G157" s="314"/>
      <c r="H157" s="314"/>
      <c r="I157" s="314"/>
      <c r="J157" s="103" t="s">
        <v>1004</v>
      </c>
      <c r="K157" s="315"/>
      <c r="L157" s="315"/>
      <c r="M157" s="106" t="s">
        <v>1840</v>
      </c>
      <c r="N157" s="155" t="s">
        <v>37</v>
      </c>
      <c r="O157" s="155" t="s">
        <v>943</v>
      </c>
      <c r="P157" s="155" t="s">
        <v>943</v>
      </c>
      <c r="Q157" s="155" t="s">
        <v>944</v>
      </c>
      <c r="R157" s="106" t="s">
        <v>945</v>
      </c>
      <c r="S157" s="155"/>
      <c r="T157" s="155"/>
      <c r="U157" s="155"/>
      <c r="V157" s="155"/>
    </row>
    <row r="158" spans="2:22" ht="47.25">
      <c r="B158" s="312"/>
      <c r="C158" s="314"/>
      <c r="D158" s="314"/>
      <c r="E158" s="314"/>
      <c r="F158" s="314"/>
      <c r="G158" s="314"/>
      <c r="H158" s="314"/>
      <c r="I158" s="314"/>
      <c r="J158" s="76" t="s">
        <v>436</v>
      </c>
      <c r="K158" s="106" t="s">
        <v>1660</v>
      </c>
      <c r="L158" s="106" t="s">
        <v>1959</v>
      </c>
      <c r="M158" s="106"/>
      <c r="N158" s="155" t="s">
        <v>37</v>
      </c>
      <c r="O158" s="155" t="s">
        <v>943</v>
      </c>
      <c r="P158" s="155" t="s">
        <v>943</v>
      </c>
      <c r="Q158" s="155" t="s">
        <v>944</v>
      </c>
      <c r="R158" s="106" t="s">
        <v>945</v>
      </c>
      <c r="S158" s="155"/>
      <c r="T158" s="155"/>
      <c r="U158" s="155"/>
      <c r="V158" s="155"/>
    </row>
    <row r="159" spans="2:22" ht="47.25">
      <c r="B159" s="312"/>
      <c r="C159" s="314"/>
      <c r="D159" s="314"/>
      <c r="E159" s="314"/>
      <c r="F159" s="314"/>
      <c r="G159" s="314"/>
      <c r="H159" s="314"/>
      <c r="I159" s="314"/>
      <c r="J159" s="76" t="s">
        <v>437</v>
      </c>
      <c r="K159" s="106" t="s">
        <v>1660</v>
      </c>
      <c r="L159" s="106" t="s">
        <v>1960</v>
      </c>
      <c r="M159" s="106"/>
      <c r="N159" s="155" t="s">
        <v>37</v>
      </c>
      <c r="O159" s="155" t="s">
        <v>943</v>
      </c>
      <c r="P159" s="155" t="s">
        <v>943</v>
      </c>
      <c r="Q159" s="155" t="s">
        <v>944</v>
      </c>
      <c r="R159" s="106" t="s">
        <v>945</v>
      </c>
      <c r="S159" s="155"/>
      <c r="T159" s="155"/>
      <c r="U159" s="155"/>
      <c r="V159" s="155"/>
    </row>
    <row r="160" spans="2:22" ht="63" customHeight="1">
      <c r="B160" s="312"/>
      <c r="C160" s="314"/>
      <c r="D160" s="314"/>
      <c r="E160" s="314"/>
      <c r="F160" s="314"/>
      <c r="G160" s="314"/>
      <c r="H160" s="314"/>
      <c r="I160" s="314"/>
      <c r="J160" s="103" t="s">
        <v>1005</v>
      </c>
      <c r="K160" s="313" t="s">
        <v>1660</v>
      </c>
      <c r="L160" s="313" t="s">
        <v>1962</v>
      </c>
      <c r="M160" s="105"/>
      <c r="N160" s="155" t="s">
        <v>37</v>
      </c>
      <c r="O160" s="155" t="s">
        <v>943</v>
      </c>
      <c r="P160" s="155" t="s">
        <v>943</v>
      </c>
      <c r="Q160" s="155" t="s">
        <v>944</v>
      </c>
      <c r="R160" s="106" t="s">
        <v>945</v>
      </c>
      <c r="S160" s="155"/>
      <c r="T160" s="155"/>
      <c r="U160" s="155"/>
      <c r="V160" s="155"/>
    </row>
    <row r="161" spans="2:22" ht="47.25">
      <c r="B161" s="312"/>
      <c r="C161" s="314"/>
      <c r="D161" s="314"/>
      <c r="E161" s="314"/>
      <c r="F161" s="314"/>
      <c r="G161" s="314"/>
      <c r="H161" s="314"/>
      <c r="I161" s="314"/>
      <c r="J161" s="103" t="s">
        <v>1006</v>
      </c>
      <c r="K161" s="315"/>
      <c r="L161" s="315"/>
      <c r="M161" s="106" t="s">
        <v>1840</v>
      </c>
      <c r="N161" s="155" t="s">
        <v>37</v>
      </c>
      <c r="O161" s="155" t="s">
        <v>943</v>
      </c>
      <c r="P161" s="155" t="s">
        <v>943</v>
      </c>
      <c r="Q161" s="155" t="s">
        <v>944</v>
      </c>
      <c r="R161" s="106" t="s">
        <v>945</v>
      </c>
      <c r="S161" s="155"/>
      <c r="T161" s="155"/>
      <c r="U161" s="155"/>
      <c r="V161" s="155"/>
    </row>
    <row r="162" spans="2:22" ht="47.25">
      <c r="B162" s="312"/>
      <c r="C162" s="314"/>
      <c r="D162" s="314"/>
      <c r="E162" s="314"/>
      <c r="F162" s="314"/>
      <c r="G162" s="314"/>
      <c r="H162" s="314"/>
      <c r="I162" s="314"/>
      <c r="J162" s="76" t="s">
        <v>1963</v>
      </c>
      <c r="K162" s="106" t="s">
        <v>1660</v>
      </c>
      <c r="L162" s="106" t="s">
        <v>1964</v>
      </c>
      <c r="M162" s="106"/>
      <c r="N162" s="155" t="s">
        <v>37</v>
      </c>
      <c r="O162" s="155" t="s">
        <v>943</v>
      </c>
      <c r="P162" s="155" t="s">
        <v>943</v>
      </c>
      <c r="Q162" s="155" t="s">
        <v>944</v>
      </c>
      <c r="R162" s="106" t="s">
        <v>945</v>
      </c>
      <c r="S162" s="155"/>
      <c r="T162" s="155"/>
      <c r="U162" s="155"/>
      <c r="V162" s="155"/>
    </row>
    <row r="163" spans="2:22" ht="47.25">
      <c r="B163" s="312"/>
      <c r="C163" s="314"/>
      <c r="D163" s="314"/>
      <c r="E163" s="314"/>
      <c r="F163" s="314"/>
      <c r="G163" s="314"/>
      <c r="H163" s="314"/>
      <c r="I163" s="314"/>
      <c r="J163" s="76" t="s">
        <v>1965</v>
      </c>
      <c r="K163" s="106" t="s">
        <v>1660</v>
      </c>
      <c r="L163" s="106" t="s">
        <v>1966</v>
      </c>
      <c r="M163" s="106"/>
      <c r="N163" s="155" t="s">
        <v>37</v>
      </c>
      <c r="O163" s="155" t="s">
        <v>943</v>
      </c>
      <c r="P163" s="155" t="s">
        <v>943</v>
      </c>
      <c r="Q163" s="155" t="s">
        <v>944</v>
      </c>
      <c r="R163" s="106" t="s">
        <v>945</v>
      </c>
      <c r="S163" s="155"/>
      <c r="T163" s="155"/>
      <c r="U163" s="155"/>
      <c r="V163" s="155"/>
    </row>
    <row r="164" spans="2:22" ht="63" customHeight="1">
      <c r="B164" s="312"/>
      <c r="C164" s="314"/>
      <c r="D164" s="314"/>
      <c r="E164" s="314"/>
      <c r="F164" s="314"/>
      <c r="G164" s="314"/>
      <c r="H164" s="314"/>
      <c r="I164" s="314"/>
      <c r="J164" s="103" t="s">
        <v>1967</v>
      </c>
      <c r="K164" s="313" t="s">
        <v>1660</v>
      </c>
      <c r="L164" s="313" t="s">
        <v>1968</v>
      </c>
      <c r="M164" s="105"/>
      <c r="N164" s="155" t="s">
        <v>37</v>
      </c>
      <c r="O164" s="155" t="s">
        <v>943</v>
      </c>
      <c r="P164" s="155" t="s">
        <v>943</v>
      </c>
      <c r="Q164" s="155" t="s">
        <v>944</v>
      </c>
      <c r="R164" s="106" t="s">
        <v>945</v>
      </c>
      <c r="S164" s="155"/>
      <c r="T164" s="155"/>
      <c r="U164" s="155"/>
      <c r="V164" s="155"/>
    </row>
    <row r="165" spans="2:22" ht="47.25">
      <c r="B165" s="312"/>
      <c r="C165" s="314"/>
      <c r="D165" s="314"/>
      <c r="E165" s="314"/>
      <c r="F165" s="314"/>
      <c r="G165" s="314"/>
      <c r="H165" s="314"/>
      <c r="I165" s="314"/>
      <c r="J165" s="103" t="s">
        <v>1969</v>
      </c>
      <c r="K165" s="315"/>
      <c r="L165" s="315"/>
      <c r="M165" s="106" t="s">
        <v>1840</v>
      </c>
      <c r="N165" s="155" t="s">
        <v>37</v>
      </c>
      <c r="O165" s="155" t="s">
        <v>943</v>
      </c>
      <c r="P165" s="155" t="s">
        <v>943</v>
      </c>
      <c r="Q165" s="155" t="s">
        <v>944</v>
      </c>
      <c r="R165" s="106" t="s">
        <v>945</v>
      </c>
      <c r="S165" s="155"/>
      <c r="T165" s="155"/>
      <c r="U165" s="155"/>
      <c r="V165" s="155"/>
    </row>
    <row r="166" spans="2:22" ht="47.25">
      <c r="B166" s="312"/>
      <c r="C166" s="314"/>
      <c r="D166" s="314"/>
      <c r="E166" s="314"/>
      <c r="F166" s="314"/>
      <c r="G166" s="314"/>
      <c r="H166" s="314"/>
      <c r="I166" s="314"/>
      <c r="J166" s="76" t="s">
        <v>1970</v>
      </c>
      <c r="K166" s="106" t="s">
        <v>1660</v>
      </c>
      <c r="L166" s="106" t="s">
        <v>1964</v>
      </c>
      <c r="M166" s="106"/>
      <c r="N166" s="155" t="s">
        <v>37</v>
      </c>
      <c r="O166" s="155" t="s">
        <v>943</v>
      </c>
      <c r="P166" s="155" t="s">
        <v>943</v>
      </c>
      <c r="Q166" s="155" t="s">
        <v>944</v>
      </c>
      <c r="R166" s="106" t="s">
        <v>945</v>
      </c>
      <c r="S166" s="155"/>
      <c r="T166" s="155"/>
      <c r="U166" s="155"/>
      <c r="V166" s="155"/>
    </row>
    <row r="167" spans="2:22" ht="47.25">
      <c r="B167" s="312"/>
      <c r="C167" s="314"/>
      <c r="D167" s="314"/>
      <c r="E167" s="314"/>
      <c r="F167" s="314"/>
      <c r="G167" s="314"/>
      <c r="H167" s="314"/>
      <c r="I167" s="314"/>
      <c r="J167" s="76" t="s">
        <v>1971</v>
      </c>
      <c r="K167" s="106" t="s">
        <v>1660</v>
      </c>
      <c r="L167" s="106" t="s">
        <v>1966</v>
      </c>
      <c r="M167" s="106"/>
      <c r="N167" s="155" t="s">
        <v>37</v>
      </c>
      <c r="O167" s="155" t="s">
        <v>943</v>
      </c>
      <c r="P167" s="155" t="s">
        <v>943</v>
      </c>
      <c r="Q167" s="155" t="s">
        <v>944</v>
      </c>
      <c r="R167" s="106" t="s">
        <v>945</v>
      </c>
      <c r="S167" s="155"/>
      <c r="T167" s="155"/>
      <c r="U167" s="155"/>
      <c r="V167" s="155"/>
    </row>
    <row r="168" spans="2:22" ht="63" customHeight="1">
      <c r="B168" s="312"/>
      <c r="C168" s="314"/>
      <c r="D168" s="314"/>
      <c r="E168" s="314"/>
      <c r="F168" s="314"/>
      <c r="G168" s="314"/>
      <c r="H168" s="314"/>
      <c r="I168" s="314"/>
      <c r="J168" s="103" t="s">
        <v>1972</v>
      </c>
      <c r="K168" s="313" t="s">
        <v>1660</v>
      </c>
      <c r="L168" s="313" t="s">
        <v>1973</v>
      </c>
      <c r="M168" s="105"/>
      <c r="N168" s="155" t="s">
        <v>37</v>
      </c>
      <c r="O168" s="155" t="s">
        <v>943</v>
      </c>
      <c r="P168" s="155" t="s">
        <v>943</v>
      </c>
      <c r="Q168" s="155" t="s">
        <v>944</v>
      </c>
      <c r="R168" s="106" t="s">
        <v>945</v>
      </c>
      <c r="S168" s="155"/>
      <c r="T168" s="155"/>
      <c r="U168" s="155"/>
      <c r="V168" s="155"/>
    </row>
    <row r="169" spans="2:22" ht="47.25">
      <c r="B169" s="312"/>
      <c r="C169" s="314"/>
      <c r="D169" s="314"/>
      <c r="E169" s="314"/>
      <c r="F169" s="314"/>
      <c r="G169" s="314"/>
      <c r="H169" s="314"/>
      <c r="I169" s="314"/>
      <c r="J169" s="103" t="s">
        <v>1974</v>
      </c>
      <c r="K169" s="315"/>
      <c r="L169" s="315"/>
      <c r="M169" s="106" t="s">
        <v>1840</v>
      </c>
      <c r="N169" s="155" t="s">
        <v>37</v>
      </c>
      <c r="O169" s="155" t="s">
        <v>943</v>
      </c>
      <c r="P169" s="155" t="s">
        <v>943</v>
      </c>
      <c r="Q169" s="155" t="s">
        <v>944</v>
      </c>
      <c r="R169" s="106" t="s">
        <v>945</v>
      </c>
      <c r="S169" s="155"/>
      <c r="T169" s="155"/>
      <c r="U169" s="155"/>
      <c r="V169" s="155"/>
    </row>
    <row r="170" spans="2:22" ht="47.25">
      <c r="B170" s="312"/>
      <c r="C170" s="314"/>
      <c r="D170" s="314"/>
      <c r="E170" s="314"/>
      <c r="F170" s="314"/>
      <c r="G170" s="314"/>
      <c r="H170" s="314"/>
      <c r="I170" s="314"/>
      <c r="J170" s="76" t="s">
        <v>1975</v>
      </c>
      <c r="K170" s="106" t="s">
        <v>1660</v>
      </c>
      <c r="L170" s="106" t="s">
        <v>1964</v>
      </c>
      <c r="M170" s="106"/>
      <c r="N170" s="155" t="s">
        <v>37</v>
      </c>
      <c r="O170" s="155" t="s">
        <v>943</v>
      </c>
      <c r="P170" s="155" t="s">
        <v>943</v>
      </c>
      <c r="Q170" s="155" t="s">
        <v>944</v>
      </c>
      <c r="R170" s="106" t="s">
        <v>945</v>
      </c>
      <c r="S170" s="155"/>
      <c r="T170" s="155"/>
      <c r="U170" s="155"/>
      <c r="V170" s="155"/>
    </row>
    <row r="171" spans="2:22" ht="47.25">
      <c r="B171" s="312"/>
      <c r="C171" s="314"/>
      <c r="D171" s="314"/>
      <c r="E171" s="314"/>
      <c r="F171" s="314"/>
      <c r="G171" s="314"/>
      <c r="H171" s="314"/>
      <c r="I171" s="314"/>
      <c r="J171" s="76" t="s">
        <v>1976</v>
      </c>
      <c r="K171" s="106" t="s">
        <v>1660</v>
      </c>
      <c r="L171" s="106" t="s">
        <v>1966</v>
      </c>
      <c r="M171" s="106"/>
      <c r="N171" s="155" t="s">
        <v>37</v>
      </c>
      <c r="O171" s="155" t="s">
        <v>943</v>
      </c>
      <c r="P171" s="155" t="s">
        <v>943</v>
      </c>
      <c r="Q171" s="155" t="s">
        <v>944</v>
      </c>
      <c r="R171" s="106" t="s">
        <v>945</v>
      </c>
      <c r="S171" s="155"/>
      <c r="T171" s="155"/>
      <c r="U171" s="155"/>
      <c r="V171" s="155"/>
    </row>
    <row r="172" spans="2:22" ht="42.6" customHeight="1">
      <c r="B172" s="317" t="s">
        <v>438</v>
      </c>
      <c r="C172" s="313" t="s">
        <v>365</v>
      </c>
      <c r="D172" s="313" t="s">
        <v>439</v>
      </c>
      <c r="E172" s="313" t="s">
        <v>1675</v>
      </c>
      <c r="F172" s="313" t="s">
        <v>1676</v>
      </c>
      <c r="G172" s="313" t="s">
        <v>440</v>
      </c>
      <c r="H172" s="324"/>
      <c r="I172" s="313"/>
      <c r="J172" s="76" t="s">
        <v>441</v>
      </c>
      <c r="K172" s="106" t="s">
        <v>1660</v>
      </c>
      <c r="L172" s="106" t="s">
        <v>442</v>
      </c>
      <c r="M172" s="106"/>
      <c r="N172" s="155" t="s">
        <v>37</v>
      </c>
      <c r="O172" s="155" t="s">
        <v>943</v>
      </c>
      <c r="P172" s="155" t="s">
        <v>943</v>
      </c>
      <c r="Q172" s="155" t="s">
        <v>944</v>
      </c>
      <c r="R172" s="106" t="s">
        <v>945</v>
      </c>
      <c r="S172" s="155"/>
      <c r="T172" s="155"/>
      <c r="U172" s="155"/>
      <c r="V172" s="155"/>
    </row>
    <row r="173" spans="2:22" ht="42.6" customHeight="1">
      <c r="B173" s="318"/>
      <c r="C173" s="314"/>
      <c r="D173" s="314"/>
      <c r="E173" s="314"/>
      <c r="F173" s="314"/>
      <c r="G173" s="314"/>
      <c r="H173" s="325"/>
      <c r="I173" s="314"/>
      <c r="J173" s="76" t="s">
        <v>443</v>
      </c>
      <c r="K173" s="106" t="s">
        <v>1660</v>
      </c>
      <c r="L173" s="106" t="s">
        <v>444</v>
      </c>
      <c r="M173" s="106"/>
      <c r="N173" s="155" t="s">
        <v>37</v>
      </c>
      <c r="O173" s="155" t="s">
        <v>943</v>
      </c>
      <c r="P173" s="155" t="s">
        <v>943</v>
      </c>
      <c r="Q173" s="155" t="s">
        <v>944</v>
      </c>
      <c r="R173" s="106" t="s">
        <v>945</v>
      </c>
      <c r="S173" s="155"/>
      <c r="T173" s="155"/>
      <c r="U173" s="155"/>
      <c r="V173" s="155"/>
    </row>
    <row r="174" spans="2:22" ht="42.6" customHeight="1">
      <c r="B174" s="319"/>
      <c r="C174" s="315"/>
      <c r="D174" s="315"/>
      <c r="E174" s="315"/>
      <c r="F174" s="315"/>
      <c r="G174" s="315"/>
      <c r="H174" s="326"/>
      <c r="I174" s="315"/>
      <c r="J174" s="76" t="s">
        <v>445</v>
      </c>
      <c r="K174" s="106" t="s">
        <v>1660</v>
      </c>
      <c r="L174" s="106" t="s">
        <v>446</v>
      </c>
      <c r="M174" s="106"/>
      <c r="N174" s="155" t="s">
        <v>37</v>
      </c>
      <c r="O174" s="155" t="s">
        <v>943</v>
      </c>
      <c r="P174" s="155" t="s">
        <v>943</v>
      </c>
      <c r="Q174" s="155" t="s">
        <v>944</v>
      </c>
      <c r="R174" s="106" t="s">
        <v>945</v>
      </c>
      <c r="S174" s="155"/>
      <c r="T174" s="155"/>
      <c r="U174" s="155"/>
      <c r="V174" s="155"/>
    </row>
    <row r="175" spans="2:22" ht="47.25" customHeight="1">
      <c r="B175" s="317" t="s">
        <v>447</v>
      </c>
      <c r="C175" s="313" t="s">
        <v>365</v>
      </c>
      <c r="D175" s="313" t="s">
        <v>13</v>
      </c>
      <c r="E175" s="313" t="s">
        <v>448</v>
      </c>
      <c r="F175" s="313" t="s">
        <v>1677</v>
      </c>
      <c r="G175" s="313" t="s">
        <v>449</v>
      </c>
      <c r="H175" s="313"/>
      <c r="I175" s="313"/>
      <c r="J175" s="107" t="s">
        <v>1061</v>
      </c>
      <c r="K175" s="313" t="s">
        <v>1660</v>
      </c>
      <c r="L175" s="313" t="s">
        <v>450</v>
      </c>
      <c r="M175" s="106" t="s">
        <v>1823</v>
      </c>
      <c r="N175" s="155" t="s">
        <v>37</v>
      </c>
      <c r="O175" s="155" t="s">
        <v>943</v>
      </c>
      <c r="P175" s="155" t="s">
        <v>943</v>
      </c>
      <c r="Q175" s="155" t="s">
        <v>944</v>
      </c>
      <c r="R175" s="106" t="s">
        <v>1017</v>
      </c>
      <c r="S175" s="169"/>
      <c r="T175" s="169"/>
      <c r="U175" s="169"/>
      <c r="V175" s="169"/>
    </row>
    <row r="176" spans="2:22" ht="47.25">
      <c r="B176" s="318"/>
      <c r="C176" s="314"/>
      <c r="D176" s="314"/>
      <c r="E176" s="314"/>
      <c r="F176" s="314"/>
      <c r="G176" s="314"/>
      <c r="H176" s="314"/>
      <c r="I176" s="314"/>
      <c r="J176" s="107" t="s">
        <v>1062</v>
      </c>
      <c r="K176" s="315"/>
      <c r="L176" s="315"/>
      <c r="M176" s="106" t="s">
        <v>1822</v>
      </c>
      <c r="N176" s="155" t="s">
        <v>37</v>
      </c>
      <c r="O176" s="155" t="s">
        <v>943</v>
      </c>
      <c r="P176" s="155" t="s">
        <v>943</v>
      </c>
      <c r="Q176" s="155" t="s">
        <v>944</v>
      </c>
      <c r="R176" s="106" t="s">
        <v>945</v>
      </c>
      <c r="S176" s="169"/>
      <c r="T176" s="169"/>
      <c r="U176" s="169"/>
      <c r="V176" s="169"/>
    </row>
    <row r="177" spans="2:22" ht="47.25">
      <c r="B177" s="318"/>
      <c r="C177" s="314"/>
      <c r="D177" s="314"/>
      <c r="E177" s="314"/>
      <c r="F177" s="314"/>
      <c r="G177" s="314"/>
      <c r="H177" s="314"/>
      <c r="I177" s="314"/>
      <c r="J177" s="76" t="s">
        <v>451</v>
      </c>
      <c r="K177" s="106" t="s">
        <v>1660</v>
      </c>
      <c r="L177" s="106" t="s">
        <v>1857</v>
      </c>
      <c r="M177" s="106"/>
      <c r="N177" s="155" t="s">
        <v>37</v>
      </c>
      <c r="O177" s="155" t="s">
        <v>943</v>
      </c>
      <c r="P177" s="155" t="s">
        <v>943</v>
      </c>
      <c r="Q177" s="155" t="s">
        <v>944</v>
      </c>
      <c r="R177" s="106" t="s">
        <v>945</v>
      </c>
      <c r="S177" s="169"/>
      <c r="T177" s="169"/>
      <c r="U177" s="169"/>
      <c r="V177" s="169"/>
    </row>
    <row r="178" spans="2:22" ht="47.25">
      <c r="B178" s="318"/>
      <c r="C178" s="314"/>
      <c r="D178" s="314"/>
      <c r="E178" s="314"/>
      <c r="F178" s="314"/>
      <c r="G178" s="314"/>
      <c r="H178" s="314"/>
      <c r="I178" s="314"/>
      <c r="J178" s="76" t="s">
        <v>452</v>
      </c>
      <c r="K178" s="106" t="s">
        <v>1660</v>
      </c>
      <c r="L178" s="106" t="s">
        <v>1856</v>
      </c>
      <c r="M178" s="106"/>
      <c r="N178" s="155" t="s">
        <v>37</v>
      </c>
      <c r="O178" s="155" t="s">
        <v>943</v>
      </c>
      <c r="P178" s="155" t="s">
        <v>943</v>
      </c>
      <c r="Q178" s="155" t="s">
        <v>944</v>
      </c>
      <c r="R178" s="106" t="s">
        <v>945</v>
      </c>
      <c r="S178" s="169"/>
      <c r="T178" s="169"/>
      <c r="U178" s="169"/>
      <c r="V178" s="169"/>
    </row>
    <row r="179" spans="2:22" ht="63">
      <c r="B179" s="318"/>
      <c r="C179" s="314"/>
      <c r="D179" s="314"/>
      <c r="E179" s="314"/>
      <c r="F179" s="314"/>
      <c r="G179" s="314"/>
      <c r="H179" s="314"/>
      <c r="I179" s="314"/>
      <c r="J179" s="107" t="s">
        <v>1063</v>
      </c>
      <c r="K179" s="313" t="s">
        <v>1660</v>
      </c>
      <c r="L179" s="313" t="s">
        <v>453</v>
      </c>
      <c r="M179" s="106" t="s">
        <v>1823</v>
      </c>
      <c r="N179" s="155" t="s">
        <v>37</v>
      </c>
      <c r="O179" s="155" t="s">
        <v>943</v>
      </c>
      <c r="P179" s="155" t="s">
        <v>943</v>
      </c>
      <c r="Q179" s="155" t="s">
        <v>944</v>
      </c>
      <c r="R179" s="106" t="s">
        <v>1017</v>
      </c>
      <c r="S179" s="169"/>
      <c r="T179" s="169"/>
      <c r="U179" s="169"/>
      <c r="V179" s="169"/>
    </row>
    <row r="180" spans="2:22" ht="47.25">
      <c r="B180" s="318"/>
      <c r="C180" s="314"/>
      <c r="D180" s="314"/>
      <c r="E180" s="314"/>
      <c r="F180" s="314"/>
      <c r="G180" s="314"/>
      <c r="H180" s="314"/>
      <c r="I180" s="314"/>
      <c r="J180" s="107" t="s">
        <v>1064</v>
      </c>
      <c r="K180" s="315"/>
      <c r="L180" s="315"/>
      <c r="M180" s="106" t="s">
        <v>1822</v>
      </c>
      <c r="N180" s="155" t="s">
        <v>37</v>
      </c>
      <c r="O180" s="155" t="s">
        <v>943</v>
      </c>
      <c r="P180" s="155" t="s">
        <v>943</v>
      </c>
      <c r="Q180" s="155" t="s">
        <v>944</v>
      </c>
      <c r="R180" s="106" t="s">
        <v>945</v>
      </c>
      <c r="S180" s="169"/>
      <c r="T180" s="169"/>
      <c r="U180" s="169"/>
      <c r="V180" s="169"/>
    </row>
    <row r="181" spans="2:22" ht="47.25">
      <c r="B181" s="318"/>
      <c r="C181" s="314"/>
      <c r="D181" s="314"/>
      <c r="E181" s="314"/>
      <c r="F181" s="314"/>
      <c r="G181" s="314"/>
      <c r="H181" s="314"/>
      <c r="I181" s="314"/>
      <c r="J181" s="76" t="s">
        <v>454</v>
      </c>
      <c r="K181" s="106" t="s">
        <v>1660</v>
      </c>
      <c r="L181" s="106" t="s">
        <v>1855</v>
      </c>
      <c r="M181" s="106"/>
      <c r="N181" s="155" t="s">
        <v>37</v>
      </c>
      <c r="O181" s="155" t="s">
        <v>943</v>
      </c>
      <c r="P181" s="155" t="s">
        <v>943</v>
      </c>
      <c r="Q181" s="155" t="s">
        <v>944</v>
      </c>
      <c r="R181" s="106" t="s">
        <v>945</v>
      </c>
      <c r="S181" s="169"/>
      <c r="T181" s="169"/>
      <c r="U181" s="169"/>
      <c r="V181" s="169"/>
    </row>
    <row r="182" spans="2:22" ht="47.25">
      <c r="B182" s="319"/>
      <c r="C182" s="315"/>
      <c r="D182" s="315"/>
      <c r="E182" s="315"/>
      <c r="F182" s="315"/>
      <c r="G182" s="315"/>
      <c r="H182" s="315"/>
      <c r="I182" s="315"/>
      <c r="J182" s="76" t="s">
        <v>455</v>
      </c>
      <c r="K182" s="106" t="s">
        <v>1660</v>
      </c>
      <c r="L182" s="106" t="s">
        <v>1854</v>
      </c>
      <c r="M182" s="106"/>
      <c r="N182" s="155" t="s">
        <v>37</v>
      </c>
      <c r="O182" s="155" t="s">
        <v>943</v>
      </c>
      <c r="P182" s="155" t="s">
        <v>943</v>
      </c>
      <c r="Q182" s="155" t="s">
        <v>944</v>
      </c>
      <c r="R182" s="106" t="s">
        <v>945</v>
      </c>
      <c r="S182" s="169"/>
      <c r="T182" s="169"/>
      <c r="U182" s="169"/>
      <c r="V182" s="169"/>
    </row>
    <row r="183" spans="2:22" ht="47.25" customHeight="1">
      <c r="B183" s="317" t="s">
        <v>456</v>
      </c>
      <c r="C183" s="313" t="s">
        <v>365</v>
      </c>
      <c r="D183" s="313" t="s">
        <v>457</v>
      </c>
      <c r="E183" s="313" t="s">
        <v>458</v>
      </c>
      <c r="F183" s="313" t="s">
        <v>1677</v>
      </c>
      <c r="G183" s="313" t="s">
        <v>459</v>
      </c>
      <c r="H183" s="313"/>
      <c r="I183" s="313"/>
      <c r="J183" s="107" t="s">
        <v>1065</v>
      </c>
      <c r="K183" s="313" t="s">
        <v>1660</v>
      </c>
      <c r="L183" s="313" t="s">
        <v>460</v>
      </c>
      <c r="M183" s="106" t="s">
        <v>1823</v>
      </c>
      <c r="N183" s="155" t="s">
        <v>37</v>
      </c>
      <c r="O183" s="155" t="s">
        <v>943</v>
      </c>
      <c r="P183" s="155" t="s">
        <v>943</v>
      </c>
      <c r="Q183" s="155" t="s">
        <v>944</v>
      </c>
      <c r="R183" s="106" t="s">
        <v>1017</v>
      </c>
      <c r="S183" s="169"/>
      <c r="T183" s="169"/>
      <c r="U183" s="169"/>
      <c r="V183" s="169"/>
    </row>
    <row r="184" spans="2:22" ht="47.25">
      <c r="B184" s="318"/>
      <c r="C184" s="314"/>
      <c r="D184" s="314"/>
      <c r="E184" s="314"/>
      <c r="F184" s="314"/>
      <c r="G184" s="314"/>
      <c r="H184" s="314"/>
      <c r="I184" s="314"/>
      <c r="J184" s="107" t="s">
        <v>1066</v>
      </c>
      <c r="K184" s="315"/>
      <c r="L184" s="315"/>
      <c r="M184" s="106" t="s">
        <v>1822</v>
      </c>
      <c r="N184" s="155" t="s">
        <v>37</v>
      </c>
      <c r="O184" s="155" t="s">
        <v>943</v>
      </c>
      <c r="P184" s="155" t="s">
        <v>943</v>
      </c>
      <c r="Q184" s="155" t="s">
        <v>944</v>
      </c>
      <c r="R184" s="106" t="s">
        <v>945</v>
      </c>
      <c r="S184" s="169"/>
      <c r="T184" s="169"/>
      <c r="U184" s="169"/>
      <c r="V184" s="169"/>
    </row>
    <row r="185" spans="2:22" ht="47.25">
      <c r="B185" s="318"/>
      <c r="C185" s="314"/>
      <c r="D185" s="314"/>
      <c r="E185" s="314"/>
      <c r="F185" s="314"/>
      <c r="G185" s="314"/>
      <c r="H185" s="314"/>
      <c r="I185" s="314"/>
      <c r="J185" s="76" t="s">
        <v>461</v>
      </c>
      <c r="K185" s="106" t="s">
        <v>1660</v>
      </c>
      <c r="L185" s="106" t="s">
        <v>1853</v>
      </c>
      <c r="M185" s="106"/>
      <c r="N185" s="155" t="s">
        <v>37</v>
      </c>
      <c r="O185" s="155" t="s">
        <v>943</v>
      </c>
      <c r="P185" s="155" t="s">
        <v>943</v>
      </c>
      <c r="Q185" s="155" t="s">
        <v>944</v>
      </c>
      <c r="R185" s="106" t="s">
        <v>945</v>
      </c>
      <c r="S185" s="169"/>
      <c r="T185" s="169"/>
      <c r="U185" s="169"/>
      <c r="V185" s="169"/>
    </row>
    <row r="186" spans="2:22" ht="47.25">
      <c r="B186" s="318"/>
      <c r="C186" s="314"/>
      <c r="D186" s="314"/>
      <c r="E186" s="314"/>
      <c r="F186" s="314"/>
      <c r="G186" s="314"/>
      <c r="H186" s="314"/>
      <c r="I186" s="314"/>
      <c r="J186" s="76" t="s">
        <v>462</v>
      </c>
      <c r="K186" s="106" t="s">
        <v>1660</v>
      </c>
      <c r="L186" s="106" t="s">
        <v>1852</v>
      </c>
      <c r="M186" s="106"/>
      <c r="N186" s="155" t="s">
        <v>37</v>
      </c>
      <c r="O186" s="155" t="s">
        <v>943</v>
      </c>
      <c r="P186" s="155" t="s">
        <v>943</v>
      </c>
      <c r="Q186" s="155" t="s">
        <v>944</v>
      </c>
      <c r="R186" s="106" t="s">
        <v>945</v>
      </c>
      <c r="S186" s="169"/>
      <c r="T186" s="169"/>
      <c r="U186" s="169"/>
      <c r="V186" s="169"/>
    </row>
    <row r="187" spans="2:22" ht="63">
      <c r="B187" s="318"/>
      <c r="C187" s="314"/>
      <c r="D187" s="314"/>
      <c r="E187" s="314"/>
      <c r="F187" s="314"/>
      <c r="G187" s="314"/>
      <c r="H187" s="314"/>
      <c r="I187" s="314"/>
      <c r="J187" s="107" t="s">
        <v>1067</v>
      </c>
      <c r="K187" s="313" t="s">
        <v>1660</v>
      </c>
      <c r="L187" s="313" t="s">
        <v>463</v>
      </c>
      <c r="M187" s="106" t="s">
        <v>1823</v>
      </c>
      <c r="N187" s="155" t="s">
        <v>37</v>
      </c>
      <c r="O187" s="155" t="s">
        <v>943</v>
      </c>
      <c r="P187" s="155" t="s">
        <v>943</v>
      </c>
      <c r="Q187" s="155" t="s">
        <v>944</v>
      </c>
      <c r="R187" s="106" t="s">
        <v>1017</v>
      </c>
      <c r="S187" s="169"/>
      <c r="T187" s="169"/>
      <c r="U187" s="169"/>
      <c r="V187" s="169"/>
    </row>
    <row r="188" spans="2:22" ht="47.25">
      <c r="B188" s="318"/>
      <c r="C188" s="314"/>
      <c r="D188" s="314"/>
      <c r="E188" s="314"/>
      <c r="F188" s="314"/>
      <c r="G188" s="314"/>
      <c r="H188" s="314"/>
      <c r="I188" s="314"/>
      <c r="J188" s="107" t="s">
        <v>1068</v>
      </c>
      <c r="K188" s="315"/>
      <c r="L188" s="315"/>
      <c r="M188" s="106" t="s">
        <v>1822</v>
      </c>
      <c r="N188" s="155" t="s">
        <v>37</v>
      </c>
      <c r="O188" s="155" t="s">
        <v>943</v>
      </c>
      <c r="P188" s="155" t="s">
        <v>943</v>
      </c>
      <c r="Q188" s="155" t="s">
        <v>944</v>
      </c>
      <c r="R188" s="106" t="s">
        <v>945</v>
      </c>
      <c r="S188" s="169"/>
      <c r="T188" s="169"/>
      <c r="U188" s="169"/>
      <c r="V188" s="169"/>
    </row>
    <row r="189" spans="2:22" ht="47.25">
      <c r="B189" s="318"/>
      <c r="C189" s="314"/>
      <c r="D189" s="314"/>
      <c r="E189" s="314"/>
      <c r="F189" s="314"/>
      <c r="G189" s="314"/>
      <c r="H189" s="314"/>
      <c r="I189" s="314"/>
      <c r="J189" s="76" t="s">
        <v>464</v>
      </c>
      <c r="K189" s="106" t="s">
        <v>1660</v>
      </c>
      <c r="L189" s="106" t="s">
        <v>1860</v>
      </c>
      <c r="M189" s="106"/>
      <c r="N189" s="155" t="s">
        <v>37</v>
      </c>
      <c r="O189" s="155" t="s">
        <v>943</v>
      </c>
      <c r="P189" s="155" t="s">
        <v>943</v>
      </c>
      <c r="Q189" s="155" t="s">
        <v>944</v>
      </c>
      <c r="R189" s="106" t="s">
        <v>945</v>
      </c>
      <c r="S189" s="169"/>
      <c r="T189" s="169"/>
      <c r="U189" s="169"/>
      <c r="V189" s="169"/>
    </row>
    <row r="190" spans="2:22" ht="47.25">
      <c r="B190" s="318"/>
      <c r="C190" s="314"/>
      <c r="D190" s="314"/>
      <c r="E190" s="314"/>
      <c r="F190" s="314"/>
      <c r="G190" s="314"/>
      <c r="H190" s="314"/>
      <c r="I190" s="314"/>
      <c r="J190" s="76" t="s">
        <v>466</v>
      </c>
      <c r="K190" s="106" t="s">
        <v>1660</v>
      </c>
      <c r="L190" s="106" t="s">
        <v>1851</v>
      </c>
      <c r="M190" s="106"/>
      <c r="N190" s="155" t="s">
        <v>37</v>
      </c>
      <c r="O190" s="155" t="s">
        <v>943</v>
      </c>
      <c r="P190" s="155" t="s">
        <v>943</v>
      </c>
      <c r="Q190" s="155" t="s">
        <v>944</v>
      </c>
      <c r="R190" s="106" t="s">
        <v>945</v>
      </c>
      <c r="S190" s="169"/>
      <c r="T190" s="169"/>
      <c r="U190" s="169"/>
      <c r="V190" s="169"/>
    </row>
    <row r="191" spans="2:22" ht="63">
      <c r="B191" s="318"/>
      <c r="C191" s="314"/>
      <c r="D191" s="314"/>
      <c r="E191" s="314"/>
      <c r="F191" s="314"/>
      <c r="G191" s="314"/>
      <c r="H191" s="314"/>
      <c r="I191" s="314"/>
      <c r="J191" s="107" t="s">
        <v>1069</v>
      </c>
      <c r="K191" s="313" t="s">
        <v>1660</v>
      </c>
      <c r="L191" s="313" t="s">
        <v>467</v>
      </c>
      <c r="M191" s="106" t="s">
        <v>1823</v>
      </c>
      <c r="N191" s="155" t="s">
        <v>37</v>
      </c>
      <c r="O191" s="155" t="s">
        <v>943</v>
      </c>
      <c r="P191" s="155" t="s">
        <v>943</v>
      </c>
      <c r="Q191" s="155" t="s">
        <v>944</v>
      </c>
      <c r="R191" s="106" t="s">
        <v>1017</v>
      </c>
      <c r="S191" s="169"/>
      <c r="T191" s="169"/>
      <c r="U191" s="169"/>
      <c r="V191" s="169"/>
    </row>
    <row r="192" spans="2:22" ht="47.25">
      <c r="B192" s="318"/>
      <c r="C192" s="314"/>
      <c r="D192" s="314"/>
      <c r="E192" s="314"/>
      <c r="F192" s="314"/>
      <c r="G192" s="314"/>
      <c r="H192" s="314"/>
      <c r="I192" s="314"/>
      <c r="J192" s="107" t="s">
        <v>1070</v>
      </c>
      <c r="K192" s="315"/>
      <c r="L192" s="315"/>
      <c r="M192" s="106" t="s">
        <v>1822</v>
      </c>
      <c r="N192" s="155" t="s">
        <v>37</v>
      </c>
      <c r="O192" s="155" t="s">
        <v>943</v>
      </c>
      <c r="P192" s="155" t="s">
        <v>943</v>
      </c>
      <c r="Q192" s="155" t="s">
        <v>944</v>
      </c>
      <c r="R192" s="106" t="s">
        <v>945</v>
      </c>
      <c r="S192" s="169"/>
      <c r="T192" s="169"/>
      <c r="U192" s="169"/>
      <c r="V192" s="169"/>
    </row>
    <row r="193" spans="2:22" ht="47.25">
      <c r="B193" s="318"/>
      <c r="C193" s="314"/>
      <c r="D193" s="314"/>
      <c r="E193" s="314"/>
      <c r="F193" s="314"/>
      <c r="G193" s="314"/>
      <c r="H193" s="314"/>
      <c r="I193" s="314"/>
      <c r="J193" s="76" t="s">
        <v>468</v>
      </c>
      <c r="K193" s="106" t="s">
        <v>1660</v>
      </c>
      <c r="L193" s="106" t="s">
        <v>1850</v>
      </c>
      <c r="M193" s="106"/>
      <c r="N193" s="155" t="s">
        <v>37</v>
      </c>
      <c r="O193" s="155" t="s">
        <v>943</v>
      </c>
      <c r="P193" s="155" t="s">
        <v>943</v>
      </c>
      <c r="Q193" s="155" t="s">
        <v>944</v>
      </c>
      <c r="R193" s="106" t="s">
        <v>945</v>
      </c>
      <c r="S193" s="169"/>
      <c r="T193" s="169"/>
      <c r="U193" s="169"/>
      <c r="V193" s="169"/>
    </row>
    <row r="194" spans="2:22" ht="47.25">
      <c r="B194" s="318"/>
      <c r="C194" s="314"/>
      <c r="D194" s="314"/>
      <c r="E194" s="314"/>
      <c r="F194" s="314"/>
      <c r="G194" s="314"/>
      <c r="H194" s="314"/>
      <c r="I194" s="314"/>
      <c r="J194" s="76" t="s">
        <v>469</v>
      </c>
      <c r="K194" s="106" t="s">
        <v>1660</v>
      </c>
      <c r="L194" s="106" t="s">
        <v>1849</v>
      </c>
      <c r="M194" s="106"/>
      <c r="N194" s="155" t="s">
        <v>37</v>
      </c>
      <c r="O194" s="155" t="s">
        <v>943</v>
      </c>
      <c r="P194" s="155" t="s">
        <v>943</v>
      </c>
      <c r="Q194" s="155" t="s">
        <v>944</v>
      </c>
      <c r="R194" s="106" t="s">
        <v>945</v>
      </c>
      <c r="S194" s="169"/>
      <c r="T194" s="169"/>
      <c r="U194" s="169"/>
      <c r="V194" s="169"/>
    </row>
    <row r="195" spans="2:22" ht="63">
      <c r="B195" s="318"/>
      <c r="C195" s="314"/>
      <c r="D195" s="314"/>
      <c r="E195" s="314"/>
      <c r="F195" s="314"/>
      <c r="G195" s="314"/>
      <c r="H195" s="314"/>
      <c r="I195" s="314"/>
      <c r="J195" s="107" t="s">
        <v>1071</v>
      </c>
      <c r="K195" s="313" t="s">
        <v>1660</v>
      </c>
      <c r="L195" s="313" t="s">
        <v>470</v>
      </c>
      <c r="M195" s="106" t="s">
        <v>1823</v>
      </c>
      <c r="N195" s="155" t="s">
        <v>37</v>
      </c>
      <c r="O195" s="155" t="s">
        <v>943</v>
      </c>
      <c r="P195" s="155" t="s">
        <v>943</v>
      </c>
      <c r="Q195" s="155" t="s">
        <v>944</v>
      </c>
      <c r="R195" s="106" t="s">
        <v>1017</v>
      </c>
      <c r="S195" s="169"/>
      <c r="T195" s="169"/>
      <c r="U195" s="169"/>
      <c r="V195" s="169"/>
    </row>
    <row r="196" spans="2:22" ht="47.25">
      <c r="B196" s="318"/>
      <c r="C196" s="314"/>
      <c r="D196" s="314"/>
      <c r="E196" s="314"/>
      <c r="F196" s="314"/>
      <c r="G196" s="314"/>
      <c r="H196" s="314"/>
      <c r="I196" s="314"/>
      <c r="J196" s="107" t="s">
        <v>1072</v>
      </c>
      <c r="K196" s="315"/>
      <c r="L196" s="315"/>
      <c r="M196" s="106" t="s">
        <v>1822</v>
      </c>
      <c r="N196" s="155" t="s">
        <v>37</v>
      </c>
      <c r="O196" s="155" t="s">
        <v>943</v>
      </c>
      <c r="P196" s="155" t="s">
        <v>943</v>
      </c>
      <c r="Q196" s="155" t="s">
        <v>944</v>
      </c>
      <c r="R196" s="106" t="s">
        <v>945</v>
      </c>
      <c r="S196" s="155"/>
      <c r="T196" s="155"/>
      <c r="U196" s="155"/>
      <c r="V196" s="155"/>
    </row>
    <row r="197" spans="2:22" ht="47.25">
      <c r="B197" s="318"/>
      <c r="C197" s="314"/>
      <c r="D197" s="314"/>
      <c r="E197" s="314"/>
      <c r="F197" s="314"/>
      <c r="G197" s="314"/>
      <c r="H197" s="314"/>
      <c r="I197" s="314"/>
      <c r="J197" s="76" t="s">
        <v>471</v>
      </c>
      <c r="K197" s="106" t="s">
        <v>1660</v>
      </c>
      <c r="L197" s="106" t="s">
        <v>1848</v>
      </c>
      <c r="M197" s="106"/>
      <c r="N197" s="155" t="s">
        <v>37</v>
      </c>
      <c r="O197" s="155" t="s">
        <v>943</v>
      </c>
      <c r="P197" s="155" t="s">
        <v>943</v>
      </c>
      <c r="Q197" s="155" t="s">
        <v>944</v>
      </c>
      <c r="R197" s="106" t="s">
        <v>945</v>
      </c>
      <c r="S197" s="155"/>
      <c r="T197" s="155"/>
      <c r="U197" s="155"/>
      <c r="V197" s="155"/>
    </row>
    <row r="198" spans="2:22" ht="47.25">
      <c r="B198" s="318"/>
      <c r="C198" s="314"/>
      <c r="D198" s="314"/>
      <c r="E198" s="314"/>
      <c r="F198" s="314"/>
      <c r="G198" s="314"/>
      <c r="H198" s="314"/>
      <c r="I198" s="314"/>
      <c r="J198" s="76" t="s">
        <v>472</v>
      </c>
      <c r="K198" s="106" t="s">
        <v>1660</v>
      </c>
      <c r="L198" s="106" t="s">
        <v>1847</v>
      </c>
      <c r="M198" s="106"/>
      <c r="N198" s="155" t="s">
        <v>37</v>
      </c>
      <c r="O198" s="155" t="s">
        <v>943</v>
      </c>
      <c r="P198" s="155" t="s">
        <v>943</v>
      </c>
      <c r="Q198" s="155" t="s">
        <v>944</v>
      </c>
      <c r="R198" s="106" t="s">
        <v>945</v>
      </c>
      <c r="S198" s="155"/>
      <c r="T198" s="155"/>
      <c r="U198" s="155"/>
      <c r="V198" s="155"/>
    </row>
    <row r="199" spans="2:22" ht="63">
      <c r="B199" s="318"/>
      <c r="C199" s="314"/>
      <c r="D199" s="314"/>
      <c r="E199" s="314"/>
      <c r="F199" s="314"/>
      <c r="G199" s="314"/>
      <c r="H199" s="314"/>
      <c r="I199" s="314"/>
      <c r="J199" s="107" t="s">
        <v>1073</v>
      </c>
      <c r="K199" s="313" t="s">
        <v>1660</v>
      </c>
      <c r="L199" s="313" t="s">
        <v>473</v>
      </c>
      <c r="M199" s="106" t="s">
        <v>1823</v>
      </c>
      <c r="N199" s="155" t="s">
        <v>37</v>
      </c>
      <c r="O199" s="155" t="s">
        <v>943</v>
      </c>
      <c r="P199" s="155" t="s">
        <v>943</v>
      </c>
      <c r="Q199" s="155" t="s">
        <v>944</v>
      </c>
      <c r="R199" s="106" t="s">
        <v>1017</v>
      </c>
      <c r="S199" s="169"/>
      <c r="T199" s="169"/>
      <c r="U199" s="169"/>
      <c r="V199" s="169"/>
    </row>
    <row r="200" spans="2:22" ht="47.25">
      <c r="B200" s="318"/>
      <c r="C200" s="314"/>
      <c r="D200" s="314"/>
      <c r="E200" s="314"/>
      <c r="F200" s="314"/>
      <c r="G200" s="314"/>
      <c r="H200" s="314"/>
      <c r="I200" s="314"/>
      <c r="J200" s="107" t="s">
        <v>1074</v>
      </c>
      <c r="K200" s="315"/>
      <c r="L200" s="315"/>
      <c r="M200" s="106" t="s">
        <v>1822</v>
      </c>
      <c r="N200" s="155" t="s">
        <v>37</v>
      </c>
      <c r="O200" s="155" t="s">
        <v>943</v>
      </c>
      <c r="P200" s="155" t="s">
        <v>943</v>
      </c>
      <c r="Q200" s="155" t="s">
        <v>944</v>
      </c>
      <c r="R200" s="106" t="s">
        <v>945</v>
      </c>
      <c r="S200" s="169"/>
      <c r="T200" s="169"/>
      <c r="U200" s="169"/>
      <c r="V200" s="169"/>
    </row>
    <row r="201" spans="2:22" ht="47.25">
      <c r="B201" s="318"/>
      <c r="C201" s="314"/>
      <c r="D201" s="314"/>
      <c r="E201" s="314"/>
      <c r="F201" s="314"/>
      <c r="G201" s="314"/>
      <c r="H201" s="314"/>
      <c r="I201" s="314"/>
      <c r="J201" s="76" t="s">
        <v>474</v>
      </c>
      <c r="K201" s="106" t="s">
        <v>1660</v>
      </c>
      <c r="L201" s="106" t="s">
        <v>1818</v>
      </c>
      <c r="M201" s="106"/>
      <c r="N201" s="155" t="s">
        <v>37</v>
      </c>
      <c r="O201" s="155" t="s">
        <v>943</v>
      </c>
      <c r="P201" s="155" t="s">
        <v>943</v>
      </c>
      <c r="Q201" s="155" t="s">
        <v>944</v>
      </c>
      <c r="R201" s="106" t="s">
        <v>945</v>
      </c>
      <c r="S201" s="169"/>
      <c r="T201" s="169"/>
      <c r="U201" s="169"/>
      <c r="V201" s="169"/>
    </row>
    <row r="202" spans="2:22" ht="47.25">
      <c r="B202" s="319"/>
      <c r="C202" s="315"/>
      <c r="D202" s="315"/>
      <c r="E202" s="315"/>
      <c r="F202" s="315"/>
      <c r="G202" s="315"/>
      <c r="H202" s="315"/>
      <c r="I202" s="315"/>
      <c r="J202" s="76" t="s">
        <v>475</v>
      </c>
      <c r="K202" s="106" t="s">
        <v>1660</v>
      </c>
      <c r="L202" s="106" t="s">
        <v>1817</v>
      </c>
      <c r="M202" s="106"/>
      <c r="N202" s="155" t="s">
        <v>37</v>
      </c>
      <c r="O202" s="155" t="s">
        <v>943</v>
      </c>
      <c r="P202" s="155" t="s">
        <v>943</v>
      </c>
      <c r="Q202" s="155" t="s">
        <v>944</v>
      </c>
      <c r="R202" s="106" t="s">
        <v>945</v>
      </c>
      <c r="S202" s="169"/>
      <c r="T202" s="169"/>
      <c r="U202" s="169"/>
      <c r="V202" s="169"/>
    </row>
    <row r="203" spans="2:22" ht="141.75">
      <c r="B203" s="75" t="s">
        <v>476</v>
      </c>
      <c r="C203" s="106" t="s">
        <v>365</v>
      </c>
      <c r="D203" s="106" t="s">
        <v>14</v>
      </c>
      <c r="E203" s="106" t="s">
        <v>477</v>
      </c>
      <c r="F203" s="106" t="s">
        <v>22</v>
      </c>
      <c r="G203" s="106" t="s">
        <v>1825</v>
      </c>
      <c r="H203" s="106"/>
      <c r="I203" s="106"/>
      <c r="J203" s="76" t="s">
        <v>478</v>
      </c>
      <c r="K203" s="106" t="s">
        <v>1660</v>
      </c>
      <c r="L203" s="106" t="s">
        <v>479</v>
      </c>
      <c r="M203" s="106"/>
      <c r="N203" s="155" t="s">
        <v>37</v>
      </c>
      <c r="O203" s="155" t="s">
        <v>22</v>
      </c>
      <c r="P203" s="155" t="s">
        <v>22</v>
      </c>
      <c r="Q203" s="155" t="s">
        <v>944</v>
      </c>
      <c r="R203" s="106" t="s">
        <v>945</v>
      </c>
      <c r="S203" s="169"/>
      <c r="T203" s="169"/>
      <c r="U203" s="169"/>
      <c r="V203" s="169"/>
    </row>
    <row r="204" spans="2:22" ht="47.25" customHeight="1">
      <c r="B204" s="330" t="s">
        <v>480</v>
      </c>
      <c r="C204" s="322" t="s">
        <v>365</v>
      </c>
      <c r="D204" s="322" t="s">
        <v>15</v>
      </c>
      <c r="E204" s="322" t="s">
        <v>1678</v>
      </c>
      <c r="F204" s="322" t="s">
        <v>1679</v>
      </c>
      <c r="G204" s="322" t="s">
        <v>1775</v>
      </c>
      <c r="H204" s="322"/>
      <c r="I204" s="327"/>
      <c r="J204" s="107" t="s">
        <v>1075</v>
      </c>
      <c r="K204" s="313" t="s">
        <v>1660</v>
      </c>
      <c r="L204" s="313" t="s">
        <v>481</v>
      </c>
      <c r="M204" s="106" t="s">
        <v>1823</v>
      </c>
      <c r="N204" s="155" t="s">
        <v>37</v>
      </c>
      <c r="O204" s="155" t="s">
        <v>943</v>
      </c>
      <c r="P204" s="155" t="s">
        <v>943</v>
      </c>
      <c r="Q204" s="155" t="s">
        <v>944</v>
      </c>
      <c r="R204" s="106" t="s">
        <v>1017</v>
      </c>
      <c r="S204" s="169"/>
      <c r="T204" s="169"/>
      <c r="U204" s="169"/>
      <c r="V204" s="169"/>
    </row>
    <row r="205" spans="2:22" ht="47.25">
      <c r="B205" s="331"/>
      <c r="C205" s="333"/>
      <c r="D205" s="333"/>
      <c r="E205" s="333"/>
      <c r="F205" s="333"/>
      <c r="G205" s="333"/>
      <c r="H205" s="333"/>
      <c r="I205" s="328"/>
      <c r="J205" s="107" t="s">
        <v>1076</v>
      </c>
      <c r="K205" s="315"/>
      <c r="L205" s="315"/>
      <c r="M205" s="106" t="s">
        <v>1822</v>
      </c>
      <c r="N205" s="155" t="s">
        <v>37</v>
      </c>
      <c r="O205" s="155" t="s">
        <v>943</v>
      </c>
      <c r="P205" s="155" t="s">
        <v>943</v>
      </c>
      <c r="Q205" s="155" t="s">
        <v>944</v>
      </c>
      <c r="R205" s="106" t="s">
        <v>945</v>
      </c>
      <c r="S205" s="169"/>
      <c r="T205" s="169"/>
      <c r="U205" s="169"/>
      <c r="V205" s="169"/>
    </row>
    <row r="206" spans="2:22" ht="56.25" customHeight="1">
      <c r="B206" s="331"/>
      <c r="C206" s="333"/>
      <c r="D206" s="333"/>
      <c r="E206" s="333"/>
      <c r="F206" s="333"/>
      <c r="G206" s="333"/>
      <c r="H206" s="333"/>
      <c r="I206" s="328"/>
      <c r="J206" s="76" t="s">
        <v>482</v>
      </c>
      <c r="K206" s="106" t="s">
        <v>1660</v>
      </c>
      <c r="L206" s="106" t="s">
        <v>483</v>
      </c>
      <c r="M206" s="106"/>
      <c r="N206" s="155" t="s">
        <v>37</v>
      </c>
      <c r="O206" s="155" t="s">
        <v>943</v>
      </c>
      <c r="P206" s="155" t="s">
        <v>943</v>
      </c>
      <c r="Q206" s="155" t="s">
        <v>944</v>
      </c>
      <c r="R206" s="106" t="s">
        <v>945</v>
      </c>
      <c r="S206" s="169"/>
      <c r="T206" s="169"/>
      <c r="U206" s="169"/>
      <c r="V206" s="169"/>
    </row>
    <row r="207" spans="2:22" ht="47.25">
      <c r="B207" s="331"/>
      <c r="C207" s="333"/>
      <c r="D207" s="333"/>
      <c r="E207" s="333"/>
      <c r="F207" s="333"/>
      <c r="G207" s="333"/>
      <c r="H207" s="333"/>
      <c r="I207" s="328"/>
      <c r="J207" s="76" t="s">
        <v>484</v>
      </c>
      <c r="K207" s="106" t="s">
        <v>1660</v>
      </c>
      <c r="L207" s="106" t="s">
        <v>485</v>
      </c>
      <c r="M207" s="106"/>
      <c r="N207" s="155" t="s">
        <v>37</v>
      </c>
      <c r="O207" s="155" t="s">
        <v>943</v>
      </c>
      <c r="P207" s="155" t="s">
        <v>943</v>
      </c>
      <c r="Q207" s="155" t="s">
        <v>944</v>
      </c>
      <c r="R207" s="106" t="s">
        <v>945</v>
      </c>
      <c r="S207" s="169"/>
      <c r="T207" s="169"/>
      <c r="U207" s="169"/>
      <c r="V207" s="169"/>
    </row>
    <row r="208" spans="2:22" ht="63">
      <c r="B208" s="331"/>
      <c r="C208" s="333"/>
      <c r="D208" s="333"/>
      <c r="E208" s="333"/>
      <c r="F208" s="333"/>
      <c r="G208" s="333"/>
      <c r="H208" s="333"/>
      <c r="I208" s="328"/>
      <c r="J208" s="107" t="s">
        <v>1080</v>
      </c>
      <c r="K208" s="322" t="s">
        <v>1660</v>
      </c>
      <c r="L208" s="313" t="s">
        <v>486</v>
      </c>
      <c r="M208" s="106" t="s">
        <v>1823</v>
      </c>
      <c r="N208" s="155" t="s">
        <v>37</v>
      </c>
      <c r="O208" s="155" t="s">
        <v>943</v>
      </c>
      <c r="P208" s="155" t="s">
        <v>943</v>
      </c>
      <c r="Q208" s="155" t="s">
        <v>944</v>
      </c>
      <c r="R208" s="106" t="s">
        <v>1017</v>
      </c>
      <c r="S208" s="169"/>
      <c r="T208" s="169"/>
      <c r="U208" s="169"/>
      <c r="V208" s="169"/>
    </row>
    <row r="209" spans="2:22" ht="47.25">
      <c r="B209" s="331"/>
      <c r="C209" s="333"/>
      <c r="D209" s="333"/>
      <c r="E209" s="333"/>
      <c r="F209" s="333"/>
      <c r="G209" s="333"/>
      <c r="H209" s="333"/>
      <c r="I209" s="328"/>
      <c r="J209" s="107" t="s">
        <v>1081</v>
      </c>
      <c r="K209" s="323"/>
      <c r="L209" s="315"/>
      <c r="M209" s="106" t="s">
        <v>1822</v>
      </c>
      <c r="N209" s="155" t="s">
        <v>37</v>
      </c>
      <c r="O209" s="155" t="s">
        <v>943</v>
      </c>
      <c r="P209" s="155" t="s">
        <v>943</v>
      </c>
      <c r="Q209" s="155" t="s">
        <v>944</v>
      </c>
      <c r="R209" s="106" t="s">
        <v>945</v>
      </c>
      <c r="S209" s="169"/>
      <c r="T209" s="169"/>
      <c r="U209" s="169"/>
      <c r="V209" s="169"/>
    </row>
    <row r="210" spans="2:22" ht="31.5">
      <c r="B210" s="331"/>
      <c r="C210" s="333"/>
      <c r="D210" s="333"/>
      <c r="E210" s="333"/>
      <c r="F210" s="333"/>
      <c r="G210" s="333"/>
      <c r="H210" s="333"/>
      <c r="I210" s="328"/>
      <c r="J210" s="76" t="s">
        <v>1077</v>
      </c>
      <c r="K210" s="106" t="s">
        <v>1660</v>
      </c>
      <c r="L210" s="106" t="s">
        <v>487</v>
      </c>
      <c r="M210" s="106"/>
      <c r="N210" s="155" t="s">
        <v>37</v>
      </c>
      <c r="O210" s="155" t="s">
        <v>943</v>
      </c>
      <c r="P210" s="155" t="s">
        <v>943</v>
      </c>
      <c r="Q210" s="155" t="s">
        <v>944</v>
      </c>
      <c r="R210" s="106" t="s">
        <v>945</v>
      </c>
      <c r="S210" s="169"/>
      <c r="T210" s="169"/>
      <c r="U210" s="169"/>
      <c r="V210" s="169"/>
    </row>
    <row r="211" spans="2:22" ht="63">
      <c r="B211" s="331"/>
      <c r="C211" s="333"/>
      <c r="D211" s="333"/>
      <c r="E211" s="333"/>
      <c r="F211" s="333"/>
      <c r="G211" s="333"/>
      <c r="H211" s="333"/>
      <c r="I211" s="328"/>
      <c r="J211" s="107" t="s">
        <v>1082</v>
      </c>
      <c r="K211" s="313" t="s">
        <v>1660</v>
      </c>
      <c r="L211" s="313" t="s">
        <v>488</v>
      </c>
      <c r="M211" s="106" t="s">
        <v>1823</v>
      </c>
      <c r="N211" s="155" t="s">
        <v>37</v>
      </c>
      <c r="O211" s="155" t="s">
        <v>943</v>
      </c>
      <c r="P211" s="155" t="s">
        <v>943</v>
      </c>
      <c r="Q211" s="155" t="s">
        <v>944</v>
      </c>
      <c r="R211" s="106" t="s">
        <v>1017</v>
      </c>
      <c r="S211" s="169"/>
      <c r="T211" s="169"/>
      <c r="U211" s="169"/>
      <c r="V211" s="169"/>
    </row>
    <row r="212" spans="2:22" ht="47.25">
      <c r="B212" s="331"/>
      <c r="C212" s="333"/>
      <c r="D212" s="333"/>
      <c r="E212" s="333"/>
      <c r="F212" s="333"/>
      <c r="G212" s="333"/>
      <c r="H212" s="333"/>
      <c r="I212" s="328"/>
      <c r="J212" s="107" t="s">
        <v>1083</v>
      </c>
      <c r="K212" s="315"/>
      <c r="L212" s="315"/>
      <c r="M212" s="106" t="s">
        <v>1822</v>
      </c>
      <c r="N212" s="155" t="s">
        <v>37</v>
      </c>
      <c r="O212" s="155" t="s">
        <v>943</v>
      </c>
      <c r="P212" s="155" t="s">
        <v>943</v>
      </c>
      <c r="Q212" s="155" t="s">
        <v>944</v>
      </c>
      <c r="R212" s="106" t="s">
        <v>945</v>
      </c>
      <c r="S212" s="169"/>
      <c r="T212" s="169"/>
      <c r="U212" s="169"/>
      <c r="V212" s="169"/>
    </row>
    <row r="213" spans="2:22" ht="31.5">
      <c r="B213" s="331"/>
      <c r="C213" s="333"/>
      <c r="D213" s="333"/>
      <c r="E213" s="333"/>
      <c r="F213" s="333"/>
      <c r="G213" s="333"/>
      <c r="H213" s="333"/>
      <c r="I213" s="328"/>
      <c r="J213" s="76" t="s">
        <v>1078</v>
      </c>
      <c r="K213" s="106" t="s">
        <v>1660</v>
      </c>
      <c r="L213" s="106" t="s">
        <v>489</v>
      </c>
      <c r="M213" s="106"/>
      <c r="N213" s="155" t="s">
        <v>37</v>
      </c>
      <c r="O213" s="155" t="s">
        <v>943</v>
      </c>
      <c r="P213" s="155" t="s">
        <v>943</v>
      </c>
      <c r="Q213" s="155" t="s">
        <v>944</v>
      </c>
      <c r="R213" s="106" t="s">
        <v>945</v>
      </c>
      <c r="S213" s="169"/>
      <c r="T213" s="169"/>
      <c r="U213" s="169"/>
      <c r="V213" s="169"/>
    </row>
    <row r="214" spans="2:22" ht="63">
      <c r="B214" s="331"/>
      <c r="C214" s="333"/>
      <c r="D214" s="333"/>
      <c r="E214" s="333"/>
      <c r="F214" s="333"/>
      <c r="G214" s="333"/>
      <c r="H214" s="333"/>
      <c r="I214" s="328"/>
      <c r="J214" s="107" t="s">
        <v>1084</v>
      </c>
      <c r="K214" s="313" t="s">
        <v>1660</v>
      </c>
      <c r="L214" s="313" t="s">
        <v>1023</v>
      </c>
      <c r="M214" s="106" t="s">
        <v>1823</v>
      </c>
      <c r="N214" s="155" t="s">
        <v>37</v>
      </c>
      <c r="O214" s="155" t="s">
        <v>943</v>
      </c>
      <c r="P214" s="155" t="s">
        <v>943</v>
      </c>
      <c r="Q214" s="155" t="s">
        <v>944</v>
      </c>
      <c r="R214" s="106" t="s">
        <v>1017</v>
      </c>
      <c r="S214" s="169"/>
      <c r="T214" s="169"/>
      <c r="U214" s="169"/>
      <c r="V214" s="169"/>
    </row>
    <row r="215" spans="2:22" ht="47.25">
      <c r="B215" s="331"/>
      <c r="C215" s="333"/>
      <c r="D215" s="333"/>
      <c r="E215" s="333"/>
      <c r="F215" s="333"/>
      <c r="G215" s="333"/>
      <c r="H215" s="333"/>
      <c r="I215" s="328"/>
      <c r="J215" s="107" t="s">
        <v>1084</v>
      </c>
      <c r="K215" s="315"/>
      <c r="L215" s="315"/>
      <c r="M215" s="106" t="s">
        <v>1822</v>
      </c>
      <c r="N215" s="155" t="s">
        <v>37</v>
      </c>
      <c r="O215" s="155" t="s">
        <v>943</v>
      </c>
      <c r="P215" s="155" t="s">
        <v>943</v>
      </c>
      <c r="Q215" s="155" t="s">
        <v>944</v>
      </c>
      <c r="R215" s="106" t="s">
        <v>945</v>
      </c>
      <c r="S215" s="155"/>
      <c r="T215" s="155"/>
      <c r="U215" s="155"/>
      <c r="V215" s="155"/>
    </row>
    <row r="216" spans="2:22" ht="31.5">
      <c r="B216" s="332"/>
      <c r="C216" s="323"/>
      <c r="D216" s="323"/>
      <c r="E216" s="323"/>
      <c r="F216" s="323"/>
      <c r="G216" s="323"/>
      <c r="H216" s="323"/>
      <c r="I216" s="329"/>
      <c r="J216" s="76" t="s">
        <v>1079</v>
      </c>
      <c r="K216" s="106" t="s">
        <v>1660</v>
      </c>
      <c r="L216" s="106" t="s">
        <v>1024</v>
      </c>
      <c r="M216" s="106"/>
      <c r="N216" s="155" t="s">
        <v>37</v>
      </c>
      <c r="O216" s="155" t="s">
        <v>943</v>
      </c>
      <c r="P216" s="155" t="s">
        <v>943</v>
      </c>
      <c r="Q216" s="155" t="s">
        <v>944</v>
      </c>
      <c r="R216" s="106" t="s">
        <v>945</v>
      </c>
      <c r="S216" s="155"/>
      <c r="T216" s="155"/>
      <c r="U216" s="155"/>
      <c r="V216" s="155"/>
    </row>
    <row r="217" spans="2:22" ht="47.25" customHeight="1">
      <c r="B217" s="317" t="s">
        <v>490</v>
      </c>
      <c r="C217" s="313" t="s">
        <v>365</v>
      </c>
      <c r="D217" s="322" t="s">
        <v>10</v>
      </c>
      <c r="E217" s="313" t="s">
        <v>1680</v>
      </c>
      <c r="F217" s="313" t="s">
        <v>1679</v>
      </c>
      <c r="G217" s="313" t="s">
        <v>1776</v>
      </c>
      <c r="H217" s="313"/>
      <c r="I217" s="313"/>
      <c r="J217" s="107" t="s">
        <v>1085</v>
      </c>
      <c r="K217" s="313" t="s">
        <v>1660</v>
      </c>
      <c r="L217" s="313" t="s">
        <v>491</v>
      </c>
      <c r="M217" s="106" t="s">
        <v>1823</v>
      </c>
      <c r="N217" s="155" t="s">
        <v>37</v>
      </c>
      <c r="O217" s="155" t="s">
        <v>943</v>
      </c>
      <c r="P217" s="155" t="s">
        <v>943</v>
      </c>
      <c r="Q217" s="155" t="s">
        <v>944</v>
      </c>
      <c r="R217" s="106" t="s">
        <v>1017</v>
      </c>
      <c r="S217" s="169"/>
      <c r="T217" s="169"/>
      <c r="U217" s="169"/>
      <c r="V217" s="169"/>
    </row>
    <row r="218" spans="2:22" ht="47.25">
      <c r="B218" s="318"/>
      <c r="C218" s="314"/>
      <c r="D218" s="333"/>
      <c r="E218" s="314"/>
      <c r="F218" s="314"/>
      <c r="G218" s="314"/>
      <c r="H218" s="314"/>
      <c r="I218" s="314"/>
      <c r="J218" s="107" t="s">
        <v>1086</v>
      </c>
      <c r="K218" s="315"/>
      <c r="L218" s="315"/>
      <c r="M218" s="106" t="s">
        <v>1822</v>
      </c>
      <c r="N218" s="155" t="s">
        <v>37</v>
      </c>
      <c r="O218" s="155" t="s">
        <v>943</v>
      </c>
      <c r="P218" s="155" t="s">
        <v>943</v>
      </c>
      <c r="Q218" s="155" t="s">
        <v>944</v>
      </c>
      <c r="R218" s="106" t="s">
        <v>945</v>
      </c>
      <c r="S218" s="169"/>
      <c r="T218" s="169"/>
      <c r="U218" s="169"/>
      <c r="V218" s="169"/>
    </row>
    <row r="219" spans="2:22" ht="31.5">
      <c r="B219" s="318"/>
      <c r="C219" s="314"/>
      <c r="D219" s="333"/>
      <c r="E219" s="314"/>
      <c r="F219" s="314"/>
      <c r="G219" s="314"/>
      <c r="H219" s="314"/>
      <c r="I219" s="314"/>
      <c r="J219" s="76" t="s">
        <v>492</v>
      </c>
      <c r="K219" s="106" t="s">
        <v>1660</v>
      </c>
      <c r="L219" s="106" t="s">
        <v>483</v>
      </c>
      <c r="M219" s="106"/>
      <c r="N219" s="155" t="s">
        <v>37</v>
      </c>
      <c r="O219" s="155" t="s">
        <v>943</v>
      </c>
      <c r="P219" s="155" t="s">
        <v>943</v>
      </c>
      <c r="Q219" s="155" t="s">
        <v>944</v>
      </c>
      <c r="R219" s="106" t="s">
        <v>945</v>
      </c>
      <c r="S219" s="169"/>
      <c r="T219" s="169"/>
      <c r="U219" s="169"/>
      <c r="V219" s="169"/>
    </row>
    <row r="220" spans="2:22" ht="31.5">
      <c r="B220" s="318"/>
      <c r="C220" s="314"/>
      <c r="D220" s="333"/>
      <c r="E220" s="314"/>
      <c r="F220" s="314"/>
      <c r="G220" s="314"/>
      <c r="H220" s="314"/>
      <c r="I220" s="314"/>
      <c r="J220" s="76" t="s">
        <v>493</v>
      </c>
      <c r="K220" s="106" t="s">
        <v>1660</v>
      </c>
      <c r="L220" s="106" t="s">
        <v>494</v>
      </c>
      <c r="M220" s="106"/>
      <c r="N220" s="155" t="s">
        <v>37</v>
      </c>
      <c r="O220" s="155" t="s">
        <v>943</v>
      </c>
      <c r="P220" s="155" t="s">
        <v>943</v>
      </c>
      <c r="Q220" s="155" t="s">
        <v>944</v>
      </c>
      <c r="R220" s="106" t="s">
        <v>945</v>
      </c>
      <c r="S220" s="169"/>
      <c r="T220" s="169"/>
      <c r="U220" s="169"/>
      <c r="V220" s="169"/>
    </row>
    <row r="221" spans="2:22" ht="47.25" customHeight="1">
      <c r="B221" s="318"/>
      <c r="C221" s="314"/>
      <c r="D221" s="333"/>
      <c r="E221" s="314"/>
      <c r="F221" s="314"/>
      <c r="G221" s="314"/>
      <c r="H221" s="314"/>
      <c r="I221" s="314"/>
      <c r="J221" s="107" t="s">
        <v>1087</v>
      </c>
      <c r="K221" s="313" t="s">
        <v>1660</v>
      </c>
      <c r="L221" s="313" t="s">
        <v>495</v>
      </c>
      <c r="M221" s="106" t="s">
        <v>1823</v>
      </c>
      <c r="N221" s="155" t="s">
        <v>37</v>
      </c>
      <c r="O221" s="155" t="s">
        <v>943</v>
      </c>
      <c r="P221" s="155" t="s">
        <v>943</v>
      </c>
      <c r="Q221" s="155" t="s">
        <v>944</v>
      </c>
      <c r="R221" s="106" t="s">
        <v>1017</v>
      </c>
      <c r="S221" s="169"/>
      <c r="T221" s="169"/>
      <c r="U221" s="169"/>
      <c r="V221" s="169"/>
    </row>
    <row r="222" spans="2:22" ht="47.25">
      <c r="B222" s="318"/>
      <c r="C222" s="314"/>
      <c r="D222" s="333"/>
      <c r="E222" s="314"/>
      <c r="F222" s="314"/>
      <c r="G222" s="314"/>
      <c r="H222" s="314"/>
      <c r="I222" s="314"/>
      <c r="J222" s="107" t="s">
        <v>1088</v>
      </c>
      <c r="K222" s="315"/>
      <c r="L222" s="315"/>
      <c r="M222" s="106" t="s">
        <v>1822</v>
      </c>
      <c r="N222" s="155" t="s">
        <v>37</v>
      </c>
      <c r="O222" s="155" t="s">
        <v>943</v>
      </c>
      <c r="P222" s="155" t="s">
        <v>943</v>
      </c>
      <c r="Q222" s="155" t="s">
        <v>944</v>
      </c>
      <c r="R222" s="106" t="s">
        <v>945</v>
      </c>
      <c r="S222" s="169"/>
      <c r="T222" s="169"/>
      <c r="U222" s="169"/>
      <c r="V222" s="169"/>
    </row>
    <row r="223" spans="2:22" ht="31.5">
      <c r="B223" s="318"/>
      <c r="C223" s="314"/>
      <c r="D223" s="333"/>
      <c r="E223" s="314"/>
      <c r="F223" s="314"/>
      <c r="G223" s="314"/>
      <c r="H223" s="314"/>
      <c r="I223" s="314"/>
      <c r="J223" s="76" t="s">
        <v>496</v>
      </c>
      <c r="K223" s="106" t="s">
        <v>1660</v>
      </c>
      <c r="L223" s="106" t="s">
        <v>487</v>
      </c>
      <c r="M223" s="106"/>
      <c r="N223" s="155" t="s">
        <v>37</v>
      </c>
      <c r="O223" s="155" t="s">
        <v>943</v>
      </c>
      <c r="P223" s="155" t="s">
        <v>943</v>
      </c>
      <c r="Q223" s="155" t="s">
        <v>944</v>
      </c>
      <c r="R223" s="106" t="s">
        <v>945</v>
      </c>
      <c r="S223" s="169"/>
      <c r="T223" s="169"/>
      <c r="U223" s="169"/>
      <c r="V223" s="169"/>
    </row>
    <row r="224" spans="2:22" ht="31.5">
      <c r="B224" s="318"/>
      <c r="C224" s="314"/>
      <c r="D224" s="333"/>
      <c r="E224" s="314"/>
      <c r="F224" s="314"/>
      <c r="G224" s="314"/>
      <c r="H224" s="314"/>
      <c r="I224" s="314"/>
      <c r="J224" s="76" t="s">
        <v>497</v>
      </c>
      <c r="K224" s="106" t="s">
        <v>1660</v>
      </c>
      <c r="L224" s="106" t="s">
        <v>498</v>
      </c>
      <c r="M224" s="106"/>
      <c r="N224" s="155" t="s">
        <v>37</v>
      </c>
      <c r="O224" s="155" t="s">
        <v>943</v>
      </c>
      <c r="P224" s="155" t="s">
        <v>943</v>
      </c>
      <c r="Q224" s="155" t="s">
        <v>944</v>
      </c>
      <c r="R224" s="106" t="s">
        <v>945</v>
      </c>
      <c r="S224" s="169"/>
      <c r="T224" s="169"/>
      <c r="U224" s="169"/>
      <c r="V224" s="169"/>
    </row>
    <row r="225" spans="2:22" ht="47.25" customHeight="1">
      <c r="B225" s="318"/>
      <c r="C225" s="314"/>
      <c r="D225" s="333"/>
      <c r="E225" s="314"/>
      <c r="F225" s="314"/>
      <c r="G225" s="314"/>
      <c r="H225" s="314"/>
      <c r="I225" s="314"/>
      <c r="J225" s="107" t="s">
        <v>1089</v>
      </c>
      <c r="K225" s="313" t="s">
        <v>1660</v>
      </c>
      <c r="L225" s="313" t="s">
        <v>499</v>
      </c>
      <c r="M225" s="106" t="s">
        <v>1034</v>
      </c>
      <c r="N225" s="155" t="s">
        <v>37</v>
      </c>
      <c r="O225" s="155" t="s">
        <v>943</v>
      </c>
      <c r="P225" s="155" t="s">
        <v>943</v>
      </c>
      <c r="Q225" s="155" t="s">
        <v>944</v>
      </c>
      <c r="R225" s="106" t="s">
        <v>1017</v>
      </c>
      <c r="S225" s="169"/>
      <c r="T225" s="169"/>
      <c r="U225" s="169"/>
      <c r="V225" s="169"/>
    </row>
    <row r="226" spans="2:22" ht="47.25">
      <c r="B226" s="318"/>
      <c r="C226" s="314"/>
      <c r="D226" s="333"/>
      <c r="E226" s="314"/>
      <c r="F226" s="314"/>
      <c r="G226" s="314"/>
      <c r="H226" s="314"/>
      <c r="I226" s="314"/>
      <c r="J226" s="107" t="s">
        <v>1090</v>
      </c>
      <c r="K226" s="315"/>
      <c r="L226" s="315"/>
      <c r="M226" s="106" t="s">
        <v>1822</v>
      </c>
      <c r="N226" s="155" t="s">
        <v>37</v>
      </c>
      <c r="O226" s="155" t="s">
        <v>943</v>
      </c>
      <c r="P226" s="155" t="s">
        <v>943</v>
      </c>
      <c r="Q226" s="155" t="s">
        <v>944</v>
      </c>
      <c r="R226" s="106" t="s">
        <v>945</v>
      </c>
      <c r="S226" s="169"/>
      <c r="T226" s="169"/>
      <c r="U226" s="169"/>
      <c r="V226" s="169"/>
    </row>
    <row r="227" spans="2:22" ht="31.5">
      <c r="B227" s="318"/>
      <c r="C227" s="314"/>
      <c r="D227" s="333"/>
      <c r="E227" s="314"/>
      <c r="F227" s="314"/>
      <c r="G227" s="314"/>
      <c r="H227" s="314"/>
      <c r="I227" s="314"/>
      <c r="J227" s="76" t="s">
        <v>500</v>
      </c>
      <c r="K227" s="106" t="s">
        <v>1660</v>
      </c>
      <c r="L227" s="106" t="s">
        <v>489</v>
      </c>
      <c r="M227" s="106"/>
      <c r="N227" s="155" t="s">
        <v>37</v>
      </c>
      <c r="O227" s="155" t="s">
        <v>943</v>
      </c>
      <c r="P227" s="155" t="s">
        <v>943</v>
      </c>
      <c r="Q227" s="155" t="s">
        <v>944</v>
      </c>
      <c r="R227" s="106" t="s">
        <v>945</v>
      </c>
      <c r="S227" s="169"/>
      <c r="T227" s="169"/>
      <c r="U227" s="169"/>
      <c r="V227" s="169"/>
    </row>
    <row r="228" spans="2:22" ht="31.5">
      <c r="B228" s="318"/>
      <c r="C228" s="314"/>
      <c r="D228" s="333"/>
      <c r="E228" s="314"/>
      <c r="F228" s="314"/>
      <c r="G228" s="314"/>
      <c r="H228" s="314"/>
      <c r="I228" s="314"/>
      <c r="J228" s="76" t="s">
        <v>501</v>
      </c>
      <c r="K228" s="106" t="s">
        <v>1660</v>
      </c>
      <c r="L228" s="106" t="s">
        <v>502</v>
      </c>
      <c r="M228" s="106"/>
      <c r="N228" s="155" t="s">
        <v>37</v>
      </c>
      <c r="O228" s="155" t="s">
        <v>943</v>
      </c>
      <c r="P228" s="155" t="s">
        <v>943</v>
      </c>
      <c r="Q228" s="155" t="s">
        <v>944</v>
      </c>
      <c r="R228" s="106" t="s">
        <v>945</v>
      </c>
      <c r="S228" s="169"/>
      <c r="T228" s="169"/>
      <c r="U228" s="169"/>
      <c r="V228" s="169"/>
    </row>
    <row r="229" spans="2:22" ht="47.25" customHeight="1">
      <c r="B229" s="318"/>
      <c r="C229" s="314"/>
      <c r="D229" s="333"/>
      <c r="E229" s="314"/>
      <c r="F229" s="314"/>
      <c r="G229" s="314"/>
      <c r="H229" s="314"/>
      <c r="I229" s="314"/>
      <c r="J229" s="107" t="s">
        <v>1091</v>
      </c>
      <c r="K229" s="313" t="s">
        <v>1660</v>
      </c>
      <c r="L229" s="313" t="s">
        <v>1028</v>
      </c>
      <c r="M229" s="106" t="s">
        <v>1034</v>
      </c>
      <c r="N229" s="155" t="s">
        <v>37</v>
      </c>
      <c r="O229" s="155" t="s">
        <v>943</v>
      </c>
      <c r="P229" s="155" t="s">
        <v>943</v>
      </c>
      <c r="Q229" s="155" t="s">
        <v>944</v>
      </c>
      <c r="R229" s="106" t="s">
        <v>1017</v>
      </c>
      <c r="S229" s="169"/>
      <c r="T229" s="169"/>
      <c r="U229" s="169"/>
      <c r="V229" s="169"/>
    </row>
    <row r="230" spans="2:22" ht="47.25">
      <c r="B230" s="318"/>
      <c r="C230" s="314"/>
      <c r="D230" s="333"/>
      <c r="E230" s="314"/>
      <c r="F230" s="314"/>
      <c r="G230" s="314"/>
      <c r="H230" s="314"/>
      <c r="I230" s="314"/>
      <c r="J230" s="107" t="s">
        <v>1092</v>
      </c>
      <c r="K230" s="315"/>
      <c r="L230" s="315"/>
      <c r="M230" s="106" t="s">
        <v>1822</v>
      </c>
      <c r="N230" s="155" t="s">
        <v>37</v>
      </c>
      <c r="O230" s="155" t="s">
        <v>943</v>
      </c>
      <c r="P230" s="155" t="s">
        <v>943</v>
      </c>
      <c r="Q230" s="155" t="s">
        <v>944</v>
      </c>
      <c r="R230" s="106" t="s">
        <v>945</v>
      </c>
      <c r="S230" s="155"/>
      <c r="T230" s="155"/>
      <c r="U230" s="155"/>
      <c r="V230" s="155"/>
    </row>
    <row r="231" spans="2:22" ht="31.5">
      <c r="B231" s="318"/>
      <c r="C231" s="314"/>
      <c r="D231" s="333"/>
      <c r="E231" s="314"/>
      <c r="F231" s="314"/>
      <c r="G231" s="314"/>
      <c r="H231" s="314"/>
      <c r="I231" s="314"/>
      <c r="J231" s="76" t="s">
        <v>1026</v>
      </c>
      <c r="K231" s="106" t="s">
        <v>1660</v>
      </c>
      <c r="L231" s="106" t="s">
        <v>489</v>
      </c>
      <c r="M231" s="106"/>
      <c r="N231" s="155" t="s">
        <v>37</v>
      </c>
      <c r="O231" s="155" t="s">
        <v>943</v>
      </c>
      <c r="P231" s="155" t="s">
        <v>943</v>
      </c>
      <c r="Q231" s="155" t="s">
        <v>944</v>
      </c>
      <c r="R231" s="106" t="s">
        <v>945</v>
      </c>
      <c r="S231" s="155"/>
      <c r="T231" s="155"/>
      <c r="U231" s="155"/>
      <c r="V231" s="155"/>
    </row>
    <row r="232" spans="2:22" ht="31.5">
      <c r="B232" s="319"/>
      <c r="C232" s="315"/>
      <c r="D232" s="323"/>
      <c r="E232" s="315"/>
      <c r="F232" s="315"/>
      <c r="G232" s="315"/>
      <c r="H232" s="315"/>
      <c r="I232" s="315"/>
      <c r="J232" s="76" t="s">
        <v>1027</v>
      </c>
      <c r="K232" s="106" t="s">
        <v>1660</v>
      </c>
      <c r="L232" s="106" t="s">
        <v>502</v>
      </c>
      <c r="M232" s="106"/>
      <c r="N232" s="155" t="s">
        <v>37</v>
      </c>
      <c r="O232" s="155" t="s">
        <v>943</v>
      </c>
      <c r="P232" s="155" t="s">
        <v>943</v>
      </c>
      <c r="Q232" s="155" t="s">
        <v>944</v>
      </c>
      <c r="R232" s="106" t="s">
        <v>945</v>
      </c>
      <c r="S232" s="155"/>
      <c r="T232" s="155"/>
      <c r="U232" s="155"/>
      <c r="V232" s="155"/>
    </row>
    <row r="233" spans="2:22" ht="18.75" customHeight="1">
      <c r="B233" s="317" t="s">
        <v>503</v>
      </c>
      <c r="C233" s="313" t="s">
        <v>365</v>
      </c>
      <c r="D233" s="313" t="s">
        <v>504</v>
      </c>
      <c r="E233" s="313" t="s">
        <v>505</v>
      </c>
      <c r="F233" s="313" t="s">
        <v>1676</v>
      </c>
      <c r="G233" s="313" t="s">
        <v>1977</v>
      </c>
      <c r="H233" s="334"/>
      <c r="I233" s="313"/>
      <c r="J233" s="76" t="s">
        <v>506</v>
      </c>
      <c r="K233" s="106" t="s">
        <v>1660</v>
      </c>
      <c r="L233" s="106" t="s">
        <v>1681</v>
      </c>
      <c r="M233" s="106"/>
      <c r="N233" s="155" t="s">
        <v>37</v>
      </c>
      <c r="O233" s="155" t="s">
        <v>943</v>
      </c>
      <c r="P233" s="155" t="s">
        <v>943</v>
      </c>
      <c r="Q233" s="155" t="s">
        <v>944</v>
      </c>
      <c r="R233" s="106" t="s">
        <v>1017</v>
      </c>
      <c r="S233" s="155"/>
      <c r="T233" s="155"/>
      <c r="U233" s="155"/>
      <c r="V233" s="155"/>
    </row>
    <row r="234" spans="2:22" ht="47.25">
      <c r="B234" s="318"/>
      <c r="C234" s="314"/>
      <c r="D234" s="314"/>
      <c r="E234" s="314"/>
      <c r="F234" s="314"/>
      <c r="G234" s="314"/>
      <c r="H234" s="335"/>
      <c r="I234" s="314"/>
      <c r="J234" s="76" t="s">
        <v>507</v>
      </c>
      <c r="K234" s="106" t="s">
        <v>1660</v>
      </c>
      <c r="L234" s="106" t="s">
        <v>1819</v>
      </c>
      <c r="M234" s="106"/>
      <c r="N234" s="155" t="s">
        <v>37</v>
      </c>
      <c r="O234" s="155" t="s">
        <v>943</v>
      </c>
      <c r="P234" s="155" t="s">
        <v>943</v>
      </c>
      <c r="Q234" s="155" t="s">
        <v>944</v>
      </c>
      <c r="R234" s="106" t="s">
        <v>1017</v>
      </c>
      <c r="S234" s="155"/>
      <c r="T234" s="155"/>
      <c r="U234" s="155"/>
      <c r="V234" s="155"/>
    </row>
    <row r="235" spans="2:22" ht="31.5">
      <c r="B235" s="318"/>
      <c r="C235" s="314"/>
      <c r="D235" s="314"/>
      <c r="E235" s="314"/>
      <c r="F235" s="314"/>
      <c r="G235" s="314"/>
      <c r="H235" s="335"/>
      <c r="I235" s="314"/>
      <c r="J235" s="76" t="s">
        <v>508</v>
      </c>
      <c r="K235" s="106" t="s">
        <v>1660</v>
      </c>
      <c r="L235" s="106" t="s">
        <v>511</v>
      </c>
      <c r="M235" s="106"/>
      <c r="N235" s="155" t="s">
        <v>37</v>
      </c>
      <c r="O235" s="155" t="s">
        <v>943</v>
      </c>
      <c r="P235" s="155" t="s">
        <v>943</v>
      </c>
      <c r="Q235" s="155" t="s">
        <v>944</v>
      </c>
      <c r="R235" s="106" t="s">
        <v>1017</v>
      </c>
      <c r="S235" s="155"/>
      <c r="T235" s="155"/>
      <c r="U235" s="155"/>
      <c r="V235" s="155"/>
    </row>
    <row r="236" spans="2:22" ht="94.5">
      <c r="B236" s="318"/>
      <c r="C236" s="314"/>
      <c r="D236" s="314"/>
      <c r="E236" s="314"/>
      <c r="F236" s="314"/>
      <c r="G236" s="314"/>
      <c r="H236" s="335"/>
      <c r="I236" s="314"/>
      <c r="J236" s="76" t="s">
        <v>509</v>
      </c>
      <c r="K236" s="106" t="s">
        <v>1660</v>
      </c>
      <c r="L236" s="106" t="s">
        <v>1978</v>
      </c>
      <c r="M236" s="106"/>
      <c r="N236" s="155" t="s">
        <v>37</v>
      </c>
      <c r="O236" s="155" t="s">
        <v>943</v>
      </c>
      <c r="P236" s="155" t="s">
        <v>943</v>
      </c>
      <c r="Q236" s="155" t="s">
        <v>944</v>
      </c>
      <c r="R236" s="106" t="s">
        <v>1017</v>
      </c>
      <c r="S236" s="155"/>
      <c r="T236" s="155"/>
      <c r="U236" s="155"/>
      <c r="V236" s="155"/>
    </row>
    <row r="237" spans="2:22" ht="31.5">
      <c r="B237" s="318"/>
      <c r="C237" s="314"/>
      <c r="D237" s="314"/>
      <c r="E237" s="314"/>
      <c r="F237" s="314"/>
      <c r="G237" s="314"/>
      <c r="H237" s="335"/>
      <c r="I237" s="314"/>
      <c r="J237" s="76" t="s">
        <v>510</v>
      </c>
      <c r="K237" s="106" t="s">
        <v>1660</v>
      </c>
      <c r="L237" s="106" t="s">
        <v>1777</v>
      </c>
      <c r="M237" s="106"/>
      <c r="N237" s="155" t="s">
        <v>37</v>
      </c>
      <c r="O237" s="155" t="s">
        <v>943</v>
      </c>
      <c r="P237" s="155" t="s">
        <v>943</v>
      </c>
      <c r="Q237" s="155" t="s">
        <v>944</v>
      </c>
      <c r="R237" s="106" t="s">
        <v>1017</v>
      </c>
      <c r="S237" s="155"/>
      <c r="T237" s="155"/>
      <c r="U237" s="155"/>
      <c r="V237" s="155"/>
    </row>
    <row r="238" spans="2:22" ht="47.25">
      <c r="B238" s="318"/>
      <c r="C238" s="314"/>
      <c r="D238" s="314"/>
      <c r="E238" s="314"/>
      <c r="F238" s="314"/>
      <c r="G238" s="314"/>
      <c r="H238" s="335"/>
      <c r="I238" s="314"/>
      <c r="J238" s="76" t="s">
        <v>1519</v>
      </c>
      <c r="K238" s="106" t="s">
        <v>1660</v>
      </c>
      <c r="L238" s="106" t="s">
        <v>1821</v>
      </c>
      <c r="M238" s="106"/>
      <c r="N238" s="155" t="s">
        <v>37</v>
      </c>
      <c r="O238" s="155" t="s">
        <v>943</v>
      </c>
      <c r="P238" s="155" t="s">
        <v>943</v>
      </c>
      <c r="Q238" s="155" t="s">
        <v>22</v>
      </c>
      <c r="R238" s="106" t="s">
        <v>1017</v>
      </c>
      <c r="S238" s="155"/>
      <c r="T238" s="155"/>
      <c r="U238" s="155"/>
      <c r="V238" s="155"/>
    </row>
    <row r="239" spans="2:22" ht="63">
      <c r="B239" s="318"/>
      <c r="C239" s="314"/>
      <c r="D239" s="314"/>
      <c r="E239" s="314"/>
      <c r="F239" s="314"/>
      <c r="G239" s="314"/>
      <c r="H239" s="335"/>
      <c r="I239" s="314"/>
      <c r="J239" s="76" t="s">
        <v>1520</v>
      </c>
      <c r="K239" s="106" t="s">
        <v>1660</v>
      </c>
      <c r="L239" s="106" t="s">
        <v>1815</v>
      </c>
      <c r="M239" s="106"/>
      <c r="N239" s="155" t="s">
        <v>37</v>
      </c>
      <c r="O239" s="155" t="s">
        <v>943</v>
      </c>
      <c r="P239" s="155" t="s">
        <v>943</v>
      </c>
      <c r="Q239" s="155" t="s">
        <v>22</v>
      </c>
      <c r="R239" s="106" t="s">
        <v>1017</v>
      </c>
      <c r="S239" s="155"/>
      <c r="T239" s="155"/>
      <c r="U239" s="155"/>
      <c r="V239" s="155"/>
    </row>
    <row r="240" spans="2:22" ht="63">
      <c r="B240" s="318"/>
      <c r="C240" s="314"/>
      <c r="D240" s="314"/>
      <c r="E240" s="314"/>
      <c r="F240" s="314"/>
      <c r="G240" s="314"/>
      <c r="H240" s="335"/>
      <c r="I240" s="314"/>
      <c r="J240" s="76" t="s">
        <v>1521</v>
      </c>
      <c r="K240" s="106" t="s">
        <v>1660</v>
      </c>
      <c r="L240" s="106" t="s">
        <v>1861</v>
      </c>
      <c r="M240" s="106"/>
      <c r="N240" s="155" t="s">
        <v>37</v>
      </c>
      <c r="O240" s="155" t="s">
        <v>943</v>
      </c>
      <c r="P240" s="155" t="s">
        <v>943</v>
      </c>
      <c r="Q240" s="155" t="s">
        <v>22</v>
      </c>
      <c r="R240" s="106" t="s">
        <v>1017</v>
      </c>
      <c r="S240" s="155"/>
      <c r="T240" s="155"/>
      <c r="U240" s="155"/>
      <c r="V240" s="155"/>
    </row>
    <row r="241" spans="2:22" ht="77.25" customHeight="1">
      <c r="B241" s="319"/>
      <c r="C241" s="315"/>
      <c r="D241" s="315"/>
      <c r="E241" s="315"/>
      <c r="F241" s="315"/>
      <c r="G241" s="315"/>
      <c r="H241" s="336"/>
      <c r="I241" s="315"/>
      <c r="J241" s="76" t="s">
        <v>1522</v>
      </c>
      <c r="K241" s="106" t="s">
        <v>1660</v>
      </c>
      <c r="L241" s="106" t="s">
        <v>1778</v>
      </c>
      <c r="M241" s="106"/>
      <c r="N241" s="155" t="s">
        <v>37</v>
      </c>
      <c r="O241" s="155" t="s">
        <v>943</v>
      </c>
      <c r="P241" s="155" t="s">
        <v>943</v>
      </c>
      <c r="Q241" s="155" t="s">
        <v>22</v>
      </c>
      <c r="R241" s="106" t="s">
        <v>1017</v>
      </c>
      <c r="S241" s="155"/>
      <c r="T241" s="155"/>
      <c r="U241" s="155"/>
      <c r="V241" s="155"/>
    </row>
    <row r="242" spans="2:22" ht="78.75">
      <c r="B242" s="75" t="s">
        <v>512</v>
      </c>
      <c r="C242" s="106" t="s">
        <v>6</v>
      </c>
      <c r="D242" s="106" t="s">
        <v>327</v>
      </c>
      <c r="E242" s="106" t="s">
        <v>513</v>
      </c>
      <c r="F242" s="106" t="s">
        <v>22</v>
      </c>
      <c r="G242" s="106" t="s">
        <v>1826</v>
      </c>
      <c r="H242" s="106"/>
      <c r="I242" s="106" t="s">
        <v>1012</v>
      </c>
      <c r="J242" s="76" t="s">
        <v>514</v>
      </c>
      <c r="K242" s="106" t="s">
        <v>1649</v>
      </c>
      <c r="L242" s="106" t="s">
        <v>515</v>
      </c>
      <c r="M242" s="106"/>
      <c r="N242" s="155" t="s">
        <v>30</v>
      </c>
      <c r="O242" s="155" t="s">
        <v>22</v>
      </c>
      <c r="P242" s="155" t="s">
        <v>22</v>
      </c>
      <c r="Q242" s="155" t="s">
        <v>22</v>
      </c>
      <c r="R242" s="106" t="s">
        <v>1017</v>
      </c>
      <c r="S242" s="155"/>
      <c r="T242" s="155"/>
      <c r="U242" s="155"/>
      <c r="V242" s="155"/>
    </row>
    <row r="243" spans="2:22" ht="15.75" customHeight="1">
      <c r="B243" s="317" t="s">
        <v>516</v>
      </c>
      <c r="C243" s="313" t="s">
        <v>6</v>
      </c>
      <c r="D243" s="313" t="s">
        <v>517</v>
      </c>
      <c r="E243" s="313" t="s">
        <v>1650</v>
      </c>
      <c r="F243" s="313" t="s">
        <v>22</v>
      </c>
      <c r="G243" s="313" t="s">
        <v>518</v>
      </c>
      <c r="H243" s="313"/>
      <c r="I243" s="313" t="s">
        <v>333</v>
      </c>
      <c r="J243" s="76" t="s">
        <v>519</v>
      </c>
      <c r="K243" s="106" t="s">
        <v>1649</v>
      </c>
      <c r="L243" s="106" t="s">
        <v>520</v>
      </c>
      <c r="M243" s="106"/>
      <c r="N243" s="155" t="s">
        <v>30</v>
      </c>
      <c r="O243" s="155" t="s">
        <v>22</v>
      </c>
      <c r="P243" s="155" t="s">
        <v>22</v>
      </c>
      <c r="Q243" s="155" t="s">
        <v>22</v>
      </c>
      <c r="R243" s="106" t="s">
        <v>945</v>
      </c>
      <c r="S243" s="156"/>
      <c r="T243" s="155"/>
      <c r="U243" s="155"/>
      <c r="V243" s="155"/>
    </row>
    <row r="244" spans="2:22" ht="66" customHeight="1">
      <c r="B244" s="319"/>
      <c r="C244" s="315"/>
      <c r="D244" s="315"/>
      <c r="E244" s="315"/>
      <c r="F244" s="315"/>
      <c r="G244" s="315"/>
      <c r="H244" s="315"/>
      <c r="I244" s="315"/>
      <c r="J244" s="76" t="s">
        <v>521</v>
      </c>
      <c r="K244" s="106" t="s">
        <v>1649</v>
      </c>
      <c r="L244" s="106" t="s">
        <v>522</v>
      </c>
      <c r="M244" s="106"/>
      <c r="N244" s="155" t="s">
        <v>30</v>
      </c>
      <c r="O244" s="155" t="s">
        <v>22</v>
      </c>
      <c r="P244" s="155" t="s">
        <v>22</v>
      </c>
      <c r="Q244" s="155" t="s">
        <v>22</v>
      </c>
      <c r="R244" s="106" t="s">
        <v>945</v>
      </c>
      <c r="S244" s="156"/>
      <c r="T244" s="155"/>
      <c r="U244" s="155"/>
      <c r="V244" s="155"/>
    </row>
    <row r="245" spans="2:22" ht="126">
      <c r="B245" s="75" t="s">
        <v>523</v>
      </c>
      <c r="C245" s="106" t="s">
        <v>6</v>
      </c>
      <c r="D245" s="106" t="s">
        <v>524</v>
      </c>
      <c r="E245" s="106" t="s">
        <v>525</v>
      </c>
      <c r="F245" s="106" t="s">
        <v>22</v>
      </c>
      <c r="G245" s="106" t="s">
        <v>1827</v>
      </c>
      <c r="H245" s="106"/>
      <c r="I245" s="106"/>
      <c r="J245" s="76" t="s">
        <v>526</v>
      </c>
      <c r="K245" s="106" t="s">
        <v>1649</v>
      </c>
      <c r="L245" s="106" t="s">
        <v>527</v>
      </c>
      <c r="M245" s="106"/>
      <c r="N245" s="155" t="s">
        <v>30</v>
      </c>
      <c r="O245" s="155" t="s">
        <v>22</v>
      </c>
      <c r="P245" s="155" t="s">
        <v>22</v>
      </c>
      <c r="Q245" s="155" t="s">
        <v>22</v>
      </c>
      <c r="R245" s="106" t="s">
        <v>1017</v>
      </c>
      <c r="S245" s="155"/>
      <c r="T245" s="155"/>
      <c r="U245" s="155"/>
      <c r="V245" s="155"/>
    </row>
    <row r="246" spans="2:22" ht="115.5" customHeight="1">
      <c r="B246" s="311" t="s">
        <v>528</v>
      </c>
      <c r="C246" s="313" t="s">
        <v>6</v>
      </c>
      <c r="D246" s="313" t="s">
        <v>20</v>
      </c>
      <c r="E246" s="313" t="s">
        <v>529</v>
      </c>
      <c r="F246" s="313" t="s">
        <v>22</v>
      </c>
      <c r="G246" s="313" t="s">
        <v>1779</v>
      </c>
      <c r="H246" s="313"/>
      <c r="I246" s="313" t="s">
        <v>1010</v>
      </c>
      <c r="J246" s="103" t="s">
        <v>1007</v>
      </c>
      <c r="K246" s="313" t="s">
        <v>1649</v>
      </c>
      <c r="L246" s="322" t="s">
        <v>530</v>
      </c>
      <c r="M246" s="106" t="s">
        <v>1011</v>
      </c>
      <c r="N246" s="155" t="s">
        <v>30</v>
      </c>
      <c r="O246" s="155" t="s">
        <v>22</v>
      </c>
      <c r="P246" s="155" t="s">
        <v>22</v>
      </c>
      <c r="Q246" s="155" t="s">
        <v>22</v>
      </c>
      <c r="R246" s="106" t="s">
        <v>1017</v>
      </c>
      <c r="S246" s="155"/>
      <c r="T246" s="155"/>
      <c r="U246" s="155"/>
      <c r="V246" s="155"/>
    </row>
    <row r="247" spans="2:22" ht="72.75" customHeight="1">
      <c r="B247" s="316"/>
      <c r="C247" s="315"/>
      <c r="D247" s="315"/>
      <c r="E247" s="315"/>
      <c r="F247" s="315"/>
      <c r="G247" s="315"/>
      <c r="H247" s="315"/>
      <c r="I247" s="315"/>
      <c r="J247" s="103" t="s">
        <v>1008</v>
      </c>
      <c r="K247" s="315"/>
      <c r="L247" s="323"/>
      <c r="M247" s="104" t="s">
        <v>1009</v>
      </c>
      <c r="N247" s="155" t="s">
        <v>30</v>
      </c>
      <c r="O247" s="155" t="s">
        <v>944</v>
      </c>
      <c r="P247" s="155" t="s">
        <v>22</v>
      </c>
      <c r="Q247" s="155" t="s">
        <v>22</v>
      </c>
      <c r="R247" s="106" t="s">
        <v>1017</v>
      </c>
      <c r="S247" s="155"/>
      <c r="T247" s="155"/>
      <c r="U247" s="155"/>
      <c r="V247" s="155"/>
    </row>
    <row r="248" spans="2:22" ht="231" customHeight="1">
      <c r="B248" s="317" t="s">
        <v>531</v>
      </c>
      <c r="C248" s="313" t="s">
        <v>6</v>
      </c>
      <c r="D248" s="313" t="s">
        <v>532</v>
      </c>
      <c r="E248" s="313" t="s">
        <v>533</v>
      </c>
      <c r="F248" s="313" t="s">
        <v>22</v>
      </c>
      <c r="G248" s="313" t="s">
        <v>1138</v>
      </c>
      <c r="H248" s="313"/>
      <c r="I248" s="313" t="s">
        <v>1010</v>
      </c>
      <c r="J248" s="76" t="s">
        <v>534</v>
      </c>
      <c r="K248" s="106" t="s">
        <v>1649</v>
      </c>
      <c r="L248" s="106" t="s">
        <v>1780</v>
      </c>
      <c r="M248" s="106"/>
      <c r="N248" s="155" t="s">
        <v>30</v>
      </c>
      <c r="O248" s="155" t="s">
        <v>944</v>
      </c>
      <c r="P248" s="155" t="s">
        <v>22</v>
      </c>
      <c r="Q248" s="155" t="s">
        <v>22</v>
      </c>
      <c r="R248" s="106" t="s">
        <v>1017</v>
      </c>
      <c r="S248" s="155"/>
      <c r="T248" s="155"/>
      <c r="U248" s="155"/>
      <c r="V248" s="155"/>
    </row>
    <row r="249" spans="2:22" ht="156.75" customHeight="1">
      <c r="B249" s="319"/>
      <c r="C249" s="315"/>
      <c r="D249" s="315"/>
      <c r="E249" s="315"/>
      <c r="F249" s="315"/>
      <c r="G249" s="315"/>
      <c r="H249" s="315"/>
      <c r="I249" s="315"/>
      <c r="J249" s="76" t="s">
        <v>535</v>
      </c>
      <c r="K249" s="106" t="s">
        <v>1649</v>
      </c>
      <c r="L249" s="106" t="s">
        <v>1025</v>
      </c>
      <c r="M249" s="106"/>
      <c r="N249" s="155" t="s">
        <v>30</v>
      </c>
      <c r="O249" s="155" t="s">
        <v>22</v>
      </c>
      <c r="P249" s="155" t="s">
        <v>22</v>
      </c>
      <c r="Q249" s="155" t="s">
        <v>22</v>
      </c>
      <c r="R249" s="106" t="s">
        <v>1017</v>
      </c>
      <c r="S249" s="155"/>
      <c r="T249" s="155"/>
      <c r="U249" s="155"/>
      <c r="V249" s="155"/>
    </row>
    <row r="250" spans="2:22" ht="53.25" customHeight="1">
      <c r="B250" s="338" t="s">
        <v>536</v>
      </c>
      <c r="C250" s="322" t="s">
        <v>6</v>
      </c>
      <c r="D250" s="322" t="s">
        <v>537</v>
      </c>
      <c r="E250" s="322" t="s">
        <v>1651</v>
      </c>
      <c r="F250" s="322" t="s">
        <v>22</v>
      </c>
      <c r="G250" s="322" t="s">
        <v>1783</v>
      </c>
      <c r="H250" s="322"/>
      <c r="I250" s="320"/>
      <c r="J250" s="76" t="s">
        <v>538</v>
      </c>
      <c r="K250" s="106" t="s">
        <v>1649</v>
      </c>
      <c r="L250" s="106" t="s">
        <v>1652</v>
      </c>
      <c r="M250" s="106"/>
      <c r="N250" s="155" t="s">
        <v>30</v>
      </c>
      <c r="O250" s="155" t="s">
        <v>22</v>
      </c>
      <c r="P250" s="155" t="s">
        <v>22</v>
      </c>
      <c r="Q250" s="155" t="s">
        <v>22</v>
      </c>
      <c r="R250" s="106" t="s">
        <v>1017</v>
      </c>
      <c r="S250" s="155"/>
      <c r="T250" s="155"/>
      <c r="U250" s="155"/>
      <c r="V250" s="155"/>
    </row>
    <row r="251" spans="2:22" ht="53.25" customHeight="1">
      <c r="B251" s="339"/>
      <c r="C251" s="333"/>
      <c r="D251" s="333"/>
      <c r="E251" s="333"/>
      <c r="F251" s="333"/>
      <c r="G251" s="333"/>
      <c r="H251" s="333"/>
      <c r="I251" s="337"/>
      <c r="J251" s="76" t="s">
        <v>1018</v>
      </c>
      <c r="K251" s="106" t="s">
        <v>1649</v>
      </c>
      <c r="L251" s="106" t="s">
        <v>1653</v>
      </c>
      <c r="M251" s="106"/>
      <c r="N251" s="155" t="s">
        <v>30</v>
      </c>
      <c r="O251" s="155" t="s">
        <v>22</v>
      </c>
      <c r="P251" s="155" t="s">
        <v>22</v>
      </c>
      <c r="Q251" s="155" t="s">
        <v>22</v>
      </c>
      <c r="R251" s="106" t="s">
        <v>1017</v>
      </c>
      <c r="S251" s="155"/>
      <c r="T251" s="155"/>
      <c r="U251" s="155"/>
      <c r="V251" s="155"/>
    </row>
    <row r="252" spans="2:22" ht="53.25" customHeight="1">
      <c r="B252" s="339"/>
      <c r="C252" s="333"/>
      <c r="D252" s="333"/>
      <c r="E252" s="333"/>
      <c r="F252" s="333"/>
      <c r="G252" s="333"/>
      <c r="H252" s="333"/>
      <c r="I252" s="337"/>
      <c r="J252" s="76" t="s">
        <v>539</v>
      </c>
      <c r="K252" s="106" t="s">
        <v>1649</v>
      </c>
      <c r="L252" s="106" t="s">
        <v>1654</v>
      </c>
      <c r="M252" s="106"/>
      <c r="N252" s="155" t="s">
        <v>30</v>
      </c>
      <c r="O252" s="155" t="s">
        <v>22</v>
      </c>
      <c r="P252" s="155" t="s">
        <v>22</v>
      </c>
      <c r="Q252" s="155" t="s">
        <v>22</v>
      </c>
      <c r="R252" s="106" t="s">
        <v>1017</v>
      </c>
      <c r="S252" s="155"/>
      <c r="T252" s="155"/>
      <c r="U252" s="155"/>
      <c r="V252" s="155"/>
    </row>
    <row r="253" spans="2:22" ht="53.25" customHeight="1">
      <c r="B253" s="339"/>
      <c r="C253" s="333"/>
      <c r="D253" s="333"/>
      <c r="E253" s="333"/>
      <c r="F253" s="333"/>
      <c r="G253" s="333"/>
      <c r="H253" s="333"/>
      <c r="I253" s="337"/>
      <c r="J253" s="76" t="s">
        <v>1019</v>
      </c>
      <c r="K253" s="106" t="s">
        <v>1649</v>
      </c>
      <c r="L253" s="106" t="s">
        <v>1655</v>
      </c>
      <c r="M253" s="106"/>
      <c r="N253" s="155" t="s">
        <v>30</v>
      </c>
      <c r="O253" s="155" t="s">
        <v>22</v>
      </c>
      <c r="P253" s="155" t="s">
        <v>22</v>
      </c>
      <c r="Q253" s="155" t="s">
        <v>22</v>
      </c>
      <c r="R253" s="106" t="s">
        <v>1017</v>
      </c>
      <c r="S253" s="155"/>
      <c r="T253" s="155"/>
      <c r="U253" s="155"/>
      <c r="V253" s="155"/>
    </row>
    <row r="254" spans="2:22" ht="53.25" customHeight="1">
      <c r="B254" s="339"/>
      <c r="C254" s="333"/>
      <c r="D254" s="333"/>
      <c r="E254" s="333"/>
      <c r="F254" s="333"/>
      <c r="G254" s="333"/>
      <c r="H254" s="333"/>
      <c r="I254" s="337"/>
      <c r="J254" s="76" t="s">
        <v>540</v>
      </c>
      <c r="K254" s="106" t="s">
        <v>1649</v>
      </c>
      <c r="L254" s="106" t="s">
        <v>1656</v>
      </c>
      <c r="M254" s="106"/>
      <c r="N254" s="155" t="s">
        <v>30</v>
      </c>
      <c r="O254" s="155" t="s">
        <v>22</v>
      </c>
      <c r="P254" s="155" t="s">
        <v>22</v>
      </c>
      <c r="Q254" s="155" t="s">
        <v>22</v>
      </c>
      <c r="R254" s="106" t="s">
        <v>1017</v>
      </c>
      <c r="S254" s="155"/>
      <c r="T254" s="155"/>
      <c r="U254" s="155"/>
      <c r="V254" s="155"/>
    </row>
    <row r="255" spans="2:22" ht="53.25" customHeight="1">
      <c r="B255" s="339"/>
      <c r="C255" s="333"/>
      <c r="D255" s="333"/>
      <c r="E255" s="333"/>
      <c r="F255" s="333"/>
      <c r="G255" s="333"/>
      <c r="H255" s="333"/>
      <c r="I255" s="337"/>
      <c r="J255" s="76" t="s">
        <v>1020</v>
      </c>
      <c r="K255" s="106" t="s">
        <v>1649</v>
      </c>
      <c r="L255" s="106" t="s">
        <v>1781</v>
      </c>
      <c r="M255" s="106"/>
      <c r="N255" s="155" t="s">
        <v>30</v>
      </c>
      <c r="O255" s="155" t="s">
        <v>22</v>
      </c>
      <c r="P255" s="155" t="s">
        <v>22</v>
      </c>
      <c r="Q255" s="155" t="s">
        <v>22</v>
      </c>
      <c r="R255" s="106" t="s">
        <v>1017</v>
      </c>
      <c r="S255" s="155"/>
      <c r="T255" s="155"/>
      <c r="U255" s="155"/>
      <c r="V255" s="155"/>
    </row>
    <row r="256" spans="2:22" ht="53.25" customHeight="1">
      <c r="B256" s="339"/>
      <c r="C256" s="333"/>
      <c r="D256" s="333"/>
      <c r="E256" s="333"/>
      <c r="F256" s="333"/>
      <c r="G256" s="333"/>
      <c r="H256" s="333"/>
      <c r="I256" s="337"/>
      <c r="J256" s="76" t="s">
        <v>1029</v>
      </c>
      <c r="K256" s="106" t="s">
        <v>1649</v>
      </c>
      <c r="L256" s="106" t="s">
        <v>1657</v>
      </c>
      <c r="M256" s="106"/>
      <c r="N256" s="155" t="s">
        <v>30</v>
      </c>
      <c r="O256" s="155" t="s">
        <v>22</v>
      </c>
      <c r="P256" s="155" t="s">
        <v>22</v>
      </c>
      <c r="Q256" s="155" t="s">
        <v>22</v>
      </c>
      <c r="R256" s="106" t="s">
        <v>1017</v>
      </c>
      <c r="S256" s="155"/>
      <c r="T256" s="155"/>
      <c r="U256" s="155"/>
      <c r="V256" s="155"/>
    </row>
    <row r="257" spans="2:22" ht="53.25" customHeight="1">
      <c r="B257" s="340"/>
      <c r="C257" s="323"/>
      <c r="D257" s="323"/>
      <c r="E257" s="323"/>
      <c r="F257" s="323"/>
      <c r="G257" s="323"/>
      <c r="H257" s="323"/>
      <c r="I257" s="321"/>
      <c r="J257" s="76" t="s">
        <v>1030</v>
      </c>
      <c r="K257" s="106" t="s">
        <v>1649</v>
      </c>
      <c r="L257" s="106" t="s">
        <v>1782</v>
      </c>
      <c r="M257" s="106"/>
      <c r="N257" s="155" t="s">
        <v>30</v>
      </c>
      <c r="O257" s="155" t="s">
        <v>22</v>
      </c>
      <c r="P257" s="155" t="s">
        <v>22</v>
      </c>
      <c r="Q257" s="155" t="s">
        <v>22</v>
      </c>
      <c r="R257" s="106" t="s">
        <v>1017</v>
      </c>
      <c r="S257" s="155"/>
      <c r="T257" s="155"/>
      <c r="U257" s="155"/>
      <c r="V257" s="155"/>
    </row>
    <row r="258" spans="2:22" ht="99" customHeight="1">
      <c r="B258" s="317" t="s">
        <v>541</v>
      </c>
      <c r="C258" s="313" t="s">
        <v>6</v>
      </c>
      <c r="D258" s="313" t="s">
        <v>21</v>
      </c>
      <c r="E258" s="313" t="s">
        <v>542</v>
      </c>
      <c r="F258" s="313" t="s">
        <v>22</v>
      </c>
      <c r="G258" s="313" t="s">
        <v>543</v>
      </c>
      <c r="H258" s="313"/>
      <c r="I258" s="313"/>
      <c r="J258" s="76" t="s">
        <v>544</v>
      </c>
      <c r="K258" s="106" t="s">
        <v>1649</v>
      </c>
      <c r="L258" s="106" t="s">
        <v>32</v>
      </c>
      <c r="M258" s="106"/>
      <c r="N258" s="155" t="s">
        <v>30</v>
      </c>
      <c r="O258" s="155" t="s">
        <v>944</v>
      </c>
      <c r="P258" s="155" t="s">
        <v>22</v>
      </c>
      <c r="Q258" s="155" t="s">
        <v>22</v>
      </c>
      <c r="R258" s="106" t="s">
        <v>1017</v>
      </c>
      <c r="S258" s="155"/>
      <c r="T258" s="155"/>
      <c r="U258" s="155"/>
      <c r="V258" s="155"/>
    </row>
    <row r="259" spans="2:22" ht="89.25" customHeight="1">
      <c r="B259" s="319"/>
      <c r="C259" s="315"/>
      <c r="D259" s="315"/>
      <c r="E259" s="315"/>
      <c r="F259" s="315"/>
      <c r="G259" s="315"/>
      <c r="H259" s="315"/>
      <c r="I259" s="315"/>
      <c r="J259" s="76" t="s">
        <v>545</v>
      </c>
      <c r="K259" s="106" t="s">
        <v>1649</v>
      </c>
      <c r="L259" s="106" t="s">
        <v>546</v>
      </c>
      <c r="M259" s="106"/>
      <c r="N259" s="155" t="s">
        <v>30</v>
      </c>
      <c r="O259" s="155" t="s">
        <v>944</v>
      </c>
      <c r="P259" s="155" t="s">
        <v>22</v>
      </c>
      <c r="Q259" s="155" t="s">
        <v>22</v>
      </c>
      <c r="R259" s="106" t="s">
        <v>1017</v>
      </c>
      <c r="S259" s="155"/>
      <c r="T259" s="155"/>
      <c r="U259" s="155"/>
      <c r="V259" s="155"/>
    </row>
    <row r="260" spans="2:22" ht="157.5">
      <c r="B260" s="75" t="s">
        <v>547</v>
      </c>
      <c r="C260" s="106" t="s">
        <v>6</v>
      </c>
      <c r="D260" s="106" t="s">
        <v>548</v>
      </c>
      <c r="E260" s="106" t="s">
        <v>549</v>
      </c>
      <c r="F260" s="106" t="s">
        <v>22</v>
      </c>
      <c r="G260" s="106" t="s">
        <v>1828</v>
      </c>
      <c r="H260" s="106"/>
      <c r="I260" s="106" t="s">
        <v>1010</v>
      </c>
      <c r="J260" s="76" t="s">
        <v>550</v>
      </c>
      <c r="K260" s="106" t="s">
        <v>1649</v>
      </c>
      <c r="L260" s="106" t="s">
        <v>551</v>
      </c>
      <c r="M260" s="106"/>
      <c r="N260" s="155" t="s">
        <v>30</v>
      </c>
      <c r="O260" s="155" t="s">
        <v>22</v>
      </c>
      <c r="P260" s="155" t="s">
        <v>22</v>
      </c>
      <c r="Q260" s="155" t="s">
        <v>22</v>
      </c>
      <c r="R260" s="106" t="s">
        <v>1017</v>
      </c>
      <c r="S260" s="155"/>
      <c r="T260" s="155"/>
      <c r="U260" s="155"/>
      <c r="V260" s="155"/>
    </row>
    <row r="261" spans="2:22" ht="94.5">
      <c r="B261" s="75" t="s">
        <v>552</v>
      </c>
      <c r="C261" s="106" t="s">
        <v>6</v>
      </c>
      <c r="D261" s="106" t="s">
        <v>553</v>
      </c>
      <c r="E261" s="106" t="s">
        <v>554</v>
      </c>
      <c r="F261" s="106" t="s">
        <v>555</v>
      </c>
      <c r="G261" s="106" t="s">
        <v>1829</v>
      </c>
      <c r="H261" s="106"/>
      <c r="I261" s="106" t="s">
        <v>1010</v>
      </c>
      <c r="J261" s="76" t="s">
        <v>556</v>
      </c>
      <c r="K261" s="106" t="s">
        <v>1649</v>
      </c>
      <c r="L261" s="106" t="s">
        <v>557</v>
      </c>
      <c r="M261" s="106"/>
      <c r="N261" s="155" t="s">
        <v>30</v>
      </c>
      <c r="O261" s="155" t="s">
        <v>22</v>
      </c>
      <c r="P261" s="155" t="s">
        <v>22</v>
      </c>
      <c r="Q261" s="155" t="s">
        <v>22</v>
      </c>
      <c r="R261" s="106" t="s">
        <v>1017</v>
      </c>
      <c r="S261" s="155"/>
      <c r="T261" s="155"/>
      <c r="U261" s="155"/>
      <c r="V261" s="155"/>
    </row>
    <row r="262" spans="2:22" ht="173.25">
      <c r="B262" s="75" t="s">
        <v>558</v>
      </c>
      <c r="C262" s="106" t="s">
        <v>6</v>
      </c>
      <c r="D262" s="106" t="s">
        <v>10</v>
      </c>
      <c r="E262" s="106" t="s">
        <v>559</v>
      </c>
      <c r="F262" s="106" t="s">
        <v>555</v>
      </c>
      <c r="G262" s="106" t="s">
        <v>1830</v>
      </c>
      <c r="H262" s="106"/>
      <c r="I262" s="106" t="s">
        <v>1010</v>
      </c>
      <c r="J262" s="76" t="s">
        <v>560</v>
      </c>
      <c r="K262" s="106" t="s">
        <v>1649</v>
      </c>
      <c r="L262" s="106" t="s">
        <v>561</v>
      </c>
      <c r="M262" s="106"/>
      <c r="N262" s="155" t="s">
        <v>30</v>
      </c>
      <c r="O262" s="155" t="s">
        <v>944</v>
      </c>
      <c r="P262" s="155" t="s">
        <v>22</v>
      </c>
      <c r="Q262" s="155" t="s">
        <v>22</v>
      </c>
      <c r="R262" s="106" t="s">
        <v>1017</v>
      </c>
      <c r="S262" s="155"/>
      <c r="T262" s="155"/>
      <c r="U262" s="155"/>
      <c r="V262" s="155"/>
    </row>
    <row r="263" spans="2:22" ht="75" customHeight="1">
      <c r="B263" s="317" t="s">
        <v>562</v>
      </c>
      <c r="C263" s="313" t="s">
        <v>16</v>
      </c>
      <c r="D263" s="313" t="s">
        <v>17</v>
      </c>
      <c r="E263" s="313" t="s">
        <v>563</v>
      </c>
      <c r="F263" s="313" t="s">
        <v>415</v>
      </c>
      <c r="G263" s="313" t="s">
        <v>564</v>
      </c>
      <c r="H263" s="313"/>
      <c r="I263" s="313"/>
      <c r="J263" s="76" t="s">
        <v>565</v>
      </c>
      <c r="K263" s="106" t="s">
        <v>1659</v>
      </c>
      <c r="L263" s="106" t="s">
        <v>1862</v>
      </c>
      <c r="M263" s="106"/>
      <c r="N263" s="155" t="s">
        <v>38</v>
      </c>
      <c r="O263" s="155" t="s">
        <v>943</v>
      </c>
      <c r="P263" s="155" t="s">
        <v>22</v>
      </c>
      <c r="Q263" s="155" t="s">
        <v>944</v>
      </c>
      <c r="R263" s="106" t="s">
        <v>1017</v>
      </c>
      <c r="S263" s="155"/>
      <c r="T263" s="155"/>
      <c r="U263" s="155"/>
      <c r="V263" s="155"/>
    </row>
    <row r="264" spans="2:22" ht="78.75">
      <c r="B264" s="318"/>
      <c r="C264" s="314"/>
      <c r="D264" s="314"/>
      <c r="E264" s="314"/>
      <c r="F264" s="314"/>
      <c r="G264" s="314"/>
      <c r="H264" s="314"/>
      <c r="I264" s="314"/>
      <c r="J264" s="76" t="s">
        <v>566</v>
      </c>
      <c r="K264" s="106" t="s">
        <v>1660</v>
      </c>
      <c r="L264" s="106" t="s">
        <v>1862</v>
      </c>
      <c r="M264" s="106"/>
      <c r="N264" s="155" t="s">
        <v>38</v>
      </c>
      <c r="O264" s="155" t="s">
        <v>943</v>
      </c>
      <c r="P264" s="155" t="s">
        <v>22</v>
      </c>
      <c r="Q264" s="155" t="s">
        <v>944</v>
      </c>
      <c r="R264" s="106" t="s">
        <v>945</v>
      </c>
      <c r="S264" s="155"/>
      <c r="T264" s="155"/>
      <c r="U264" s="155"/>
      <c r="V264" s="155"/>
    </row>
    <row r="265" spans="2:22" ht="78.75">
      <c r="B265" s="318"/>
      <c r="C265" s="314"/>
      <c r="D265" s="314"/>
      <c r="E265" s="314"/>
      <c r="F265" s="314"/>
      <c r="G265" s="314"/>
      <c r="H265" s="314"/>
      <c r="I265" s="314"/>
      <c r="J265" s="76" t="s">
        <v>567</v>
      </c>
      <c r="K265" s="106" t="s">
        <v>1659</v>
      </c>
      <c r="L265" s="106" t="s">
        <v>1863</v>
      </c>
      <c r="M265" s="106"/>
      <c r="N265" s="155" t="s">
        <v>38</v>
      </c>
      <c r="O265" s="155" t="s">
        <v>943</v>
      </c>
      <c r="P265" s="155" t="s">
        <v>22</v>
      </c>
      <c r="Q265" s="155" t="s">
        <v>944</v>
      </c>
      <c r="R265" s="106" t="s">
        <v>1017</v>
      </c>
      <c r="S265" s="155"/>
      <c r="T265" s="155"/>
      <c r="U265" s="155"/>
      <c r="V265" s="155"/>
    </row>
    <row r="266" spans="2:22" ht="78.75">
      <c r="B266" s="318"/>
      <c r="C266" s="314"/>
      <c r="D266" s="314"/>
      <c r="E266" s="314"/>
      <c r="F266" s="314"/>
      <c r="G266" s="314"/>
      <c r="H266" s="314"/>
      <c r="I266" s="314"/>
      <c r="J266" s="76" t="s">
        <v>568</v>
      </c>
      <c r="K266" s="106" t="s">
        <v>1660</v>
      </c>
      <c r="L266" s="106" t="s">
        <v>1863</v>
      </c>
      <c r="M266" s="106"/>
      <c r="N266" s="155" t="s">
        <v>38</v>
      </c>
      <c r="O266" s="155" t="s">
        <v>943</v>
      </c>
      <c r="P266" s="155" t="s">
        <v>22</v>
      </c>
      <c r="Q266" s="155" t="s">
        <v>944</v>
      </c>
      <c r="R266" s="106" t="s">
        <v>945</v>
      </c>
      <c r="S266" s="155"/>
      <c r="T266" s="155"/>
      <c r="U266" s="155"/>
      <c r="V266" s="155"/>
    </row>
    <row r="267" spans="2:22" ht="63">
      <c r="B267" s="318"/>
      <c r="C267" s="314"/>
      <c r="D267" s="314"/>
      <c r="E267" s="314"/>
      <c r="F267" s="314"/>
      <c r="G267" s="314"/>
      <c r="H267" s="314"/>
      <c r="I267" s="314"/>
      <c r="J267" s="76" t="s">
        <v>569</v>
      </c>
      <c r="K267" s="106" t="s">
        <v>1659</v>
      </c>
      <c r="L267" s="106" t="s">
        <v>1864</v>
      </c>
      <c r="M267" s="106"/>
      <c r="N267" s="155" t="s">
        <v>38</v>
      </c>
      <c r="O267" s="155" t="s">
        <v>943</v>
      </c>
      <c r="P267" s="155" t="s">
        <v>22</v>
      </c>
      <c r="Q267" s="155" t="s">
        <v>944</v>
      </c>
      <c r="R267" s="106" t="s">
        <v>1017</v>
      </c>
      <c r="S267" s="155"/>
      <c r="T267" s="155"/>
      <c r="U267" s="155"/>
      <c r="V267" s="155"/>
    </row>
    <row r="268" spans="2:22" ht="63">
      <c r="B268" s="318"/>
      <c r="C268" s="314"/>
      <c r="D268" s="314"/>
      <c r="E268" s="314"/>
      <c r="F268" s="314"/>
      <c r="G268" s="314"/>
      <c r="H268" s="314"/>
      <c r="I268" s="314"/>
      <c r="J268" s="76" t="s">
        <v>570</v>
      </c>
      <c r="K268" s="106" t="s">
        <v>1660</v>
      </c>
      <c r="L268" s="106" t="s">
        <v>1864</v>
      </c>
      <c r="M268" s="106"/>
      <c r="N268" s="155" t="s">
        <v>38</v>
      </c>
      <c r="O268" s="155" t="s">
        <v>943</v>
      </c>
      <c r="P268" s="155" t="s">
        <v>22</v>
      </c>
      <c r="Q268" s="155" t="s">
        <v>944</v>
      </c>
      <c r="R268" s="106" t="s">
        <v>945</v>
      </c>
      <c r="S268" s="155"/>
      <c r="T268" s="155"/>
      <c r="U268" s="155"/>
      <c r="V268" s="155"/>
    </row>
    <row r="269" spans="2:22" ht="78.75">
      <c r="B269" s="318"/>
      <c r="C269" s="314"/>
      <c r="D269" s="314"/>
      <c r="E269" s="314"/>
      <c r="F269" s="314"/>
      <c r="G269" s="314"/>
      <c r="H269" s="314"/>
      <c r="I269" s="314"/>
      <c r="J269" s="76" t="s">
        <v>571</v>
      </c>
      <c r="K269" s="106" t="s">
        <v>1659</v>
      </c>
      <c r="L269" s="106" t="s">
        <v>1865</v>
      </c>
      <c r="M269" s="106"/>
      <c r="N269" s="155" t="s">
        <v>38</v>
      </c>
      <c r="O269" s="155" t="s">
        <v>943</v>
      </c>
      <c r="P269" s="155" t="s">
        <v>22</v>
      </c>
      <c r="Q269" s="155" t="s">
        <v>944</v>
      </c>
      <c r="R269" s="106" t="s">
        <v>1017</v>
      </c>
      <c r="S269" s="155"/>
      <c r="T269" s="155"/>
      <c r="U269" s="155"/>
      <c r="V269" s="155"/>
    </row>
    <row r="270" spans="2:22" ht="78.75">
      <c r="B270" s="318"/>
      <c r="C270" s="314"/>
      <c r="D270" s="314"/>
      <c r="E270" s="314"/>
      <c r="F270" s="314"/>
      <c r="G270" s="314"/>
      <c r="H270" s="314"/>
      <c r="I270" s="314"/>
      <c r="J270" s="76" t="s">
        <v>572</v>
      </c>
      <c r="K270" s="106" t="s">
        <v>1660</v>
      </c>
      <c r="L270" s="106" t="s">
        <v>1865</v>
      </c>
      <c r="M270" s="106"/>
      <c r="N270" s="155" t="s">
        <v>38</v>
      </c>
      <c r="O270" s="155" t="s">
        <v>943</v>
      </c>
      <c r="P270" s="155" t="s">
        <v>22</v>
      </c>
      <c r="Q270" s="155" t="s">
        <v>944</v>
      </c>
      <c r="R270" s="106" t="s">
        <v>945</v>
      </c>
      <c r="S270" s="155"/>
      <c r="T270" s="155"/>
      <c r="U270" s="155"/>
      <c r="V270" s="155"/>
    </row>
    <row r="271" spans="2:22" ht="78.75">
      <c r="B271" s="318"/>
      <c r="C271" s="314"/>
      <c r="D271" s="314"/>
      <c r="E271" s="314"/>
      <c r="F271" s="314"/>
      <c r="G271" s="314"/>
      <c r="H271" s="314"/>
      <c r="I271" s="314"/>
      <c r="J271" s="76" t="s">
        <v>573</v>
      </c>
      <c r="K271" s="106" t="s">
        <v>1659</v>
      </c>
      <c r="L271" s="106" t="s">
        <v>1866</v>
      </c>
      <c r="M271" s="106"/>
      <c r="N271" s="155" t="s">
        <v>38</v>
      </c>
      <c r="O271" s="155" t="s">
        <v>943</v>
      </c>
      <c r="P271" s="155" t="s">
        <v>22</v>
      </c>
      <c r="Q271" s="155" t="s">
        <v>944</v>
      </c>
      <c r="R271" s="106" t="s">
        <v>1017</v>
      </c>
      <c r="S271" s="155"/>
      <c r="T271" s="155"/>
      <c r="U271" s="155"/>
      <c r="V271" s="155"/>
    </row>
    <row r="272" spans="2:22" ht="78.75">
      <c r="B272" s="318"/>
      <c r="C272" s="314"/>
      <c r="D272" s="314"/>
      <c r="E272" s="314"/>
      <c r="F272" s="314"/>
      <c r="G272" s="314"/>
      <c r="H272" s="314"/>
      <c r="I272" s="314"/>
      <c r="J272" s="76" t="s">
        <v>574</v>
      </c>
      <c r="K272" s="106" t="s">
        <v>1660</v>
      </c>
      <c r="L272" s="106" t="s">
        <v>1866</v>
      </c>
      <c r="M272" s="106"/>
      <c r="N272" s="155" t="s">
        <v>38</v>
      </c>
      <c r="O272" s="155" t="s">
        <v>943</v>
      </c>
      <c r="P272" s="155" t="s">
        <v>22</v>
      </c>
      <c r="Q272" s="155" t="s">
        <v>944</v>
      </c>
      <c r="R272" s="106" t="s">
        <v>945</v>
      </c>
      <c r="S272" s="155"/>
      <c r="T272" s="155"/>
      <c r="U272" s="155"/>
      <c r="V272" s="155"/>
    </row>
    <row r="273" spans="2:22" ht="63">
      <c r="B273" s="318"/>
      <c r="C273" s="314"/>
      <c r="D273" s="314"/>
      <c r="E273" s="314"/>
      <c r="F273" s="314"/>
      <c r="G273" s="314"/>
      <c r="H273" s="314"/>
      <c r="I273" s="314"/>
      <c r="J273" s="76" t="s">
        <v>575</v>
      </c>
      <c r="K273" s="106" t="s">
        <v>1659</v>
      </c>
      <c r="L273" s="106" t="s">
        <v>1867</v>
      </c>
      <c r="M273" s="106"/>
      <c r="N273" s="155" t="s">
        <v>38</v>
      </c>
      <c r="O273" s="155" t="s">
        <v>943</v>
      </c>
      <c r="P273" s="155" t="s">
        <v>22</v>
      </c>
      <c r="Q273" s="155" t="s">
        <v>944</v>
      </c>
      <c r="R273" s="106" t="s">
        <v>1017</v>
      </c>
      <c r="S273" s="155"/>
      <c r="T273" s="155"/>
      <c r="U273" s="155"/>
      <c r="V273" s="155"/>
    </row>
    <row r="274" spans="2:22" ht="47.25">
      <c r="B274" s="318"/>
      <c r="C274" s="314"/>
      <c r="D274" s="314"/>
      <c r="E274" s="314"/>
      <c r="F274" s="314"/>
      <c r="G274" s="314"/>
      <c r="H274" s="314"/>
      <c r="I274" s="314"/>
      <c r="J274" s="76" t="s">
        <v>576</v>
      </c>
      <c r="K274" s="106" t="s">
        <v>1660</v>
      </c>
      <c r="L274" s="106" t="s">
        <v>1682</v>
      </c>
      <c r="M274" s="106"/>
      <c r="N274" s="155" t="s">
        <v>38</v>
      </c>
      <c r="O274" s="155" t="s">
        <v>943</v>
      </c>
      <c r="P274" s="155" t="s">
        <v>22</v>
      </c>
      <c r="Q274" s="155" t="s">
        <v>944</v>
      </c>
      <c r="R274" s="106" t="s">
        <v>945</v>
      </c>
      <c r="S274" s="155"/>
      <c r="T274" s="155"/>
      <c r="U274" s="155"/>
      <c r="V274" s="155"/>
    </row>
    <row r="275" spans="2:22" ht="78.75">
      <c r="B275" s="318"/>
      <c r="C275" s="314"/>
      <c r="D275" s="314"/>
      <c r="E275" s="314"/>
      <c r="F275" s="314"/>
      <c r="G275" s="314"/>
      <c r="H275" s="314"/>
      <c r="I275" s="314"/>
      <c r="J275" s="76" t="s">
        <v>577</v>
      </c>
      <c r="K275" s="106" t="s">
        <v>1659</v>
      </c>
      <c r="L275" s="106" t="s">
        <v>1868</v>
      </c>
      <c r="M275" s="106"/>
      <c r="N275" s="155" t="s">
        <v>38</v>
      </c>
      <c r="O275" s="155" t="s">
        <v>943</v>
      </c>
      <c r="P275" s="155" t="s">
        <v>22</v>
      </c>
      <c r="Q275" s="155" t="s">
        <v>944</v>
      </c>
      <c r="R275" s="106" t="s">
        <v>1017</v>
      </c>
      <c r="S275" s="155"/>
      <c r="T275" s="155"/>
      <c r="U275" s="155"/>
      <c r="V275" s="155"/>
    </row>
    <row r="276" spans="2:22" ht="78.75">
      <c r="B276" s="318"/>
      <c r="C276" s="314"/>
      <c r="D276" s="314"/>
      <c r="E276" s="314"/>
      <c r="F276" s="314"/>
      <c r="G276" s="314"/>
      <c r="H276" s="314"/>
      <c r="I276" s="314"/>
      <c r="J276" s="76" t="s">
        <v>578</v>
      </c>
      <c r="K276" s="106" t="s">
        <v>1660</v>
      </c>
      <c r="L276" s="106" t="s">
        <v>1868</v>
      </c>
      <c r="M276" s="106"/>
      <c r="N276" s="155" t="s">
        <v>38</v>
      </c>
      <c r="O276" s="155" t="s">
        <v>943</v>
      </c>
      <c r="P276" s="155" t="s">
        <v>22</v>
      </c>
      <c r="Q276" s="155" t="s">
        <v>944</v>
      </c>
      <c r="R276" s="106" t="s">
        <v>945</v>
      </c>
      <c r="S276" s="155"/>
      <c r="T276" s="155"/>
      <c r="U276" s="155"/>
      <c r="V276" s="155"/>
    </row>
    <row r="277" spans="2:22" ht="78.75">
      <c r="B277" s="318"/>
      <c r="C277" s="314"/>
      <c r="D277" s="314"/>
      <c r="E277" s="314"/>
      <c r="F277" s="314"/>
      <c r="G277" s="314"/>
      <c r="H277" s="314"/>
      <c r="I277" s="314"/>
      <c r="J277" s="76" t="s">
        <v>579</v>
      </c>
      <c r="K277" s="106" t="s">
        <v>1659</v>
      </c>
      <c r="L277" s="106" t="s">
        <v>1869</v>
      </c>
      <c r="M277" s="106"/>
      <c r="N277" s="155" t="s">
        <v>38</v>
      </c>
      <c r="O277" s="155" t="s">
        <v>943</v>
      </c>
      <c r="P277" s="155" t="s">
        <v>22</v>
      </c>
      <c r="Q277" s="155" t="s">
        <v>944</v>
      </c>
      <c r="R277" s="106" t="s">
        <v>1017</v>
      </c>
      <c r="S277" s="155"/>
      <c r="T277" s="155"/>
      <c r="U277" s="155"/>
      <c r="V277" s="155"/>
    </row>
    <row r="278" spans="2:22" ht="78.75">
      <c r="B278" s="318"/>
      <c r="C278" s="314"/>
      <c r="D278" s="314"/>
      <c r="E278" s="314"/>
      <c r="F278" s="314"/>
      <c r="G278" s="314"/>
      <c r="H278" s="314"/>
      <c r="I278" s="314"/>
      <c r="J278" s="76" t="s">
        <v>580</v>
      </c>
      <c r="K278" s="106" t="s">
        <v>1660</v>
      </c>
      <c r="L278" s="106" t="s">
        <v>1869</v>
      </c>
      <c r="M278" s="106"/>
      <c r="N278" s="155" t="s">
        <v>38</v>
      </c>
      <c r="O278" s="155" t="s">
        <v>943</v>
      </c>
      <c r="P278" s="155" t="s">
        <v>22</v>
      </c>
      <c r="Q278" s="155" t="s">
        <v>944</v>
      </c>
      <c r="R278" s="106" t="s">
        <v>945</v>
      </c>
      <c r="S278" s="155"/>
      <c r="T278" s="155"/>
      <c r="U278" s="155"/>
      <c r="V278" s="155"/>
    </row>
    <row r="279" spans="2:22" ht="63">
      <c r="B279" s="318"/>
      <c r="C279" s="314"/>
      <c r="D279" s="314"/>
      <c r="E279" s="314"/>
      <c r="F279" s="314"/>
      <c r="G279" s="314"/>
      <c r="H279" s="314"/>
      <c r="I279" s="314"/>
      <c r="J279" s="76" t="s">
        <v>581</v>
      </c>
      <c r="K279" s="106" t="s">
        <v>1659</v>
      </c>
      <c r="L279" s="106" t="s">
        <v>1870</v>
      </c>
      <c r="M279" s="106"/>
      <c r="N279" s="155" t="s">
        <v>38</v>
      </c>
      <c r="O279" s="155" t="s">
        <v>943</v>
      </c>
      <c r="P279" s="155" t="s">
        <v>22</v>
      </c>
      <c r="Q279" s="155" t="s">
        <v>944</v>
      </c>
      <c r="R279" s="106" t="s">
        <v>1017</v>
      </c>
      <c r="S279" s="155"/>
      <c r="T279" s="155"/>
      <c r="U279" s="155"/>
      <c r="V279" s="155"/>
    </row>
    <row r="280" spans="2:22" ht="47.25">
      <c r="B280" s="318"/>
      <c r="C280" s="314"/>
      <c r="D280" s="314"/>
      <c r="E280" s="314"/>
      <c r="F280" s="314"/>
      <c r="G280" s="314"/>
      <c r="H280" s="314"/>
      <c r="I280" s="314"/>
      <c r="J280" s="76" t="s">
        <v>582</v>
      </c>
      <c r="K280" s="106" t="s">
        <v>1660</v>
      </c>
      <c r="L280" s="106" t="s">
        <v>1683</v>
      </c>
      <c r="M280" s="106"/>
      <c r="N280" s="155" t="s">
        <v>38</v>
      </c>
      <c r="O280" s="155" t="s">
        <v>943</v>
      </c>
      <c r="P280" s="155" t="s">
        <v>22</v>
      </c>
      <c r="Q280" s="155" t="s">
        <v>944</v>
      </c>
      <c r="R280" s="106" t="s">
        <v>945</v>
      </c>
      <c r="S280" s="155"/>
      <c r="T280" s="155"/>
      <c r="U280" s="155"/>
      <c r="V280" s="155"/>
    </row>
    <row r="281" spans="2:22" ht="78.75">
      <c r="B281" s="318"/>
      <c r="C281" s="314"/>
      <c r="D281" s="314"/>
      <c r="E281" s="314"/>
      <c r="F281" s="314"/>
      <c r="G281" s="314"/>
      <c r="H281" s="314"/>
      <c r="I281" s="314"/>
      <c r="J281" s="76" t="s">
        <v>583</v>
      </c>
      <c r="K281" s="106" t="s">
        <v>1659</v>
      </c>
      <c r="L281" s="106" t="s">
        <v>1871</v>
      </c>
      <c r="M281" s="106"/>
      <c r="N281" s="155" t="s">
        <v>38</v>
      </c>
      <c r="O281" s="155" t="s">
        <v>943</v>
      </c>
      <c r="P281" s="155" t="s">
        <v>22</v>
      </c>
      <c r="Q281" s="155" t="s">
        <v>944</v>
      </c>
      <c r="R281" s="106" t="s">
        <v>1017</v>
      </c>
      <c r="S281" s="155"/>
      <c r="T281" s="155"/>
      <c r="U281" s="155"/>
      <c r="V281" s="155"/>
    </row>
    <row r="282" spans="2:22" ht="78.75">
      <c r="B282" s="318"/>
      <c r="C282" s="314"/>
      <c r="D282" s="314"/>
      <c r="E282" s="314"/>
      <c r="F282" s="314"/>
      <c r="G282" s="314"/>
      <c r="H282" s="314"/>
      <c r="I282" s="314"/>
      <c r="J282" s="76" t="s">
        <v>584</v>
      </c>
      <c r="K282" s="106" t="s">
        <v>1660</v>
      </c>
      <c r="L282" s="106" t="s">
        <v>1871</v>
      </c>
      <c r="M282" s="106"/>
      <c r="N282" s="155" t="s">
        <v>38</v>
      </c>
      <c r="O282" s="155" t="s">
        <v>943</v>
      </c>
      <c r="P282" s="155" t="s">
        <v>22</v>
      </c>
      <c r="Q282" s="155" t="s">
        <v>944</v>
      </c>
      <c r="R282" s="106" t="s">
        <v>945</v>
      </c>
      <c r="S282" s="155"/>
      <c r="T282" s="155"/>
      <c r="U282" s="155"/>
      <c r="V282" s="155"/>
    </row>
    <row r="283" spans="2:22" ht="78.75">
      <c r="B283" s="318"/>
      <c r="C283" s="314"/>
      <c r="D283" s="314"/>
      <c r="E283" s="314"/>
      <c r="F283" s="314"/>
      <c r="G283" s="314"/>
      <c r="H283" s="314"/>
      <c r="I283" s="314"/>
      <c r="J283" s="76" t="s">
        <v>585</v>
      </c>
      <c r="K283" s="106" t="s">
        <v>1659</v>
      </c>
      <c r="L283" s="106" t="s">
        <v>1872</v>
      </c>
      <c r="M283" s="106"/>
      <c r="N283" s="155" t="s">
        <v>38</v>
      </c>
      <c r="O283" s="155" t="s">
        <v>943</v>
      </c>
      <c r="P283" s="155" t="s">
        <v>22</v>
      </c>
      <c r="Q283" s="155" t="s">
        <v>944</v>
      </c>
      <c r="R283" s="106" t="s">
        <v>1017</v>
      </c>
      <c r="S283" s="155"/>
      <c r="T283" s="155"/>
      <c r="U283" s="155"/>
      <c r="V283" s="155"/>
    </row>
    <row r="284" spans="2:22" ht="78.75">
      <c r="B284" s="318"/>
      <c r="C284" s="314"/>
      <c r="D284" s="314"/>
      <c r="E284" s="314"/>
      <c r="F284" s="314"/>
      <c r="G284" s="314"/>
      <c r="H284" s="314"/>
      <c r="I284" s="314"/>
      <c r="J284" s="76" t="s">
        <v>586</v>
      </c>
      <c r="K284" s="106" t="s">
        <v>1660</v>
      </c>
      <c r="L284" s="106" t="s">
        <v>1872</v>
      </c>
      <c r="M284" s="106"/>
      <c r="N284" s="155" t="s">
        <v>38</v>
      </c>
      <c r="O284" s="155" t="s">
        <v>943</v>
      </c>
      <c r="P284" s="155" t="s">
        <v>22</v>
      </c>
      <c r="Q284" s="155" t="s">
        <v>944</v>
      </c>
      <c r="R284" s="106" t="s">
        <v>945</v>
      </c>
      <c r="S284" s="155"/>
      <c r="T284" s="155"/>
      <c r="U284" s="155"/>
      <c r="V284" s="155"/>
    </row>
    <row r="285" spans="2:22" ht="63">
      <c r="B285" s="318"/>
      <c r="C285" s="314"/>
      <c r="D285" s="314"/>
      <c r="E285" s="314"/>
      <c r="F285" s="314"/>
      <c r="G285" s="314"/>
      <c r="H285" s="314"/>
      <c r="I285" s="314"/>
      <c r="J285" s="76" t="s">
        <v>587</v>
      </c>
      <c r="K285" s="106" t="s">
        <v>1659</v>
      </c>
      <c r="L285" s="106" t="s">
        <v>1873</v>
      </c>
      <c r="M285" s="106"/>
      <c r="N285" s="155" t="s">
        <v>38</v>
      </c>
      <c r="O285" s="155" t="s">
        <v>943</v>
      </c>
      <c r="P285" s="155" t="s">
        <v>22</v>
      </c>
      <c r="Q285" s="155" t="s">
        <v>944</v>
      </c>
      <c r="R285" s="106" t="s">
        <v>1017</v>
      </c>
      <c r="S285" s="155"/>
      <c r="T285" s="155"/>
      <c r="U285" s="155"/>
      <c r="V285" s="155"/>
    </row>
    <row r="286" spans="2:22" ht="47.25">
      <c r="B286" s="319"/>
      <c r="C286" s="315"/>
      <c r="D286" s="315"/>
      <c r="E286" s="315"/>
      <c r="F286" s="315"/>
      <c r="G286" s="315"/>
      <c r="H286" s="315"/>
      <c r="I286" s="315"/>
      <c r="J286" s="76" t="s">
        <v>588</v>
      </c>
      <c r="K286" s="106" t="s">
        <v>1660</v>
      </c>
      <c r="L286" s="106" t="s">
        <v>1684</v>
      </c>
      <c r="M286" s="106"/>
      <c r="N286" s="155" t="s">
        <v>38</v>
      </c>
      <c r="O286" s="155" t="s">
        <v>943</v>
      </c>
      <c r="P286" s="155" t="s">
        <v>22</v>
      </c>
      <c r="Q286" s="155" t="s">
        <v>944</v>
      </c>
      <c r="R286" s="106" t="s">
        <v>945</v>
      </c>
      <c r="S286" s="155"/>
      <c r="T286" s="155"/>
      <c r="U286" s="155"/>
      <c r="V286" s="155"/>
    </row>
    <row r="287" spans="2:22" ht="132" customHeight="1">
      <c r="B287" s="317" t="s">
        <v>589</v>
      </c>
      <c r="C287" s="313" t="s">
        <v>16</v>
      </c>
      <c r="D287" s="313" t="s">
        <v>439</v>
      </c>
      <c r="E287" s="313" t="s">
        <v>1685</v>
      </c>
      <c r="F287" s="313" t="s">
        <v>590</v>
      </c>
      <c r="G287" s="313" t="s">
        <v>591</v>
      </c>
      <c r="H287" s="324"/>
      <c r="I287" s="313"/>
      <c r="J287" s="76" t="s">
        <v>592</v>
      </c>
      <c r="K287" s="106" t="s">
        <v>1659</v>
      </c>
      <c r="L287" s="106" t="s">
        <v>593</v>
      </c>
      <c r="M287" s="106"/>
      <c r="N287" s="155" t="s">
        <v>38</v>
      </c>
      <c r="O287" s="155" t="s">
        <v>943</v>
      </c>
      <c r="P287" s="155" t="s">
        <v>22</v>
      </c>
      <c r="Q287" s="155" t="s">
        <v>944</v>
      </c>
      <c r="R287" s="106" t="s">
        <v>1017</v>
      </c>
      <c r="S287" s="155"/>
      <c r="T287" s="155"/>
      <c r="U287" s="155"/>
      <c r="V287" s="155"/>
    </row>
    <row r="288" spans="2:22" ht="63">
      <c r="B288" s="318"/>
      <c r="C288" s="314"/>
      <c r="D288" s="314"/>
      <c r="E288" s="314"/>
      <c r="F288" s="314"/>
      <c r="G288" s="314"/>
      <c r="H288" s="325"/>
      <c r="I288" s="314"/>
      <c r="J288" s="76" t="s">
        <v>594</v>
      </c>
      <c r="K288" s="106" t="s">
        <v>1660</v>
      </c>
      <c r="L288" s="106" t="s">
        <v>1874</v>
      </c>
      <c r="M288" s="106"/>
      <c r="N288" s="155" t="s">
        <v>38</v>
      </c>
      <c r="O288" s="155" t="s">
        <v>943</v>
      </c>
      <c r="P288" s="155" t="s">
        <v>22</v>
      </c>
      <c r="Q288" s="155" t="s">
        <v>944</v>
      </c>
      <c r="R288" s="106" t="s">
        <v>945</v>
      </c>
      <c r="S288" s="155"/>
      <c r="T288" s="155"/>
      <c r="U288" s="155"/>
      <c r="V288" s="155"/>
    </row>
    <row r="289" spans="2:22" ht="15.75" customHeight="1">
      <c r="B289" s="318"/>
      <c r="C289" s="314"/>
      <c r="D289" s="314"/>
      <c r="E289" s="314"/>
      <c r="F289" s="314"/>
      <c r="G289" s="314"/>
      <c r="H289" s="325"/>
      <c r="I289" s="314"/>
      <c r="J289" s="76" t="s">
        <v>595</v>
      </c>
      <c r="K289" s="106" t="s">
        <v>1659</v>
      </c>
      <c r="L289" s="106" t="s">
        <v>596</v>
      </c>
      <c r="M289" s="106"/>
      <c r="N289" s="155" t="s">
        <v>38</v>
      </c>
      <c r="O289" s="155" t="s">
        <v>943</v>
      </c>
      <c r="P289" s="155" t="s">
        <v>944</v>
      </c>
      <c r="Q289" s="155" t="s">
        <v>944</v>
      </c>
      <c r="R289" s="106" t="s">
        <v>945</v>
      </c>
      <c r="S289" s="155"/>
      <c r="T289" s="155"/>
      <c r="U289" s="155"/>
      <c r="V289" s="155"/>
    </row>
    <row r="290" spans="2:22" ht="15.75" customHeight="1">
      <c r="B290" s="318"/>
      <c r="C290" s="314"/>
      <c r="D290" s="314"/>
      <c r="E290" s="314"/>
      <c r="F290" s="314"/>
      <c r="G290" s="314"/>
      <c r="H290" s="325"/>
      <c r="I290" s="314"/>
      <c r="J290" s="76" t="s">
        <v>597</v>
      </c>
      <c r="K290" s="106" t="s">
        <v>1660</v>
      </c>
      <c r="L290" s="106" t="s">
        <v>596</v>
      </c>
      <c r="M290" s="106"/>
      <c r="N290" s="155" t="s">
        <v>38</v>
      </c>
      <c r="O290" s="155" t="s">
        <v>943</v>
      </c>
      <c r="P290" s="155" t="s">
        <v>944</v>
      </c>
      <c r="Q290" s="155" t="s">
        <v>944</v>
      </c>
      <c r="R290" s="106" t="s">
        <v>945</v>
      </c>
      <c r="S290" s="155"/>
      <c r="T290" s="155"/>
      <c r="U290" s="155"/>
      <c r="V290" s="155"/>
    </row>
    <row r="291" spans="2:22" ht="63">
      <c r="B291" s="318"/>
      <c r="C291" s="314"/>
      <c r="D291" s="314"/>
      <c r="E291" s="314"/>
      <c r="F291" s="314"/>
      <c r="G291" s="314"/>
      <c r="H291" s="325"/>
      <c r="I291" s="314"/>
      <c r="J291" s="76" t="s">
        <v>598</v>
      </c>
      <c r="K291" s="106" t="s">
        <v>1659</v>
      </c>
      <c r="L291" s="106" t="s">
        <v>1875</v>
      </c>
      <c r="M291" s="106"/>
      <c r="N291" s="155" t="s">
        <v>38</v>
      </c>
      <c r="O291" s="155" t="s">
        <v>943</v>
      </c>
      <c r="P291" s="155" t="s">
        <v>22</v>
      </c>
      <c r="Q291" s="155" t="s">
        <v>944</v>
      </c>
      <c r="R291" s="106" t="s">
        <v>1017</v>
      </c>
      <c r="S291" s="155"/>
      <c r="T291" s="155"/>
      <c r="U291" s="155"/>
      <c r="V291" s="155"/>
    </row>
    <row r="292" spans="2:22" ht="63">
      <c r="B292" s="318"/>
      <c r="C292" s="314"/>
      <c r="D292" s="314"/>
      <c r="E292" s="314"/>
      <c r="F292" s="314"/>
      <c r="G292" s="314"/>
      <c r="H292" s="325"/>
      <c r="I292" s="314"/>
      <c r="J292" s="76" t="s">
        <v>599</v>
      </c>
      <c r="K292" s="106" t="s">
        <v>1660</v>
      </c>
      <c r="L292" s="106" t="s">
        <v>1875</v>
      </c>
      <c r="M292" s="106"/>
      <c r="N292" s="155" t="s">
        <v>38</v>
      </c>
      <c r="O292" s="155" t="s">
        <v>943</v>
      </c>
      <c r="P292" s="155" t="s">
        <v>22</v>
      </c>
      <c r="Q292" s="155" t="s">
        <v>944</v>
      </c>
      <c r="R292" s="106" t="s">
        <v>945</v>
      </c>
      <c r="S292" s="155"/>
      <c r="T292" s="155"/>
      <c r="U292" s="155"/>
      <c r="V292" s="155"/>
    </row>
    <row r="293" spans="2:22" ht="15.75" customHeight="1">
      <c r="B293" s="318"/>
      <c r="C293" s="314"/>
      <c r="D293" s="314"/>
      <c r="E293" s="314"/>
      <c r="F293" s="314"/>
      <c r="G293" s="314"/>
      <c r="H293" s="325"/>
      <c r="I293" s="314"/>
      <c r="J293" s="76" t="s">
        <v>600</v>
      </c>
      <c r="K293" s="106" t="s">
        <v>1659</v>
      </c>
      <c r="L293" s="106" t="s">
        <v>601</v>
      </c>
      <c r="M293" s="106"/>
      <c r="N293" s="155" t="s">
        <v>38</v>
      </c>
      <c r="O293" s="155" t="s">
        <v>943</v>
      </c>
      <c r="P293" s="155" t="s">
        <v>22</v>
      </c>
      <c r="Q293" s="155" t="s">
        <v>944</v>
      </c>
      <c r="R293" s="106" t="s">
        <v>945</v>
      </c>
      <c r="S293" s="155"/>
      <c r="T293" s="155"/>
      <c r="U293" s="155"/>
      <c r="V293" s="155"/>
    </row>
    <row r="294" spans="2:22" ht="15.75" customHeight="1">
      <c r="B294" s="319"/>
      <c r="C294" s="315"/>
      <c r="D294" s="315"/>
      <c r="E294" s="315"/>
      <c r="F294" s="315"/>
      <c r="G294" s="315"/>
      <c r="H294" s="326"/>
      <c r="I294" s="315"/>
      <c r="J294" s="76" t="s">
        <v>602</v>
      </c>
      <c r="K294" s="106" t="s">
        <v>1660</v>
      </c>
      <c r="L294" s="106" t="s">
        <v>601</v>
      </c>
      <c r="M294" s="106"/>
      <c r="N294" s="155" t="s">
        <v>38</v>
      </c>
      <c r="O294" s="155" t="s">
        <v>943</v>
      </c>
      <c r="P294" s="155" t="s">
        <v>22</v>
      </c>
      <c r="Q294" s="155" t="s">
        <v>944</v>
      </c>
      <c r="R294" s="106" t="s">
        <v>945</v>
      </c>
      <c r="S294" s="155"/>
      <c r="T294" s="155"/>
      <c r="U294" s="155"/>
      <c r="V294" s="155"/>
    </row>
    <row r="295" spans="2:22" ht="37.5" customHeight="1">
      <c r="B295" s="317" t="s">
        <v>603</v>
      </c>
      <c r="C295" s="313" t="s">
        <v>16</v>
      </c>
      <c r="D295" s="313" t="s">
        <v>18</v>
      </c>
      <c r="E295" s="313" t="s">
        <v>604</v>
      </c>
      <c r="F295" s="313" t="s">
        <v>415</v>
      </c>
      <c r="G295" s="313" t="s">
        <v>605</v>
      </c>
      <c r="H295" s="313"/>
      <c r="I295" s="313"/>
      <c r="J295" s="76" t="s">
        <v>606</v>
      </c>
      <c r="K295" s="106" t="s">
        <v>1659</v>
      </c>
      <c r="L295" s="106" t="s">
        <v>607</v>
      </c>
      <c r="M295" s="106"/>
      <c r="N295" s="155" t="s">
        <v>38</v>
      </c>
      <c r="O295" s="155" t="s">
        <v>943</v>
      </c>
      <c r="P295" s="155" t="s">
        <v>22</v>
      </c>
      <c r="Q295" s="155" t="s">
        <v>944</v>
      </c>
      <c r="R295" s="106" t="s">
        <v>1017</v>
      </c>
      <c r="S295" s="155"/>
      <c r="T295" s="155"/>
      <c r="U295" s="155"/>
      <c r="V295" s="155"/>
    </row>
    <row r="296" spans="2:22" ht="37.5" customHeight="1">
      <c r="B296" s="318"/>
      <c r="C296" s="314"/>
      <c r="D296" s="314"/>
      <c r="E296" s="314"/>
      <c r="F296" s="314"/>
      <c r="G296" s="314"/>
      <c r="H296" s="314"/>
      <c r="I296" s="314"/>
      <c r="J296" s="76" t="s">
        <v>608</v>
      </c>
      <c r="K296" s="106" t="s">
        <v>1660</v>
      </c>
      <c r="L296" s="106" t="s">
        <v>607</v>
      </c>
      <c r="M296" s="106"/>
      <c r="N296" s="155" t="s">
        <v>38</v>
      </c>
      <c r="O296" s="155" t="s">
        <v>943</v>
      </c>
      <c r="P296" s="155" t="s">
        <v>22</v>
      </c>
      <c r="Q296" s="155" t="s">
        <v>944</v>
      </c>
      <c r="R296" s="106" t="s">
        <v>945</v>
      </c>
      <c r="S296" s="155"/>
      <c r="T296" s="155"/>
      <c r="U296" s="155"/>
      <c r="V296" s="155"/>
    </row>
    <row r="297" spans="2:22" ht="31.5">
      <c r="B297" s="318"/>
      <c r="C297" s="314"/>
      <c r="D297" s="314"/>
      <c r="E297" s="314"/>
      <c r="F297" s="314"/>
      <c r="G297" s="314"/>
      <c r="H297" s="314"/>
      <c r="I297" s="314"/>
      <c r="J297" s="76" t="s">
        <v>609</v>
      </c>
      <c r="K297" s="106" t="s">
        <v>1659</v>
      </c>
      <c r="L297" s="106" t="s">
        <v>610</v>
      </c>
      <c r="M297" s="106"/>
      <c r="N297" s="155" t="s">
        <v>38</v>
      </c>
      <c r="O297" s="155" t="s">
        <v>943</v>
      </c>
      <c r="P297" s="155" t="s">
        <v>944</v>
      </c>
      <c r="Q297" s="155" t="s">
        <v>944</v>
      </c>
      <c r="R297" s="106" t="s">
        <v>945</v>
      </c>
      <c r="S297" s="155"/>
      <c r="T297" s="155"/>
      <c r="U297" s="155"/>
      <c r="V297" s="155"/>
    </row>
    <row r="298" spans="2:22" ht="30.75" customHeight="1">
      <c r="B298" s="319"/>
      <c r="C298" s="315"/>
      <c r="D298" s="315"/>
      <c r="E298" s="315"/>
      <c r="F298" s="315"/>
      <c r="G298" s="315"/>
      <c r="H298" s="315"/>
      <c r="I298" s="315"/>
      <c r="J298" s="76" t="s">
        <v>611</v>
      </c>
      <c r="K298" s="106" t="s">
        <v>1660</v>
      </c>
      <c r="L298" s="106" t="s">
        <v>610</v>
      </c>
      <c r="M298" s="106"/>
      <c r="N298" s="155" t="s">
        <v>38</v>
      </c>
      <c r="O298" s="155" t="s">
        <v>943</v>
      </c>
      <c r="P298" s="155" t="s">
        <v>944</v>
      </c>
      <c r="Q298" s="155" t="s">
        <v>944</v>
      </c>
      <c r="R298" s="106" t="s">
        <v>945</v>
      </c>
      <c r="S298" s="155"/>
      <c r="T298" s="155"/>
      <c r="U298" s="155"/>
      <c r="V298" s="155"/>
    </row>
    <row r="299" spans="2:22" ht="56.25" customHeight="1">
      <c r="B299" s="317" t="s">
        <v>612</v>
      </c>
      <c r="C299" s="313" t="s">
        <v>16</v>
      </c>
      <c r="D299" s="313" t="s">
        <v>19</v>
      </c>
      <c r="E299" s="313" t="s">
        <v>613</v>
      </c>
      <c r="F299" s="313" t="s">
        <v>415</v>
      </c>
      <c r="G299" s="313" t="s">
        <v>614</v>
      </c>
      <c r="H299" s="313"/>
      <c r="I299" s="313" t="s">
        <v>1013</v>
      </c>
      <c r="J299" s="76" t="s">
        <v>615</v>
      </c>
      <c r="K299" s="106" t="s">
        <v>1659</v>
      </c>
      <c r="L299" s="106" t="s">
        <v>616</v>
      </c>
      <c r="M299" s="106"/>
      <c r="N299" s="155" t="s">
        <v>38</v>
      </c>
      <c r="O299" s="155" t="s">
        <v>943</v>
      </c>
      <c r="P299" s="155" t="s">
        <v>22</v>
      </c>
      <c r="Q299" s="155" t="s">
        <v>944</v>
      </c>
      <c r="R299" s="106" t="s">
        <v>1017</v>
      </c>
      <c r="S299" s="155"/>
      <c r="T299" s="155"/>
      <c r="U299" s="155"/>
      <c r="V299" s="155"/>
    </row>
    <row r="300" spans="2:22" ht="56.25" customHeight="1">
      <c r="B300" s="318"/>
      <c r="C300" s="314"/>
      <c r="D300" s="314"/>
      <c r="E300" s="314"/>
      <c r="F300" s="314"/>
      <c r="G300" s="314"/>
      <c r="H300" s="314"/>
      <c r="I300" s="314"/>
      <c r="J300" s="76" t="s">
        <v>617</v>
      </c>
      <c r="K300" s="106" t="s">
        <v>1660</v>
      </c>
      <c r="L300" s="106" t="s">
        <v>616</v>
      </c>
      <c r="M300" s="106"/>
      <c r="N300" s="155" t="s">
        <v>38</v>
      </c>
      <c r="O300" s="155" t="s">
        <v>943</v>
      </c>
      <c r="P300" s="155" t="s">
        <v>22</v>
      </c>
      <c r="Q300" s="155" t="s">
        <v>944</v>
      </c>
      <c r="R300" s="106" t="s">
        <v>945</v>
      </c>
      <c r="S300" s="155"/>
      <c r="T300" s="155"/>
      <c r="U300" s="155"/>
      <c r="V300" s="155"/>
    </row>
    <row r="301" spans="2:22" ht="31.5">
      <c r="B301" s="318"/>
      <c r="C301" s="314"/>
      <c r="D301" s="314"/>
      <c r="E301" s="314"/>
      <c r="F301" s="314"/>
      <c r="G301" s="314"/>
      <c r="H301" s="314"/>
      <c r="I301" s="314"/>
      <c r="J301" s="76" t="s">
        <v>618</v>
      </c>
      <c r="K301" s="106" t="s">
        <v>1659</v>
      </c>
      <c r="L301" s="106" t="s">
        <v>619</v>
      </c>
      <c r="M301" s="106"/>
      <c r="N301" s="155" t="s">
        <v>38</v>
      </c>
      <c r="O301" s="155" t="s">
        <v>943</v>
      </c>
      <c r="P301" s="155" t="s">
        <v>944</v>
      </c>
      <c r="Q301" s="155" t="s">
        <v>944</v>
      </c>
      <c r="R301" s="106" t="s">
        <v>945</v>
      </c>
      <c r="S301" s="155"/>
      <c r="T301" s="155"/>
      <c r="U301" s="155"/>
      <c r="V301" s="155"/>
    </row>
    <row r="302" spans="2:22" ht="31.5">
      <c r="B302" s="318"/>
      <c r="C302" s="314"/>
      <c r="D302" s="314"/>
      <c r="E302" s="314"/>
      <c r="F302" s="314"/>
      <c r="G302" s="314"/>
      <c r="H302" s="314"/>
      <c r="I302" s="314"/>
      <c r="J302" s="76" t="s">
        <v>620</v>
      </c>
      <c r="K302" s="106" t="s">
        <v>1660</v>
      </c>
      <c r="L302" s="106" t="s">
        <v>619</v>
      </c>
      <c r="M302" s="106"/>
      <c r="N302" s="155" t="s">
        <v>38</v>
      </c>
      <c r="O302" s="155" t="s">
        <v>943</v>
      </c>
      <c r="P302" s="155" t="s">
        <v>944</v>
      </c>
      <c r="Q302" s="155" t="s">
        <v>944</v>
      </c>
      <c r="R302" s="106" t="s">
        <v>945</v>
      </c>
      <c r="S302" s="155"/>
      <c r="T302" s="155"/>
      <c r="U302" s="155"/>
      <c r="V302" s="155"/>
    </row>
    <row r="303" spans="2:22" ht="65.45" customHeight="1">
      <c r="B303" s="318"/>
      <c r="C303" s="314"/>
      <c r="D303" s="314"/>
      <c r="E303" s="314"/>
      <c r="F303" s="314"/>
      <c r="G303" s="314"/>
      <c r="H303" s="314"/>
      <c r="I303" s="314"/>
      <c r="J303" s="76" t="s">
        <v>621</v>
      </c>
      <c r="K303" s="106" t="s">
        <v>1659</v>
      </c>
      <c r="L303" s="106" t="s">
        <v>622</v>
      </c>
      <c r="M303" s="106"/>
      <c r="N303" s="155" t="s">
        <v>38</v>
      </c>
      <c r="O303" s="155" t="s">
        <v>943</v>
      </c>
      <c r="P303" s="155" t="s">
        <v>22</v>
      </c>
      <c r="Q303" s="155" t="s">
        <v>944</v>
      </c>
      <c r="R303" s="106" t="s">
        <v>1017</v>
      </c>
      <c r="S303" s="155"/>
      <c r="T303" s="155"/>
      <c r="U303" s="155"/>
      <c r="V303" s="155"/>
    </row>
    <row r="304" spans="2:22" ht="64.900000000000006" customHeight="1">
      <c r="B304" s="318"/>
      <c r="C304" s="314"/>
      <c r="D304" s="314"/>
      <c r="E304" s="314"/>
      <c r="F304" s="314"/>
      <c r="G304" s="314"/>
      <c r="H304" s="314"/>
      <c r="I304" s="314"/>
      <c r="J304" s="76" t="s">
        <v>623</v>
      </c>
      <c r="K304" s="106" t="s">
        <v>1660</v>
      </c>
      <c r="L304" s="106" t="s">
        <v>622</v>
      </c>
      <c r="M304" s="106"/>
      <c r="N304" s="155" t="s">
        <v>38</v>
      </c>
      <c r="O304" s="155" t="s">
        <v>943</v>
      </c>
      <c r="P304" s="155" t="s">
        <v>22</v>
      </c>
      <c r="Q304" s="155" t="s">
        <v>944</v>
      </c>
      <c r="R304" s="106" t="s">
        <v>945</v>
      </c>
      <c r="S304" s="155"/>
      <c r="T304" s="155"/>
      <c r="U304" s="155"/>
      <c r="V304" s="155"/>
    </row>
    <row r="305" spans="2:22" ht="47.25">
      <c r="B305" s="318"/>
      <c r="C305" s="314"/>
      <c r="D305" s="314"/>
      <c r="E305" s="314"/>
      <c r="F305" s="314"/>
      <c r="G305" s="314"/>
      <c r="H305" s="314"/>
      <c r="I305" s="314"/>
      <c r="J305" s="76" t="s">
        <v>624</v>
      </c>
      <c r="K305" s="106" t="s">
        <v>1659</v>
      </c>
      <c r="L305" s="106" t="s">
        <v>1906</v>
      </c>
      <c r="M305" s="106"/>
      <c r="N305" s="155" t="s">
        <v>38</v>
      </c>
      <c r="O305" s="155" t="s">
        <v>943</v>
      </c>
      <c r="P305" s="155" t="s">
        <v>944</v>
      </c>
      <c r="Q305" s="155" t="s">
        <v>944</v>
      </c>
      <c r="R305" s="106" t="s">
        <v>945</v>
      </c>
      <c r="S305" s="155"/>
      <c r="T305" s="155"/>
      <c r="U305" s="155"/>
      <c r="V305" s="155"/>
    </row>
    <row r="306" spans="2:22" ht="47.25">
      <c r="B306" s="318"/>
      <c r="C306" s="314"/>
      <c r="D306" s="314"/>
      <c r="E306" s="314"/>
      <c r="F306" s="314"/>
      <c r="G306" s="314"/>
      <c r="H306" s="314"/>
      <c r="I306" s="314"/>
      <c r="J306" s="76" t="s">
        <v>625</v>
      </c>
      <c r="K306" s="106" t="s">
        <v>1660</v>
      </c>
      <c r="L306" s="106" t="s">
        <v>1906</v>
      </c>
      <c r="M306" s="106"/>
      <c r="N306" s="155" t="s">
        <v>38</v>
      </c>
      <c r="O306" s="155" t="s">
        <v>943</v>
      </c>
      <c r="P306" s="155" t="s">
        <v>944</v>
      </c>
      <c r="Q306" s="155" t="s">
        <v>944</v>
      </c>
      <c r="R306" s="106" t="s">
        <v>945</v>
      </c>
      <c r="S306" s="155"/>
      <c r="T306" s="155"/>
      <c r="U306" s="155"/>
      <c r="V306" s="155"/>
    </row>
    <row r="307" spans="2:22" ht="63">
      <c r="B307" s="318"/>
      <c r="C307" s="314"/>
      <c r="D307" s="314"/>
      <c r="E307" s="314"/>
      <c r="F307" s="314"/>
      <c r="G307" s="314"/>
      <c r="H307" s="314"/>
      <c r="I307" s="314"/>
      <c r="J307" s="76" t="s">
        <v>626</v>
      </c>
      <c r="K307" s="106" t="s">
        <v>1659</v>
      </c>
      <c r="L307" s="106" t="s">
        <v>1911</v>
      </c>
      <c r="M307" s="106"/>
      <c r="N307" s="155" t="s">
        <v>38</v>
      </c>
      <c r="O307" s="155" t="s">
        <v>943</v>
      </c>
      <c r="P307" s="155" t="s">
        <v>22</v>
      </c>
      <c r="Q307" s="155" t="s">
        <v>944</v>
      </c>
      <c r="R307" s="106" t="s">
        <v>1017</v>
      </c>
      <c r="S307" s="155"/>
      <c r="T307" s="155"/>
      <c r="U307" s="155"/>
      <c r="V307" s="155"/>
    </row>
    <row r="308" spans="2:22" ht="47.25">
      <c r="B308" s="318"/>
      <c r="C308" s="314"/>
      <c r="D308" s="314"/>
      <c r="E308" s="314"/>
      <c r="F308" s="314"/>
      <c r="G308" s="314"/>
      <c r="H308" s="314"/>
      <c r="I308" s="314"/>
      <c r="J308" s="76" t="s">
        <v>628</v>
      </c>
      <c r="K308" s="106" t="s">
        <v>1660</v>
      </c>
      <c r="L308" s="106" t="s">
        <v>627</v>
      </c>
      <c r="M308" s="106"/>
      <c r="N308" s="155" t="s">
        <v>38</v>
      </c>
      <c r="O308" s="155" t="s">
        <v>943</v>
      </c>
      <c r="P308" s="155" t="s">
        <v>22</v>
      </c>
      <c r="Q308" s="155" t="s">
        <v>944</v>
      </c>
      <c r="R308" s="106" t="s">
        <v>945</v>
      </c>
      <c r="S308" s="155"/>
      <c r="T308" s="155"/>
      <c r="U308" s="155"/>
      <c r="V308" s="155"/>
    </row>
    <row r="309" spans="2:22" ht="47.25">
      <c r="B309" s="318"/>
      <c r="C309" s="314"/>
      <c r="D309" s="314"/>
      <c r="E309" s="314"/>
      <c r="F309" s="314"/>
      <c r="G309" s="314"/>
      <c r="H309" s="314"/>
      <c r="I309" s="314"/>
      <c r="J309" s="76" t="s">
        <v>629</v>
      </c>
      <c r="K309" s="106" t="s">
        <v>1659</v>
      </c>
      <c r="L309" s="106" t="s">
        <v>1907</v>
      </c>
      <c r="M309" s="106"/>
      <c r="N309" s="155" t="s">
        <v>38</v>
      </c>
      <c r="O309" s="155" t="s">
        <v>943</v>
      </c>
      <c r="P309" s="155" t="s">
        <v>944</v>
      </c>
      <c r="Q309" s="155" t="s">
        <v>944</v>
      </c>
      <c r="R309" s="106" t="s">
        <v>945</v>
      </c>
      <c r="S309" s="155"/>
      <c r="T309" s="155"/>
      <c r="U309" s="155"/>
      <c r="V309" s="155"/>
    </row>
    <row r="310" spans="2:22" ht="47.25">
      <c r="B310" s="318"/>
      <c r="C310" s="314"/>
      <c r="D310" s="314"/>
      <c r="E310" s="314"/>
      <c r="F310" s="314"/>
      <c r="G310" s="314"/>
      <c r="H310" s="314"/>
      <c r="I310" s="314"/>
      <c r="J310" s="76" t="s">
        <v>630</v>
      </c>
      <c r="K310" s="106" t="s">
        <v>1660</v>
      </c>
      <c r="L310" s="106" t="s">
        <v>1907</v>
      </c>
      <c r="M310" s="106"/>
      <c r="N310" s="155" t="s">
        <v>38</v>
      </c>
      <c r="O310" s="155" t="s">
        <v>943</v>
      </c>
      <c r="P310" s="155" t="s">
        <v>944</v>
      </c>
      <c r="Q310" s="155" t="s">
        <v>944</v>
      </c>
      <c r="R310" s="106" t="s">
        <v>945</v>
      </c>
      <c r="S310" s="155"/>
      <c r="T310" s="155"/>
      <c r="U310" s="155"/>
      <c r="V310" s="155"/>
    </row>
    <row r="311" spans="2:22" ht="50.45" customHeight="1">
      <c r="B311" s="318"/>
      <c r="C311" s="314"/>
      <c r="D311" s="314"/>
      <c r="E311" s="314"/>
      <c r="F311" s="314"/>
      <c r="G311" s="314"/>
      <c r="H311" s="314"/>
      <c r="I311" s="314"/>
      <c r="J311" s="76" t="s">
        <v>631</v>
      </c>
      <c r="K311" s="106" t="s">
        <v>1659</v>
      </c>
      <c r="L311" s="106" t="s">
        <v>632</v>
      </c>
      <c r="M311" s="106"/>
      <c r="N311" s="155" t="s">
        <v>38</v>
      </c>
      <c r="O311" s="155" t="s">
        <v>943</v>
      </c>
      <c r="P311" s="155" t="s">
        <v>22</v>
      </c>
      <c r="Q311" s="155" t="s">
        <v>944</v>
      </c>
      <c r="R311" s="106" t="s">
        <v>1017</v>
      </c>
      <c r="S311" s="155"/>
      <c r="T311" s="155"/>
      <c r="U311" s="155"/>
      <c r="V311" s="155"/>
    </row>
    <row r="312" spans="2:22" ht="47.25">
      <c r="B312" s="318"/>
      <c r="C312" s="314"/>
      <c r="D312" s="314"/>
      <c r="E312" s="314"/>
      <c r="F312" s="314"/>
      <c r="G312" s="314"/>
      <c r="H312" s="314"/>
      <c r="I312" s="314"/>
      <c r="J312" s="76" t="s">
        <v>633</v>
      </c>
      <c r="K312" s="106" t="s">
        <v>1660</v>
      </c>
      <c r="L312" s="106" t="s">
        <v>632</v>
      </c>
      <c r="M312" s="106"/>
      <c r="N312" s="155" t="s">
        <v>38</v>
      </c>
      <c r="O312" s="155" t="s">
        <v>943</v>
      </c>
      <c r="P312" s="155" t="s">
        <v>22</v>
      </c>
      <c r="Q312" s="155" t="s">
        <v>944</v>
      </c>
      <c r="R312" s="106" t="s">
        <v>945</v>
      </c>
      <c r="S312" s="155"/>
      <c r="T312" s="155"/>
      <c r="U312" s="155"/>
      <c r="V312" s="155"/>
    </row>
    <row r="313" spans="2:22" ht="47.25">
      <c r="B313" s="318"/>
      <c r="C313" s="314"/>
      <c r="D313" s="314"/>
      <c r="E313" s="314"/>
      <c r="F313" s="314"/>
      <c r="G313" s="314"/>
      <c r="H313" s="314"/>
      <c r="I313" s="314"/>
      <c r="J313" s="76" t="s">
        <v>634</v>
      </c>
      <c r="K313" s="106" t="s">
        <v>1659</v>
      </c>
      <c r="L313" s="106" t="s">
        <v>1908</v>
      </c>
      <c r="M313" s="106"/>
      <c r="N313" s="155" t="s">
        <v>38</v>
      </c>
      <c r="O313" s="155" t="s">
        <v>943</v>
      </c>
      <c r="P313" s="155" t="s">
        <v>944</v>
      </c>
      <c r="Q313" s="155" t="s">
        <v>944</v>
      </c>
      <c r="R313" s="106" t="s">
        <v>945</v>
      </c>
      <c r="S313" s="155"/>
      <c r="T313" s="155"/>
      <c r="U313" s="155"/>
      <c r="V313" s="155"/>
    </row>
    <row r="314" spans="2:22" ht="47.25">
      <c r="B314" s="318"/>
      <c r="C314" s="314"/>
      <c r="D314" s="314"/>
      <c r="E314" s="314"/>
      <c r="F314" s="314"/>
      <c r="G314" s="314"/>
      <c r="H314" s="314"/>
      <c r="I314" s="314"/>
      <c r="J314" s="76" t="s">
        <v>635</v>
      </c>
      <c r="K314" s="106" t="s">
        <v>1660</v>
      </c>
      <c r="L314" s="106" t="s">
        <v>1908</v>
      </c>
      <c r="M314" s="106"/>
      <c r="N314" s="155" t="s">
        <v>38</v>
      </c>
      <c r="O314" s="155" t="s">
        <v>943</v>
      </c>
      <c r="P314" s="155" t="s">
        <v>944</v>
      </c>
      <c r="Q314" s="155" t="s">
        <v>944</v>
      </c>
      <c r="R314" s="106" t="s">
        <v>945</v>
      </c>
      <c r="S314" s="155"/>
      <c r="T314" s="155"/>
      <c r="U314" s="155"/>
      <c r="V314" s="155"/>
    </row>
    <row r="315" spans="2:22" ht="51.6" customHeight="1">
      <c r="B315" s="318"/>
      <c r="C315" s="314"/>
      <c r="D315" s="314"/>
      <c r="E315" s="314"/>
      <c r="F315" s="314"/>
      <c r="G315" s="314"/>
      <c r="H315" s="314"/>
      <c r="I315" s="314"/>
      <c r="J315" s="76" t="s">
        <v>636</v>
      </c>
      <c r="K315" s="106" t="s">
        <v>1659</v>
      </c>
      <c r="L315" s="106" t="s">
        <v>637</v>
      </c>
      <c r="M315" s="106"/>
      <c r="N315" s="155" t="s">
        <v>38</v>
      </c>
      <c r="O315" s="155" t="s">
        <v>943</v>
      </c>
      <c r="P315" s="155" t="s">
        <v>22</v>
      </c>
      <c r="Q315" s="155" t="s">
        <v>944</v>
      </c>
      <c r="R315" s="106" t="s">
        <v>1017</v>
      </c>
      <c r="S315" s="155"/>
      <c r="T315" s="155"/>
      <c r="U315" s="155"/>
      <c r="V315" s="155"/>
    </row>
    <row r="316" spans="2:22" ht="47.25">
      <c r="B316" s="318"/>
      <c r="C316" s="314"/>
      <c r="D316" s="314"/>
      <c r="E316" s="314"/>
      <c r="F316" s="314"/>
      <c r="G316" s="314"/>
      <c r="H316" s="314"/>
      <c r="I316" s="314"/>
      <c r="J316" s="76" t="s">
        <v>638</v>
      </c>
      <c r="K316" s="106" t="s">
        <v>1660</v>
      </c>
      <c r="L316" s="106" t="s">
        <v>637</v>
      </c>
      <c r="M316" s="106"/>
      <c r="N316" s="155" t="s">
        <v>38</v>
      </c>
      <c r="O316" s="155" t="s">
        <v>943</v>
      </c>
      <c r="P316" s="155" t="s">
        <v>22</v>
      </c>
      <c r="Q316" s="155" t="s">
        <v>944</v>
      </c>
      <c r="R316" s="106" t="s">
        <v>945</v>
      </c>
      <c r="S316" s="155"/>
      <c r="T316" s="155"/>
      <c r="U316" s="155"/>
      <c r="V316" s="155"/>
    </row>
    <row r="317" spans="2:22" ht="47.25">
      <c r="B317" s="318"/>
      <c r="C317" s="314"/>
      <c r="D317" s="314"/>
      <c r="E317" s="314"/>
      <c r="F317" s="314"/>
      <c r="G317" s="314"/>
      <c r="H317" s="314"/>
      <c r="I317" s="314"/>
      <c r="J317" s="76" t="s">
        <v>639</v>
      </c>
      <c r="K317" s="106" t="s">
        <v>1659</v>
      </c>
      <c r="L317" s="106" t="s">
        <v>1909</v>
      </c>
      <c r="M317" s="106"/>
      <c r="N317" s="155" t="s">
        <v>38</v>
      </c>
      <c r="O317" s="155" t="s">
        <v>943</v>
      </c>
      <c r="P317" s="155" t="s">
        <v>944</v>
      </c>
      <c r="Q317" s="155" t="s">
        <v>944</v>
      </c>
      <c r="R317" s="106" t="s">
        <v>945</v>
      </c>
      <c r="S317" s="155"/>
      <c r="T317" s="155"/>
      <c r="U317" s="155"/>
      <c r="V317" s="155"/>
    </row>
    <row r="318" spans="2:22" ht="47.25">
      <c r="B318" s="318"/>
      <c r="C318" s="314"/>
      <c r="D318" s="314"/>
      <c r="E318" s="314"/>
      <c r="F318" s="314"/>
      <c r="G318" s="314"/>
      <c r="H318" s="314"/>
      <c r="I318" s="314"/>
      <c r="J318" s="76" t="s">
        <v>640</v>
      </c>
      <c r="K318" s="106" t="s">
        <v>1660</v>
      </c>
      <c r="L318" s="106" t="s">
        <v>1909</v>
      </c>
      <c r="M318" s="106"/>
      <c r="N318" s="155" t="s">
        <v>38</v>
      </c>
      <c r="O318" s="155" t="s">
        <v>943</v>
      </c>
      <c r="P318" s="155" t="s">
        <v>944</v>
      </c>
      <c r="Q318" s="155" t="s">
        <v>944</v>
      </c>
      <c r="R318" s="106" t="s">
        <v>945</v>
      </c>
      <c r="S318" s="155"/>
      <c r="T318" s="155"/>
      <c r="U318" s="155"/>
      <c r="V318" s="155"/>
    </row>
    <row r="319" spans="2:22" ht="47.25">
      <c r="B319" s="318"/>
      <c r="C319" s="314"/>
      <c r="D319" s="314"/>
      <c r="E319" s="314"/>
      <c r="F319" s="314"/>
      <c r="G319" s="314"/>
      <c r="H319" s="314"/>
      <c r="I319" s="314"/>
      <c r="J319" s="76" t="s">
        <v>641</v>
      </c>
      <c r="K319" s="106" t="s">
        <v>1659</v>
      </c>
      <c r="L319" s="106" t="s">
        <v>1910</v>
      </c>
      <c r="M319" s="106"/>
      <c r="N319" s="155" t="s">
        <v>38</v>
      </c>
      <c r="O319" s="155" t="s">
        <v>943</v>
      </c>
      <c r="P319" s="155" t="s">
        <v>22</v>
      </c>
      <c r="Q319" s="155" t="s">
        <v>944</v>
      </c>
      <c r="R319" s="106" t="s">
        <v>1017</v>
      </c>
      <c r="S319" s="155"/>
      <c r="T319" s="155"/>
      <c r="U319" s="155"/>
      <c r="V319" s="155"/>
    </row>
    <row r="320" spans="2:22" ht="31.5">
      <c r="B320" s="318"/>
      <c r="C320" s="314"/>
      <c r="D320" s="314"/>
      <c r="E320" s="314"/>
      <c r="F320" s="314"/>
      <c r="G320" s="314"/>
      <c r="H320" s="314"/>
      <c r="I320" s="314"/>
      <c r="J320" s="76" t="s">
        <v>643</v>
      </c>
      <c r="K320" s="106" t="s">
        <v>1660</v>
      </c>
      <c r="L320" s="106" t="s">
        <v>642</v>
      </c>
      <c r="M320" s="106"/>
      <c r="N320" s="155" t="s">
        <v>38</v>
      </c>
      <c r="O320" s="155" t="s">
        <v>943</v>
      </c>
      <c r="P320" s="155" t="s">
        <v>22</v>
      </c>
      <c r="Q320" s="155" t="s">
        <v>944</v>
      </c>
      <c r="R320" s="106" t="s">
        <v>945</v>
      </c>
      <c r="S320" s="155"/>
      <c r="T320" s="155"/>
      <c r="U320" s="155"/>
      <c r="V320" s="155"/>
    </row>
    <row r="321" spans="2:22" ht="47.25">
      <c r="B321" s="318"/>
      <c r="C321" s="314"/>
      <c r="D321" s="314"/>
      <c r="E321" s="314"/>
      <c r="F321" s="314"/>
      <c r="G321" s="314"/>
      <c r="H321" s="314"/>
      <c r="I321" s="314"/>
      <c r="J321" s="76" t="s">
        <v>644</v>
      </c>
      <c r="K321" s="106" t="s">
        <v>1659</v>
      </c>
      <c r="L321" s="106" t="s">
        <v>1912</v>
      </c>
      <c r="M321" s="106"/>
      <c r="N321" s="155" t="s">
        <v>38</v>
      </c>
      <c r="O321" s="155" t="s">
        <v>943</v>
      </c>
      <c r="P321" s="155" t="s">
        <v>944</v>
      </c>
      <c r="Q321" s="155" t="s">
        <v>944</v>
      </c>
      <c r="R321" s="106" t="s">
        <v>945</v>
      </c>
      <c r="S321" s="155"/>
      <c r="T321" s="155"/>
      <c r="U321" s="155"/>
      <c r="V321" s="155"/>
    </row>
    <row r="322" spans="2:22" ht="47.25">
      <c r="B322" s="318"/>
      <c r="C322" s="314"/>
      <c r="D322" s="314"/>
      <c r="E322" s="314"/>
      <c r="F322" s="314"/>
      <c r="G322" s="314"/>
      <c r="H322" s="314"/>
      <c r="I322" s="314"/>
      <c r="J322" s="76" t="s">
        <v>645</v>
      </c>
      <c r="K322" s="106" t="s">
        <v>1660</v>
      </c>
      <c r="L322" s="106" t="s">
        <v>1912</v>
      </c>
      <c r="M322" s="106"/>
      <c r="N322" s="155" t="s">
        <v>38</v>
      </c>
      <c r="O322" s="155" t="s">
        <v>943</v>
      </c>
      <c r="P322" s="155" t="s">
        <v>944</v>
      </c>
      <c r="Q322" s="155" t="s">
        <v>944</v>
      </c>
      <c r="R322" s="106" t="s">
        <v>945</v>
      </c>
      <c r="S322" s="155"/>
      <c r="T322" s="155"/>
      <c r="U322" s="155"/>
      <c r="V322" s="155"/>
    </row>
    <row r="323" spans="2:22" ht="51.6" customHeight="1">
      <c r="B323" s="318"/>
      <c r="C323" s="314"/>
      <c r="D323" s="314"/>
      <c r="E323" s="314"/>
      <c r="F323" s="314"/>
      <c r="G323" s="314"/>
      <c r="H323" s="314"/>
      <c r="I323" s="314"/>
      <c r="J323" s="76" t="s">
        <v>646</v>
      </c>
      <c r="K323" s="106" t="s">
        <v>1659</v>
      </c>
      <c r="L323" s="106" t="s">
        <v>647</v>
      </c>
      <c r="M323" s="106"/>
      <c r="N323" s="155" t="s">
        <v>38</v>
      </c>
      <c r="O323" s="155" t="s">
        <v>943</v>
      </c>
      <c r="P323" s="155" t="s">
        <v>22</v>
      </c>
      <c r="Q323" s="155" t="s">
        <v>944</v>
      </c>
      <c r="R323" s="106" t="s">
        <v>1017</v>
      </c>
      <c r="S323" s="155"/>
      <c r="T323" s="155"/>
      <c r="U323" s="155"/>
      <c r="V323" s="155"/>
    </row>
    <row r="324" spans="2:22" ht="47.25">
      <c r="B324" s="318"/>
      <c r="C324" s="314"/>
      <c r="D324" s="314"/>
      <c r="E324" s="314"/>
      <c r="F324" s="314"/>
      <c r="G324" s="314"/>
      <c r="H324" s="314"/>
      <c r="I324" s="314"/>
      <c r="J324" s="76" t="s">
        <v>648</v>
      </c>
      <c r="K324" s="106" t="s">
        <v>1660</v>
      </c>
      <c r="L324" s="106" t="s">
        <v>647</v>
      </c>
      <c r="M324" s="106"/>
      <c r="N324" s="155" t="s">
        <v>38</v>
      </c>
      <c r="O324" s="155" t="s">
        <v>943</v>
      </c>
      <c r="P324" s="155" t="s">
        <v>22</v>
      </c>
      <c r="Q324" s="155" t="s">
        <v>944</v>
      </c>
      <c r="R324" s="106" t="s">
        <v>945</v>
      </c>
      <c r="S324" s="155"/>
      <c r="T324" s="155"/>
      <c r="U324" s="155"/>
      <c r="V324" s="155"/>
    </row>
    <row r="325" spans="2:22" ht="47.25">
      <c r="B325" s="318"/>
      <c r="C325" s="314"/>
      <c r="D325" s="314"/>
      <c r="E325" s="314"/>
      <c r="F325" s="314"/>
      <c r="G325" s="314"/>
      <c r="H325" s="314"/>
      <c r="I325" s="314"/>
      <c r="J325" s="76" t="s">
        <v>649</v>
      </c>
      <c r="K325" s="106" t="s">
        <v>1659</v>
      </c>
      <c r="L325" s="106" t="s">
        <v>1908</v>
      </c>
      <c r="M325" s="106"/>
      <c r="N325" s="155" t="s">
        <v>38</v>
      </c>
      <c r="O325" s="155" t="s">
        <v>943</v>
      </c>
      <c r="P325" s="155" t="s">
        <v>944</v>
      </c>
      <c r="Q325" s="155" t="s">
        <v>944</v>
      </c>
      <c r="R325" s="106" t="s">
        <v>945</v>
      </c>
      <c r="S325" s="155"/>
      <c r="T325" s="155"/>
      <c r="U325" s="155"/>
      <c r="V325" s="155"/>
    </row>
    <row r="326" spans="2:22" ht="47.25">
      <c r="B326" s="318"/>
      <c r="C326" s="314"/>
      <c r="D326" s="314"/>
      <c r="E326" s="314"/>
      <c r="F326" s="314"/>
      <c r="G326" s="314"/>
      <c r="H326" s="314"/>
      <c r="I326" s="314"/>
      <c r="J326" s="76" t="s">
        <v>650</v>
      </c>
      <c r="K326" s="106" t="s">
        <v>1660</v>
      </c>
      <c r="L326" s="106" t="s">
        <v>1908</v>
      </c>
      <c r="M326" s="106"/>
      <c r="N326" s="155" t="s">
        <v>38</v>
      </c>
      <c r="O326" s="155" t="s">
        <v>943</v>
      </c>
      <c r="P326" s="155" t="s">
        <v>944</v>
      </c>
      <c r="Q326" s="155" t="s">
        <v>944</v>
      </c>
      <c r="R326" s="106" t="s">
        <v>945</v>
      </c>
      <c r="S326" s="155"/>
      <c r="T326" s="155"/>
      <c r="U326" s="155"/>
      <c r="V326" s="155"/>
    </row>
    <row r="327" spans="2:22" ht="55.15" customHeight="1">
      <c r="B327" s="318"/>
      <c r="C327" s="314"/>
      <c r="D327" s="314"/>
      <c r="E327" s="314"/>
      <c r="F327" s="314"/>
      <c r="G327" s="314"/>
      <c r="H327" s="314"/>
      <c r="I327" s="314"/>
      <c r="J327" s="76" t="s">
        <v>651</v>
      </c>
      <c r="K327" s="106" t="s">
        <v>1659</v>
      </c>
      <c r="L327" s="106" t="s">
        <v>1903</v>
      </c>
      <c r="M327" s="106"/>
      <c r="N327" s="155" t="s">
        <v>38</v>
      </c>
      <c r="O327" s="155" t="s">
        <v>943</v>
      </c>
      <c r="P327" s="155" t="s">
        <v>22</v>
      </c>
      <c r="Q327" s="155" t="s">
        <v>944</v>
      </c>
      <c r="R327" s="106" t="s">
        <v>1017</v>
      </c>
      <c r="S327" s="155"/>
      <c r="T327" s="155"/>
      <c r="U327" s="155"/>
      <c r="V327" s="155"/>
    </row>
    <row r="328" spans="2:22" ht="63">
      <c r="B328" s="318"/>
      <c r="C328" s="314"/>
      <c r="D328" s="314"/>
      <c r="E328" s="314"/>
      <c r="F328" s="314"/>
      <c r="G328" s="314"/>
      <c r="H328" s="314"/>
      <c r="I328" s="314"/>
      <c r="J328" s="76" t="s">
        <v>652</v>
      </c>
      <c r="K328" s="106" t="s">
        <v>1660</v>
      </c>
      <c r="L328" s="106" t="s">
        <v>1903</v>
      </c>
      <c r="M328" s="106"/>
      <c r="N328" s="155" t="s">
        <v>38</v>
      </c>
      <c r="O328" s="155" t="s">
        <v>943</v>
      </c>
      <c r="P328" s="155" t="s">
        <v>22</v>
      </c>
      <c r="Q328" s="155" t="s">
        <v>944</v>
      </c>
      <c r="R328" s="106" t="s">
        <v>945</v>
      </c>
      <c r="S328" s="155"/>
      <c r="T328" s="155"/>
      <c r="U328" s="155"/>
      <c r="V328" s="155"/>
    </row>
    <row r="329" spans="2:22" ht="47.25">
      <c r="B329" s="318"/>
      <c r="C329" s="314"/>
      <c r="D329" s="314"/>
      <c r="E329" s="314"/>
      <c r="F329" s="314"/>
      <c r="G329" s="314"/>
      <c r="H329" s="314"/>
      <c r="I329" s="314"/>
      <c r="J329" s="76" t="s">
        <v>653</v>
      </c>
      <c r="K329" s="106" t="s">
        <v>1659</v>
      </c>
      <c r="L329" s="106" t="s">
        <v>1909</v>
      </c>
      <c r="M329" s="106"/>
      <c r="N329" s="155" t="s">
        <v>38</v>
      </c>
      <c r="O329" s="155" t="s">
        <v>943</v>
      </c>
      <c r="P329" s="155" t="s">
        <v>944</v>
      </c>
      <c r="Q329" s="155" t="s">
        <v>944</v>
      </c>
      <c r="R329" s="106" t="s">
        <v>945</v>
      </c>
      <c r="S329" s="155"/>
      <c r="T329" s="155"/>
      <c r="U329" s="155"/>
      <c r="V329" s="155"/>
    </row>
    <row r="330" spans="2:22" ht="47.25">
      <c r="B330" s="318"/>
      <c r="C330" s="314"/>
      <c r="D330" s="314"/>
      <c r="E330" s="314"/>
      <c r="F330" s="314"/>
      <c r="G330" s="314"/>
      <c r="H330" s="314"/>
      <c r="I330" s="314"/>
      <c r="J330" s="76" t="s">
        <v>654</v>
      </c>
      <c r="K330" s="106" t="s">
        <v>1660</v>
      </c>
      <c r="L330" s="106" t="s">
        <v>1909</v>
      </c>
      <c r="M330" s="106"/>
      <c r="N330" s="155" t="s">
        <v>38</v>
      </c>
      <c r="O330" s="155" t="s">
        <v>943</v>
      </c>
      <c r="P330" s="155" t="s">
        <v>944</v>
      </c>
      <c r="Q330" s="155" t="s">
        <v>944</v>
      </c>
      <c r="R330" s="106" t="s">
        <v>945</v>
      </c>
      <c r="S330" s="155"/>
      <c r="T330" s="155"/>
      <c r="U330" s="155"/>
      <c r="V330" s="155"/>
    </row>
    <row r="331" spans="2:22" ht="47.25">
      <c r="B331" s="318"/>
      <c r="C331" s="314"/>
      <c r="D331" s="314"/>
      <c r="E331" s="314"/>
      <c r="F331" s="314"/>
      <c r="G331" s="314"/>
      <c r="H331" s="314"/>
      <c r="I331" s="314"/>
      <c r="J331" s="76" t="s">
        <v>655</v>
      </c>
      <c r="K331" s="106" t="s">
        <v>1659</v>
      </c>
      <c r="L331" s="106" t="s">
        <v>1902</v>
      </c>
      <c r="M331" s="106"/>
      <c r="N331" s="155" t="s">
        <v>38</v>
      </c>
      <c r="O331" s="155" t="s">
        <v>943</v>
      </c>
      <c r="P331" s="155" t="s">
        <v>22</v>
      </c>
      <c r="Q331" s="155" t="s">
        <v>944</v>
      </c>
      <c r="R331" s="106" t="s">
        <v>1017</v>
      </c>
      <c r="S331" s="155"/>
      <c r="T331" s="155"/>
      <c r="U331" s="155"/>
      <c r="V331" s="155"/>
    </row>
    <row r="332" spans="2:22" ht="47.25">
      <c r="B332" s="318"/>
      <c r="C332" s="314"/>
      <c r="D332" s="314"/>
      <c r="E332" s="314"/>
      <c r="F332" s="314"/>
      <c r="G332" s="314"/>
      <c r="H332" s="314"/>
      <c r="I332" s="314"/>
      <c r="J332" s="76" t="s">
        <v>656</v>
      </c>
      <c r="K332" s="106" t="s">
        <v>1660</v>
      </c>
      <c r="L332" s="106" t="s">
        <v>1902</v>
      </c>
      <c r="M332" s="106"/>
      <c r="N332" s="155" t="s">
        <v>38</v>
      </c>
      <c r="O332" s="155" t="s">
        <v>943</v>
      </c>
      <c r="P332" s="155" t="s">
        <v>22</v>
      </c>
      <c r="Q332" s="155" t="s">
        <v>944</v>
      </c>
      <c r="R332" s="106" t="s">
        <v>945</v>
      </c>
      <c r="S332" s="155"/>
      <c r="T332" s="155"/>
      <c r="U332" s="155"/>
      <c r="V332" s="155"/>
    </row>
    <row r="333" spans="2:22" ht="47.25">
      <c r="B333" s="318"/>
      <c r="C333" s="314"/>
      <c r="D333" s="314"/>
      <c r="E333" s="314"/>
      <c r="F333" s="314"/>
      <c r="G333" s="314"/>
      <c r="H333" s="314"/>
      <c r="I333" s="314"/>
      <c r="J333" s="76" t="s">
        <v>657</v>
      </c>
      <c r="K333" s="106" t="s">
        <v>1659</v>
      </c>
      <c r="L333" s="106" t="s">
        <v>1912</v>
      </c>
      <c r="M333" s="106"/>
      <c r="N333" s="155" t="s">
        <v>38</v>
      </c>
      <c r="O333" s="155" t="s">
        <v>943</v>
      </c>
      <c r="P333" s="155" t="s">
        <v>944</v>
      </c>
      <c r="Q333" s="155" t="s">
        <v>944</v>
      </c>
      <c r="R333" s="106" t="s">
        <v>945</v>
      </c>
      <c r="S333" s="155"/>
      <c r="T333" s="155"/>
      <c r="U333" s="155"/>
      <c r="V333" s="155"/>
    </row>
    <row r="334" spans="2:22" ht="47.25">
      <c r="B334" s="319"/>
      <c r="C334" s="315"/>
      <c r="D334" s="315"/>
      <c r="E334" s="315"/>
      <c r="F334" s="315"/>
      <c r="G334" s="315"/>
      <c r="H334" s="315"/>
      <c r="I334" s="315"/>
      <c r="J334" s="76" t="s">
        <v>658</v>
      </c>
      <c r="K334" s="106" t="s">
        <v>1660</v>
      </c>
      <c r="L334" s="106" t="s">
        <v>1912</v>
      </c>
      <c r="M334" s="106"/>
      <c r="N334" s="155" t="s">
        <v>38</v>
      </c>
      <c r="O334" s="155" t="s">
        <v>943</v>
      </c>
      <c r="P334" s="155" t="s">
        <v>944</v>
      </c>
      <c r="Q334" s="155" t="s">
        <v>944</v>
      </c>
      <c r="R334" s="106" t="s">
        <v>945</v>
      </c>
      <c r="S334" s="155"/>
      <c r="T334" s="155"/>
      <c r="U334" s="155"/>
      <c r="V334" s="155"/>
    </row>
    <row r="335" spans="2:22" ht="56.25" customHeight="1">
      <c r="B335" s="317" t="s">
        <v>659</v>
      </c>
      <c r="C335" s="313" t="s">
        <v>16</v>
      </c>
      <c r="D335" s="313" t="s">
        <v>13</v>
      </c>
      <c r="E335" s="313" t="s">
        <v>660</v>
      </c>
      <c r="F335" s="313" t="s">
        <v>415</v>
      </c>
      <c r="G335" s="313" t="s">
        <v>661</v>
      </c>
      <c r="H335" s="313"/>
      <c r="I335" s="313"/>
      <c r="J335" s="76" t="s">
        <v>662</v>
      </c>
      <c r="K335" s="106" t="s">
        <v>1659</v>
      </c>
      <c r="L335" s="106" t="s">
        <v>1900</v>
      </c>
      <c r="M335" s="106"/>
      <c r="N335" s="155" t="s">
        <v>38</v>
      </c>
      <c r="O335" s="155" t="s">
        <v>943</v>
      </c>
      <c r="P335" s="155" t="s">
        <v>22</v>
      </c>
      <c r="Q335" s="155" t="s">
        <v>944</v>
      </c>
      <c r="R335" s="106" t="s">
        <v>1017</v>
      </c>
      <c r="S335" s="155"/>
      <c r="T335" s="155"/>
      <c r="U335" s="155"/>
      <c r="V335" s="155"/>
    </row>
    <row r="336" spans="2:22" ht="47.25">
      <c r="B336" s="318"/>
      <c r="C336" s="314"/>
      <c r="D336" s="314"/>
      <c r="E336" s="314"/>
      <c r="F336" s="314"/>
      <c r="G336" s="314"/>
      <c r="H336" s="314"/>
      <c r="I336" s="314"/>
      <c r="J336" s="76" t="s">
        <v>663</v>
      </c>
      <c r="K336" s="106" t="s">
        <v>1660</v>
      </c>
      <c r="L336" s="106" t="s">
        <v>1901</v>
      </c>
      <c r="M336" s="106"/>
      <c r="N336" s="155" t="s">
        <v>38</v>
      </c>
      <c r="O336" s="155" t="s">
        <v>943</v>
      </c>
      <c r="P336" s="155" t="s">
        <v>22</v>
      </c>
      <c r="Q336" s="155" t="s">
        <v>944</v>
      </c>
      <c r="R336" s="106" t="s">
        <v>945</v>
      </c>
      <c r="S336" s="155"/>
      <c r="T336" s="155"/>
      <c r="U336" s="155"/>
      <c r="V336" s="155"/>
    </row>
    <row r="337" spans="2:22" ht="47.25">
      <c r="B337" s="318"/>
      <c r="C337" s="314"/>
      <c r="D337" s="314"/>
      <c r="E337" s="314"/>
      <c r="F337" s="314"/>
      <c r="G337" s="314"/>
      <c r="H337" s="314"/>
      <c r="I337" s="314"/>
      <c r="J337" s="76" t="s">
        <v>664</v>
      </c>
      <c r="K337" s="106" t="s">
        <v>1659</v>
      </c>
      <c r="L337" s="106" t="s">
        <v>1913</v>
      </c>
      <c r="M337" s="106"/>
      <c r="N337" s="155" t="s">
        <v>38</v>
      </c>
      <c r="O337" s="155" t="s">
        <v>943</v>
      </c>
      <c r="P337" s="155" t="s">
        <v>944</v>
      </c>
      <c r="Q337" s="155" t="s">
        <v>944</v>
      </c>
      <c r="R337" s="106" t="s">
        <v>945</v>
      </c>
      <c r="S337" s="155"/>
      <c r="T337" s="155"/>
      <c r="U337" s="155"/>
      <c r="V337" s="155"/>
    </row>
    <row r="338" spans="2:22" ht="47.25">
      <c r="B338" s="318"/>
      <c r="C338" s="314"/>
      <c r="D338" s="314"/>
      <c r="E338" s="314"/>
      <c r="F338" s="314"/>
      <c r="G338" s="314"/>
      <c r="H338" s="314"/>
      <c r="I338" s="314"/>
      <c r="J338" s="76" t="s">
        <v>665</v>
      </c>
      <c r="K338" s="106" t="s">
        <v>1660</v>
      </c>
      <c r="L338" s="106" t="s">
        <v>1913</v>
      </c>
      <c r="M338" s="106"/>
      <c r="N338" s="155" t="s">
        <v>38</v>
      </c>
      <c r="O338" s="155" t="s">
        <v>943</v>
      </c>
      <c r="P338" s="155" t="s">
        <v>944</v>
      </c>
      <c r="Q338" s="155" t="s">
        <v>944</v>
      </c>
      <c r="R338" s="106" t="s">
        <v>945</v>
      </c>
      <c r="S338" s="155"/>
      <c r="T338" s="155"/>
      <c r="U338" s="155"/>
      <c r="V338" s="155"/>
    </row>
    <row r="339" spans="2:22" ht="47.25">
      <c r="B339" s="318"/>
      <c r="C339" s="314"/>
      <c r="D339" s="314"/>
      <c r="E339" s="314"/>
      <c r="F339" s="314"/>
      <c r="G339" s="314"/>
      <c r="H339" s="314"/>
      <c r="I339" s="314"/>
      <c r="J339" s="76" t="s">
        <v>666</v>
      </c>
      <c r="K339" s="106" t="s">
        <v>1659</v>
      </c>
      <c r="L339" s="106" t="s">
        <v>1914</v>
      </c>
      <c r="M339" s="106"/>
      <c r="N339" s="155" t="s">
        <v>38</v>
      </c>
      <c r="O339" s="155" t="s">
        <v>943</v>
      </c>
      <c r="P339" s="155" t="s">
        <v>944</v>
      </c>
      <c r="Q339" s="155" t="s">
        <v>944</v>
      </c>
      <c r="R339" s="106" t="s">
        <v>945</v>
      </c>
      <c r="S339" s="155"/>
      <c r="T339" s="155"/>
      <c r="U339" s="155"/>
      <c r="V339" s="155"/>
    </row>
    <row r="340" spans="2:22" ht="47.25">
      <c r="B340" s="318"/>
      <c r="C340" s="314"/>
      <c r="D340" s="314"/>
      <c r="E340" s="314"/>
      <c r="F340" s="314"/>
      <c r="G340" s="314"/>
      <c r="H340" s="314"/>
      <c r="I340" s="314"/>
      <c r="J340" s="76" t="s">
        <v>667</v>
      </c>
      <c r="K340" s="106" t="s">
        <v>1660</v>
      </c>
      <c r="L340" s="106" t="s">
        <v>1914</v>
      </c>
      <c r="M340" s="106"/>
      <c r="N340" s="155" t="s">
        <v>38</v>
      </c>
      <c r="O340" s="155" t="s">
        <v>943</v>
      </c>
      <c r="P340" s="155" t="s">
        <v>944</v>
      </c>
      <c r="Q340" s="155" t="s">
        <v>944</v>
      </c>
      <c r="R340" s="106" t="s">
        <v>945</v>
      </c>
      <c r="S340" s="155"/>
      <c r="T340" s="155"/>
      <c r="U340" s="155"/>
      <c r="V340" s="155"/>
    </row>
    <row r="341" spans="2:22" ht="63">
      <c r="B341" s="318"/>
      <c r="C341" s="314"/>
      <c r="D341" s="314"/>
      <c r="E341" s="314"/>
      <c r="F341" s="314"/>
      <c r="G341" s="314"/>
      <c r="H341" s="314"/>
      <c r="I341" s="314"/>
      <c r="J341" s="76" t="s">
        <v>668</v>
      </c>
      <c r="K341" s="106" t="s">
        <v>1659</v>
      </c>
      <c r="L341" s="106" t="s">
        <v>1899</v>
      </c>
      <c r="M341" s="106"/>
      <c r="N341" s="155" t="s">
        <v>38</v>
      </c>
      <c r="O341" s="155" t="s">
        <v>943</v>
      </c>
      <c r="P341" s="155" t="s">
        <v>22</v>
      </c>
      <c r="Q341" s="155" t="s">
        <v>944</v>
      </c>
      <c r="R341" s="106" t="s">
        <v>1017</v>
      </c>
      <c r="S341" s="155"/>
      <c r="T341" s="155"/>
      <c r="U341" s="155"/>
      <c r="V341" s="155"/>
    </row>
    <row r="342" spans="2:22" ht="63">
      <c r="B342" s="318"/>
      <c r="C342" s="314"/>
      <c r="D342" s="314"/>
      <c r="E342" s="314"/>
      <c r="F342" s="314"/>
      <c r="G342" s="314"/>
      <c r="H342" s="314"/>
      <c r="I342" s="314"/>
      <c r="J342" s="76" t="s">
        <v>669</v>
      </c>
      <c r="K342" s="106" t="s">
        <v>1660</v>
      </c>
      <c r="L342" s="106" t="s">
        <v>1899</v>
      </c>
      <c r="M342" s="106"/>
      <c r="N342" s="155" t="s">
        <v>38</v>
      </c>
      <c r="O342" s="155" t="s">
        <v>943</v>
      </c>
      <c r="P342" s="155" t="s">
        <v>22</v>
      </c>
      <c r="Q342" s="155" t="s">
        <v>944</v>
      </c>
      <c r="R342" s="106" t="s">
        <v>945</v>
      </c>
      <c r="S342" s="155"/>
      <c r="T342" s="155"/>
      <c r="U342" s="155"/>
      <c r="V342" s="155"/>
    </row>
    <row r="343" spans="2:22" ht="47.25">
      <c r="B343" s="318"/>
      <c r="C343" s="314"/>
      <c r="D343" s="314"/>
      <c r="E343" s="314"/>
      <c r="F343" s="314"/>
      <c r="G343" s="314"/>
      <c r="H343" s="314"/>
      <c r="I343" s="314"/>
      <c r="J343" s="76" t="s">
        <v>670</v>
      </c>
      <c r="K343" s="106" t="s">
        <v>1659</v>
      </c>
      <c r="L343" s="106" t="s">
        <v>1915</v>
      </c>
      <c r="M343" s="106"/>
      <c r="N343" s="155" t="s">
        <v>38</v>
      </c>
      <c r="O343" s="155" t="s">
        <v>943</v>
      </c>
      <c r="P343" s="155" t="s">
        <v>944</v>
      </c>
      <c r="Q343" s="155" t="s">
        <v>944</v>
      </c>
      <c r="R343" s="106" t="s">
        <v>945</v>
      </c>
      <c r="S343" s="155"/>
      <c r="T343" s="155"/>
      <c r="U343" s="155"/>
      <c r="V343" s="155"/>
    </row>
    <row r="344" spans="2:22" ht="47.25">
      <c r="B344" s="318"/>
      <c r="C344" s="314"/>
      <c r="D344" s="314"/>
      <c r="E344" s="314"/>
      <c r="F344" s="314"/>
      <c r="G344" s="314"/>
      <c r="H344" s="314"/>
      <c r="I344" s="314"/>
      <c r="J344" s="76" t="s">
        <v>671</v>
      </c>
      <c r="K344" s="106" t="s">
        <v>1660</v>
      </c>
      <c r="L344" s="106" t="s">
        <v>1915</v>
      </c>
      <c r="M344" s="106"/>
      <c r="N344" s="155" t="s">
        <v>38</v>
      </c>
      <c r="O344" s="155" t="s">
        <v>943</v>
      </c>
      <c r="P344" s="155" t="s">
        <v>944</v>
      </c>
      <c r="Q344" s="155" t="s">
        <v>944</v>
      </c>
      <c r="R344" s="106" t="s">
        <v>945</v>
      </c>
      <c r="S344" s="155"/>
      <c r="T344" s="155"/>
      <c r="U344" s="155"/>
      <c r="V344" s="155"/>
    </row>
    <row r="345" spans="2:22" ht="47.25">
      <c r="B345" s="318"/>
      <c r="C345" s="314"/>
      <c r="D345" s="314"/>
      <c r="E345" s="314"/>
      <c r="F345" s="314"/>
      <c r="G345" s="314"/>
      <c r="H345" s="314"/>
      <c r="I345" s="314"/>
      <c r="J345" s="76" t="s">
        <v>672</v>
      </c>
      <c r="K345" s="106" t="s">
        <v>1659</v>
      </c>
      <c r="L345" s="106" t="s">
        <v>1916</v>
      </c>
      <c r="M345" s="106"/>
      <c r="N345" s="155" t="s">
        <v>38</v>
      </c>
      <c r="O345" s="155" t="s">
        <v>943</v>
      </c>
      <c r="P345" s="155" t="s">
        <v>944</v>
      </c>
      <c r="Q345" s="155" t="s">
        <v>944</v>
      </c>
      <c r="R345" s="106" t="s">
        <v>945</v>
      </c>
      <c r="S345" s="155"/>
      <c r="T345" s="155"/>
      <c r="U345" s="155"/>
      <c r="V345" s="155"/>
    </row>
    <row r="346" spans="2:22" ht="47.25">
      <c r="B346" s="318"/>
      <c r="C346" s="314"/>
      <c r="D346" s="314"/>
      <c r="E346" s="314"/>
      <c r="F346" s="314"/>
      <c r="G346" s="314"/>
      <c r="H346" s="314"/>
      <c r="I346" s="314"/>
      <c r="J346" s="76" t="s">
        <v>673</v>
      </c>
      <c r="K346" s="106" t="s">
        <v>1660</v>
      </c>
      <c r="L346" s="106" t="s">
        <v>1916</v>
      </c>
      <c r="M346" s="106"/>
      <c r="N346" s="155" t="s">
        <v>38</v>
      </c>
      <c r="O346" s="155" t="s">
        <v>943</v>
      </c>
      <c r="P346" s="155" t="s">
        <v>944</v>
      </c>
      <c r="Q346" s="155" t="s">
        <v>944</v>
      </c>
      <c r="R346" s="106" t="s">
        <v>945</v>
      </c>
      <c r="S346" s="155"/>
      <c r="T346" s="155"/>
      <c r="U346" s="155"/>
      <c r="V346" s="155"/>
    </row>
    <row r="347" spans="2:22" ht="63">
      <c r="B347" s="318"/>
      <c r="C347" s="314"/>
      <c r="D347" s="314"/>
      <c r="E347" s="314"/>
      <c r="F347" s="314"/>
      <c r="G347" s="314"/>
      <c r="H347" s="314"/>
      <c r="I347" s="314"/>
      <c r="J347" s="76" t="s">
        <v>674</v>
      </c>
      <c r="K347" s="106" t="s">
        <v>1659</v>
      </c>
      <c r="L347" s="106" t="s">
        <v>1898</v>
      </c>
      <c r="M347" s="106"/>
      <c r="N347" s="155" t="s">
        <v>38</v>
      </c>
      <c r="O347" s="155" t="s">
        <v>943</v>
      </c>
      <c r="P347" s="155" t="s">
        <v>22</v>
      </c>
      <c r="Q347" s="155" t="s">
        <v>944</v>
      </c>
      <c r="R347" s="106" t="s">
        <v>1017</v>
      </c>
      <c r="S347" s="155"/>
      <c r="T347" s="155"/>
      <c r="U347" s="155"/>
      <c r="V347" s="155"/>
    </row>
    <row r="348" spans="2:22" ht="63">
      <c r="B348" s="318"/>
      <c r="C348" s="314"/>
      <c r="D348" s="314"/>
      <c r="E348" s="314"/>
      <c r="F348" s="314"/>
      <c r="G348" s="314"/>
      <c r="H348" s="314"/>
      <c r="I348" s="314"/>
      <c r="J348" s="76" t="s">
        <v>675</v>
      </c>
      <c r="K348" s="106" t="s">
        <v>1660</v>
      </c>
      <c r="L348" s="106" t="s">
        <v>1898</v>
      </c>
      <c r="M348" s="106"/>
      <c r="N348" s="155" t="s">
        <v>38</v>
      </c>
      <c r="O348" s="155" t="s">
        <v>943</v>
      </c>
      <c r="P348" s="155" t="s">
        <v>22</v>
      </c>
      <c r="Q348" s="155" t="s">
        <v>944</v>
      </c>
      <c r="R348" s="106" t="s">
        <v>945</v>
      </c>
      <c r="S348" s="155"/>
      <c r="T348" s="155"/>
      <c r="U348" s="155"/>
      <c r="V348" s="155"/>
    </row>
    <row r="349" spans="2:22" ht="47.25">
      <c r="B349" s="318"/>
      <c r="C349" s="314"/>
      <c r="D349" s="314"/>
      <c r="E349" s="314"/>
      <c r="F349" s="314"/>
      <c r="G349" s="314"/>
      <c r="H349" s="314"/>
      <c r="I349" s="314"/>
      <c r="J349" s="76" t="s">
        <v>676</v>
      </c>
      <c r="K349" s="106" t="s">
        <v>1659</v>
      </c>
      <c r="L349" s="106" t="s">
        <v>1917</v>
      </c>
      <c r="M349" s="106"/>
      <c r="N349" s="155" t="s">
        <v>38</v>
      </c>
      <c r="O349" s="155" t="s">
        <v>943</v>
      </c>
      <c r="P349" s="155" t="s">
        <v>944</v>
      </c>
      <c r="Q349" s="155" t="s">
        <v>944</v>
      </c>
      <c r="R349" s="106" t="s">
        <v>945</v>
      </c>
      <c r="S349" s="155"/>
      <c r="T349" s="155"/>
      <c r="U349" s="155"/>
      <c r="V349" s="155"/>
    </row>
    <row r="350" spans="2:22" ht="47.25">
      <c r="B350" s="318"/>
      <c r="C350" s="314"/>
      <c r="D350" s="314"/>
      <c r="E350" s="314"/>
      <c r="F350" s="314"/>
      <c r="G350" s="314"/>
      <c r="H350" s="314"/>
      <c r="I350" s="314"/>
      <c r="J350" s="76" t="s">
        <v>677</v>
      </c>
      <c r="K350" s="106" t="s">
        <v>1660</v>
      </c>
      <c r="L350" s="106" t="s">
        <v>1917</v>
      </c>
      <c r="M350" s="106"/>
      <c r="N350" s="155" t="s">
        <v>38</v>
      </c>
      <c r="O350" s="155" t="s">
        <v>943</v>
      </c>
      <c r="P350" s="155" t="s">
        <v>944</v>
      </c>
      <c r="Q350" s="155" t="s">
        <v>944</v>
      </c>
      <c r="R350" s="106" t="s">
        <v>945</v>
      </c>
      <c r="S350" s="155"/>
      <c r="T350" s="155"/>
      <c r="U350" s="155"/>
      <c r="V350" s="155"/>
    </row>
    <row r="351" spans="2:22" ht="47.25">
      <c r="B351" s="318"/>
      <c r="C351" s="314"/>
      <c r="D351" s="314"/>
      <c r="E351" s="314"/>
      <c r="F351" s="314"/>
      <c r="G351" s="314"/>
      <c r="H351" s="314"/>
      <c r="I351" s="314"/>
      <c r="J351" s="76" t="s">
        <v>678</v>
      </c>
      <c r="K351" s="106" t="s">
        <v>1659</v>
      </c>
      <c r="L351" s="106" t="s">
        <v>1918</v>
      </c>
      <c r="M351" s="106"/>
      <c r="N351" s="155" t="s">
        <v>38</v>
      </c>
      <c r="O351" s="155" t="s">
        <v>943</v>
      </c>
      <c r="P351" s="155" t="s">
        <v>944</v>
      </c>
      <c r="Q351" s="155" t="s">
        <v>944</v>
      </c>
      <c r="R351" s="106" t="s">
        <v>945</v>
      </c>
      <c r="S351" s="155"/>
      <c r="T351" s="155"/>
      <c r="U351" s="155"/>
      <c r="V351" s="155"/>
    </row>
    <row r="352" spans="2:22" ht="47.25">
      <c r="B352" s="318"/>
      <c r="C352" s="314"/>
      <c r="D352" s="314"/>
      <c r="E352" s="314"/>
      <c r="F352" s="314"/>
      <c r="G352" s="314"/>
      <c r="H352" s="314"/>
      <c r="I352" s="314"/>
      <c r="J352" s="76" t="s">
        <v>679</v>
      </c>
      <c r="K352" s="106" t="s">
        <v>1660</v>
      </c>
      <c r="L352" s="106" t="s">
        <v>1918</v>
      </c>
      <c r="M352" s="106"/>
      <c r="N352" s="155" t="s">
        <v>38</v>
      </c>
      <c r="O352" s="155" t="s">
        <v>943</v>
      </c>
      <c r="P352" s="155" t="s">
        <v>944</v>
      </c>
      <c r="Q352" s="155" t="s">
        <v>944</v>
      </c>
      <c r="R352" s="106" t="s">
        <v>945</v>
      </c>
      <c r="S352" s="155"/>
      <c r="T352" s="155"/>
      <c r="U352" s="155"/>
      <c r="V352" s="155"/>
    </row>
    <row r="353" spans="2:22" ht="63">
      <c r="B353" s="318"/>
      <c r="C353" s="314"/>
      <c r="D353" s="314"/>
      <c r="E353" s="314"/>
      <c r="F353" s="314"/>
      <c r="G353" s="314"/>
      <c r="H353" s="314"/>
      <c r="I353" s="314"/>
      <c r="J353" s="76" t="s">
        <v>680</v>
      </c>
      <c r="K353" s="106" t="s">
        <v>1659</v>
      </c>
      <c r="L353" s="106" t="s">
        <v>1897</v>
      </c>
      <c r="M353" s="106"/>
      <c r="N353" s="155" t="s">
        <v>38</v>
      </c>
      <c r="O353" s="155" t="s">
        <v>943</v>
      </c>
      <c r="P353" s="155" t="s">
        <v>22</v>
      </c>
      <c r="Q353" s="155" t="s">
        <v>944</v>
      </c>
      <c r="R353" s="106" t="s">
        <v>1017</v>
      </c>
      <c r="S353" s="155"/>
      <c r="T353" s="155"/>
      <c r="U353" s="155"/>
      <c r="V353" s="155"/>
    </row>
    <row r="354" spans="2:22" ht="47.25">
      <c r="B354" s="318"/>
      <c r="C354" s="314"/>
      <c r="D354" s="314"/>
      <c r="E354" s="314"/>
      <c r="F354" s="314"/>
      <c r="G354" s="314"/>
      <c r="H354" s="314"/>
      <c r="I354" s="314"/>
      <c r="J354" s="76" t="s">
        <v>682</v>
      </c>
      <c r="K354" s="106" t="s">
        <v>1660</v>
      </c>
      <c r="L354" s="106" t="s">
        <v>681</v>
      </c>
      <c r="M354" s="106"/>
      <c r="N354" s="155" t="s">
        <v>38</v>
      </c>
      <c r="O354" s="155" t="s">
        <v>943</v>
      </c>
      <c r="P354" s="155" t="s">
        <v>22</v>
      </c>
      <c r="Q354" s="155" t="s">
        <v>944</v>
      </c>
      <c r="R354" s="106" t="s">
        <v>945</v>
      </c>
      <c r="S354" s="155"/>
      <c r="T354" s="155"/>
      <c r="U354" s="155"/>
      <c r="V354" s="155"/>
    </row>
    <row r="355" spans="2:22" ht="47.25">
      <c r="B355" s="318"/>
      <c r="C355" s="314"/>
      <c r="D355" s="314"/>
      <c r="E355" s="314"/>
      <c r="F355" s="314"/>
      <c r="G355" s="314"/>
      <c r="H355" s="314"/>
      <c r="I355" s="314"/>
      <c r="J355" s="76" t="s">
        <v>683</v>
      </c>
      <c r="K355" s="106" t="s">
        <v>1659</v>
      </c>
      <c r="L355" s="106" t="s">
        <v>1919</v>
      </c>
      <c r="M355" s="106"/>
      <c r="N355" s="155" t="s">
        <v>38</v>
      </c>
      <c r="O355" s="155" t="s">
        <v>943</v>
      </c>
      <c r="P355" s="155" t="s">
        <v>944</v>
      </c>
      <c r="Q355" s="155" t="s">
        <v>944</v>
      </c>
      <c r="R355" s="106" t="s">
        <v>945</v>
      </c>
      <c r="S355" s="155"/>
      <c r="T355" s="155"/>
      <c r="U355" s="155"/>
      <c r="V355" s="155"/>
    </row>
    <row r="356" spans="2:22" ht="47.25">
      <c r="B356" s="318"/>
      <c r="C356" s="314"/>
      <c r="D356" s="314"/>
      <c r="E356" s="314"/>
      <c r="F356" s="314"/>
      <c r="G356" s="314"/>
      <c r="H356" s="314"/>
      <c r="I356" s="314"/>
      <c r="J356" s="76" t="s">
        <v>684</v>
      </c>
      <c r="K356" s="106" t="s">
        <v>1660</v>
      </c>
      <c r="L356" s="106" t="s">
        <v>1919</v>
      </c>
      <c r="M356" s="106"/>
      <c r="N356" s="155" t="s">
        <v>38</v>
      </c>
      <c r="O356" s="155" t="s">
        <v>943</v>
      </c>
      <c r="P356" s="155" t="s">
        <v>944</v>
      </c>
      <c r="Q356" s="155" t="s">
        <v>944</v>
      </c>
      <c r="R356" s="106" t="s">
        <v>945</v>
      </c>
      <c r="S356" s="155"/>
      <c r="T356" s="155"/>
      <c r="U356" s="155"/>
      <c r="V356" s="155"/>
    </row>
    <row r="357" spans="2:22" ht="47.25">
      <c r="B357" s="318"/>
      <c r="C357" s="314"/>
      <c r="D357" s="314"/>
      <c r="E357" s="314"/>
      <c r="F357" s="314"/>
      <c r="G357" s="314"/>
      <c r="H357" s="314"/>
      <c r="I357" s="314"/>
      <c r="J357" s="76" t="s">
        <v>685</v>
      </c>
      <c r="K357" s="106" t="s">
        <v>1659</v>
      </c>
      <c r="L357" s="106" t="s">
        <v>1920</v>
      </c>
      <c r="M357" s="106"/>
      <c r="N357" s="155" t="s">
        <v>38</v>
      </c>
      <c r="O357" s="155" t="s">
        <v>943</v>
      </c>
      <c r="P357" s="155" t="s">
        <v>944</v>
      </c>
      <c r="Q357" s="155" t="s">
        <v>944</v>
      </c>
      <c r="R357" s="106" t="s">
        <v>945</v>
      </c>
      <c r="S357" s="155"/>
      <c r="T357" s="155"/>
      <c r="U357" s="155"/>
      <c r="V357" s="155"/>
    </row>
    <row r="358" spans="2:22" ht="47.25">
      <c r="B358" s="319"/>
      <c r="C358" s="315"/>
      <c r="D358" s="315"/>
      <c r="E358" s="315"/>
      <c r="F358" s="315"/>
      <c r="G358" s="315"/>
      <c r="H358" s="315"/>
      <c r="I358" s="315"/>
      <c r="J358" s="76" t="s">
        <v>686</v>
      </c>
      <c r="K358" s="106" t="s">
        <v>1660</v>
      </c>
      <c r="L358" s="106" t="s">
        <v>1920</v>
      </c>
      <c r="M358" s="106"/>
      <c r="N358" s="155" t="s">
        <v>38</v>
      </c>
      <c r="O358" s="155" t="s">
        <v>943</v>
      </c>
      <c r="P358" s="155" t="s">
        <v>944</v>
      </c>
      <c r="Q358" s="155" t="s">
        <v>944</v>
      </c>
      <c r="R358" s="106" t="s">
        <v>945</v>
      </c>
      <c r="S358" s="155"/>
      <c r="T358" s="155"/>
      <c r="U358" s="155"/>
      <c r="V358" s="155"/>
    </row>
    <row r="359" spans="2:22" ht="181.5" customHeight="1">
      <c r="B359" s="317" t="s">
        <v>687</v>
      </c>
      <c r="C359" s="313" t="s">
        <v>16</v>
      </c>
      <c r="D359" s="313" t="s">
        <v>688</v>
      </c>
      <c r="E359" s="313" t="s">
        <v>1686</v>
      </c>
      <c r="F359" s="313" t="s">
        <v>415</v>
      </c>
      <c r="G359" s="313" t="s">
        <v>1687</v>
      </c>
      <c r="H359" s="313"/>
      <c r="I359" s="313" t="s">
        <v>950</v>
      </c>
      <c r="J359" s="76" t="s">
        <v>689</v>
      </c>
      <c r="K359" s="106" t="s">
        <v>1659</v>
      </c>
      <c r="L359" s="106" t="s">
        <v>1688</v>
      </c>
      <c r="M359" s="106"/>
      <c r="N359" s="155" t="s">
        <v>38</v>
      </c>
      <c r="O359" s="155" t="s">
        <v>943</v>
      </c>
      <c r="P359" s="155" t="s">
        <v>22</v>
      </c>
      <c r="Q359" s="155" t="s">
        <v>944</v>
      </c>
      <c r="R359" s="106" t="s">
        <v>1017</v>
      </c>
      <c r="S359" s="155"/>
      <c r="T359" s="155"/>
      <c r="U359" s="155"/>
      <c r="V359" s="155"/>
    </row>
    <row r="360" spans="2:22" ht="78.75">
      <c r="B360" s="318"/>
      <c r="C360" s="314"/>
      <c r="D360" s="314"/>
      <c r="E360" s="314"/>
      <c r="F360" s="314"/>
      <c r="G360" s="314"/>
      <c r="H360" s="314"/>
      <c r="I360" s="314"/>
      <c r="J360" s="76" t="s">
        <v>690</v>
      </c>
      <c r="K360" s="106" t="s">
        <v>1660</v>
      </c>
      <c r="L360" s="106" t="s">
        <v>1688</v>
      </c>
      <c r="M360" s="106"/>
      <c r="N360" s="155" t="s">
        <v>38</v>
      </c>
      <c r="O360" s="155" t="s">
        <v>943</v>
      </c>
      <c r="P360" s="155" t="s">
        <v>22</v>
      </c>
      <c r="Q360" s="155" t="s">
        <v>944</v>
      </c>
      <c r="R360" s="106" t="s">
        <v>945</v>
      </c>
      <c r="S360" s="155"/>
      <c r="T360" s="155"/>
      <c r="U360" s="155"/>
      <c r="V360" s="155"/>
    </row>
    <row r="361" spans="2:22" ht="47.25">
      <c r="B361" s="318"/>
      <c r="C361" s="314"/>
      <c r="D361" s="314"/>
      <c r="E361" s="314"/>
      <c r="F361" s="314"/>
      <c r="G361" s="314"/>
      <c r="H361" s="314"/>
      <c r="I361" s="314"/>
      <c r="J361" s="76" t="s">
        <v>691</v>
      </c>
      <c r="K361" s="106" t="s">
        <v>1659</v>
      </c>
      <c r="L361" s="106" t="s">
        <v>1921</v>
      </c>
      <c r="M361" s="106"/>
      <c r="N361" s="155" t="s">
        <v>38</v>
      </c>
      <c r="O361" s="155" t="s">
        <v>943</v>
      </c>
      <c r="P361" s="155" t="s">
        <v>944</v>
      </c>
      <c r="Q361" s="155" t="s">
        <v>944</v>
      </c>
      <c r="R361" s="106" t="s">
        <v>945</v>
      </c>
      <c r="S361" s="155"/>
      <c r="T361" s="155"/>
      <c r="U361" s="155"/>
      <c r="V361" s="155"/>
    </row>
    <row r="362" spans="2:22" ht="47.25">
      <c r="B362" s="319"/>
      <c r="C362" s="315"/>
      <c r="D362" s="315"/>
      <c r="E362" s="315"/>
      <c r="F362" s="315"/>
      <c r="G362" s="315"/>
      <c r="H362" s="315"/>
      <c r="I362" s="315"/>
      <c r="J362" s="76" t="s">
        <v>692</v>
      </c>
      <c r="K362" s="106" t="s">
        <v>1660</v>
      </c>
      <c r="L362" s="106" t="s">
        <v>1921</v>
      </c>
      <c r="M362" s="106"/>
      <c r="N362" s="155" t="s">
        <v>38</v>
      </c>
      <c r="O362" s="155" t="s">
        <v>943</v>
      </c>
      <c r="P362" s="155" t="s">
        <v>944</v>
      </c>
      <c r="Q362" s="155" t="s">
        <v>944</v>
      </c>
      <c r="R362" s="106" t="s">
        <v>945</v>
      </c>
      <c r="S362" s="155"/>
      <c r="T362" s="155"/>
      <c r="U362" s="155"/>
      <c r="V362" s="155"/>
    </row>
    <row r="363" spans="2:22" ht="75" customHeight="1">
      <c r="B363" s="317" t="s">
        <v>693</v>
      </c>
      <c r="C363" s="313" t="s">
        <v>16</v>
      </c>
      <c r="D363" s="313" t="s">
        <v>20</v>
      </c>
      <c r="E363" s="313" t="s">
        <v>1689</v>
      </c>
      <c r="F363" s="313" t="s">
        <v>415</v>
      </c>
      <c r="G363" s="313" t="s">
        <v>1979</v>
      </c>
      <c r="H363" s="313"/>
      <c r="I363" s="313"/>
      <c r="J363" s="76" t="s">
        <v>694</v>
      </c>
      <c r="K363" s="106" t="s">
        <v>1659</v>
      </c>
      <c r="L363" s="106" t="s">
        <v>1876</v>
      </c>
      <c r="M363" s="106"/>
      <c r="N363" s="155" t="s">
        <v>38</v>
      </c>
      <c r="O363" s="155" t="s">
        <v>943</v>
      </c>
      <c r="P363" s="155" t="s">
        <v>22</v>
      </c>
      <c r="Q363" s="155" t="s">
        <v>944</v>
      </c>
      <c r="R363" s="106" t="s">
        <v>1017</v>
      </c>
      <c r="S363" s="155"/>
      <c r="T363" s="155"/>
      <c r="U363" s="155"/>
      <c r="V363" s="155"/>
    </row>
    <row r="364" spans="2:22" ht="78.75">
      <c r="B364" s="318"/>
      <c r="C364" s="314"/>
      <c r="D364" s="314"/>
      <c r="E364" s="314"/>
      <c r="F364" s="314"/>
      <c r="G364" s="314"/>
      <c r="H364" s="314"/>
      <c r="I364" s="314"/>
      <c r="J364" s="76" t="s">
        <v>695</v>
      </c>
      <c r="K364" s="106" t="s">
        <v>1660</v>
      </c>
      <c r="L364" s="106" t="s">
        <v>1876</v>
      </c>
      <c r="M364" s="106"/>
      <c r="N364" s="155" t="s">
        <v>38</v>
      </c>
      <c r="O364" s="155" t="s">
        <v>943</v>
      </c>
      <c r="P364" s="155" t="s">
        <v>22</v>
      </c>
      <c r="Q364" s="155" t="s">
        <v>944</v>
      </c>
      <c r="R364" s="106" t="s">
        <v>945</v>
      </c>
      <c r="S364" s="155"/>
      <c r="T364" s="155"/>
      <c r="U364" s="155"/>
      <c r="V364" s="155"/>
    </row>
    <row r="365" spans="2:22" ht="31.5">
      <c r="B365" s="318"/>
      <c r="C365" s="314"/>
      <c r="D365" s="314"/>
      <c r="E365" s="314"/>
      <c r="F365" s="314"/>
      <c r="G365" s="314"/>
      <c r="H365" s="314"/>
      <c r="I365" s="314"/>
      <c r="J365" s="76" t="s">
        <v>696</v>
      </c>
      <c r="K365" s="106" t="s">
        <v>1659</v>
      </c>
      <c r="L365" s="106" t="s">
        <v>697</v>
      </c>
      <c r="M365" s="106"/>
      <c r="N365" s="155" t="s">
        <v>38</v>
      </c>
      <c r="O365" s="155" t="s">
        <v>943</v>
      </c>
      <c r="P365" s="155" t="s">
        <v>944</v>
      </c>
      <c r="Q365" s="155" t="s">
        <v>944</v>
      </c>
      <c r="R365" s="106" t="s">
        <v>945</v>
      </c>
      <c r="S365" s="155"/>
      <c r="T365" s="155"/>
      <c r="U365" s="155"/>
      <c r="V365" s="155"/>
    </row>
    <row r="366" spans="2:22" ht="31.5">
      <c r="B366" s="318"/>
      <c r="C366" s="314"/>
      <c r="D366" s="314"/>
      <c r="E366" s="314"/>
      <c r="F366" s="314"/>
      <c r="G366" s="314"/>
      <c r="H366" s="314"/>
      <c r="I366" s="314"/>
      <c r="J366" s="76" t="s">
        <v>698</v>
      </c>
      <c r="K366" s="106" t="s">
        <v>1660</v>
      </c>
      <c r="L366" s="106" t="s">
        <v>697</v>
      </c>
      <c r="M366" s="106"/>
      <c r="N366" s="155" t="s">
        <v>38</v>
      </c>
      <c r="O366" s="155" t="s">
        <v>943</v>
      </c>
      <c r="P366" s="155" t="s">
        <v>944</v>
      </c>
      <c r="Q366" s="155" t="s">
        <v>944</v>
      </c>
      <c r="R366" s="106" t="s">
        <v>945</v>
      </c>
      <c r="S366" s="155"/>
      <c r="T366" s="155"/>
      <c r="U366" s="155"/>
      <c r="V366" s="155"/>
    </row>
    <row r="367" spans="2:22" ht="78.75">
      <c r="B367" s="318"/>
      <c r="C367" s="314"/>
      <c r="D367" s="314"/>
      <c r="E367" s="314"/>
      <c r="F367" s="314"/>
      <c r="G367" s="314"/>
      <c r="H367" s="314"/>
      <c r="I367" s="314"/>
      <c r="J367" s="76" t="s">
        <v>699</v>
      </c>
      <c r="K367" s="106" t="s">
        <v>1659</v>
      </c>
      <c r="L367" s="106" t="s">
        <v>1877</v>
      </c>
      <c r="M367" s="106"/>
      <c r="N367" s="155" t="s">
        <v>38</v>
      </c>
      <c r="O367" s="155" t="s">
        <v>943</v>
      </c>
      <c r="P367" s="155" t="s">
        <v>22</v>
      </c>
      <c r="Q367" s="155" t="s">
        <v>944</v>
      </c>
      <c r="R367" s="106" t="s">
        <v>1017</v>
      </c>
      <c r="S367" s="155"/>
      <c r="T367" s="155"/>
      <c r="U367" s="155"/>
      <c r="V367" s="155"/>
    </row>
    <row r="368" spans="2:22" ht="78.75">
      <c r="B368" s="318"/>
      <c r="C368" s="314"/>
      <c r="D368" s="314"/>
      <c r="E368" s="314"/>
      <c r="F368" s="314"/>
      <c r="G368" s="314"/>
      <c r="H368" s="314"/>
      <c r="I368" s="314"/>
      <c r="J368" s="76" t="s">
        <v>700</v>
      </c>
      <c r="K368" s="106" t="s">
        <v>1660</v>
      </c>
      <c r="L368" s="106" t="s">
        <v>1877</v>
      </c>
      <c r="M368" s="106"/>
      <c r="N368" s="155" t="s">
        <v>38</v>
      </c>
      <c r="O368" s="155" t="s">
        <v>943</v>
      </c>
      <c r="P368" s="155" t="s">
        <v>22</v>
      </c>
      <c r="Q368" s="155" t="s">
        <v>944</v>
      </c>
      <c r="R368" s="106" t="s">
        <v>945</v>
      </c>
      <c r="S368" s="155"/>
      <c r="T368" s="155"/>
      <c r="U368" s="155"/>
      <c r="V368" s="155"/>
    </row>
    <row r="369" spans="2:22" ht="31.5">
      <c r="B369" s="318"/>
      <c r="C369" s="314"/>
      <c r="D369" s="314"/>
      <c r="E369" s="314"/>
      <c r="F369" s="314"/>
      <c r="G369" s="314"/>
      <c r="H369" s="314"/>
      <c r="I369" s="314"/>
      <c r="J369" s="76" t="s">
        <v>701</v>
      </c>
      <c r="K369" s="106" t="s">
        <v>1659</v>
      </c>
      <c r="L369" s="106" t="s">
        <v>702</v>
      </c>
      <c r="M369" s="106"/>
      <c r="N369" s="155" t="s">
        <v>38</v>
      </c>
      <c r="O369" s="155" t="s">
        <v>943</v>
      </c>
      <c r="P369" s="155" t="s">
        <v>944</v>
      </c>
      <c r="Q369" s="155" t="s">
        <v>944</v>
      </c>
      <c r="R369" s="106" t="s">
        <v>945</v>
      </c>
      <c r="S369" s="155"/>
      <c r="T369" s="155"/>
      <c r="U369" s="155"/>
      <c r="V369" s="155"/>
    </row>
    <row r="370" spans="2:22" ht="31.5">
      <c r="B370" s="318"/>
      <c r="C370" s="314"/>
      <c r="D370" s="314"/>
      <c r="E370" s="314"/>
      <c r="F370" s="314"/>
      <c r="G370" s="314"/>
      <c r="H370" s="314"/>
      <c r="I370" s="314"/>
      <c r="J370" s="76" t="s">
        <v>703</v>
      </c>
      <c r="K370" s="106" t="s">
        <v>1660</v>
      </c>
      <c r="L370" s="106" t="s">
        <v>702</v>
      </c>
      <c r="M370" s="106"/>
      <c r="N370" s="155" t="s">
        <v>38</v>
      </c>
      <c r="O370" s="155" t="s">
        <v>943</v>
      </c>
      <c r="P370" s="155" t="s">
        <v>944</v>
      </c>
      <c r="Q370" s="155" t="s">
        <v>944</v>
      </c>
      <c r="R370" s="106" t="s">
        <v>945</v>
      </c>
      <c r="S370" s="155"/>
      <c r="T370" s="155"/>
      <c r="U370" s="155"/>
      <c r="V370" s="155"/>
    </row>
    <row r="371" spans="2:22" ht="78.75">
      <c r="B371" s="318"/>
      <c r="C371" s="314"/>
      <c r="D371" s="314"/>
      <c r="E371" s="314"/>
      <c r="F371" s="314"/>
      <c r="G371" s="314"/>
      <c r="H371" s="314"/>
      <c r="I371" s="314"/>
      <c r="J371" s="76" t="s">
        <v>704</v>
      </c>
      <c r="K371" s="106" t="s">
        <v>1659</v>
      </c>
      <c r="L371" s="106" t="s">
        <v>1878</v>
      </c>
      <c r="M371" s="106"/>
      <c r="N371" s="155" t="s">
        <v>38</v>
      </c>
      <c r="O371" s="155" t="s">
        <v>943</v>
      </c>
      <c r="P371" s="155" t="s">
        <v>22</v>
      </c>
      <c r="Q371" s="155" t="s">
        <v>944</v>
      </c>
      <c r="R371" s="106" t="s">
        <v>1017</v>
      </c>
      <c r="S371" s="155"/>
      <c r="T371" s="155"/>
      <c r="U371" s="155"/>
      <c r="V371" s="155"/>
    </row>
    <row r="372" spans="2:22" ht="78.75">
      <c r="B372" s="318"/>
      <c r="C372" s="314"/>
      <c r="D372" s="314"/>
      <c r="E372" s="314"/>
      <c r="F372" s="314"/>
      <c r="G372" s="314"/>
      <c r="H372" s="314"/>
      <c r="I372" s="314"/>
      <c r="J372" s="76" t="s">
        <v>705</v>
      </c>
      <c r="K372" s="106" t="s">
        <v>1660</v>
      </c>
      <c r="L372" s="106" t="s">
        <v>1878</v>
      </c>
      <c r="M372" s="106"/>
      <c r="N372" s="155" t="s">
        <v>38</v>
      </c>
      <c r="O372" s="155" t="s">
        <v>943</v>
      </c>
      <c r="P372" s="155" t="s">
        <v>22</v>
      </c>
      <c r="Q372" s="155" t="s">
        <v>944</v>
      </c>
      <c r="R372" s="106" t="s">
        <v>945</v>
      </c>
      <c r="S372" s="155"/>
      <c r="T372" s="155"/>
      <c r="U372" s="155"/>
      <c r="V372" s="155"/>
    </row>
    <row r="373" spans="2:22" ht="31.5">
      <c r="B373" s="318"/>
      <c r="C373" s="314"/>
      <c r="D373" s="314"/>
      <c r="E373" s="314"/>
      <c r="F373" s="314"/>
      <c r="G373" s="314"/>
      <c r="H373" s="314"/>
      <c r="I373" s="314"/>
      <c r="J373" s="76" t="s">
        <v>706</v>
      </c>
      <c r="K373" s="106" t="s">
        <v>1659</v>
      </c>
      <c r="L373" s="106" t="s">
        <v>707</v>
      </c>
      <c r="M373" s="106"/>
      <c r="N373" s="155" t="s">
        <v>38</v>
      </c>
      <c r="O373" s="155" t="s">
        <v>943</v>
      </c>
      <c r="P373" s="155" t="s">
        <v>944</v>
      </c>
      <c r="Q373" s="155" t="s">
        <v>944</v>
      </c>
      <c r="R373" s="106" t="s">
        <v>945</v>
      </c>
      <c r="S373" s="155"/>
      <c r="T373" s="155"/>
      <c r="U373" s="155"/>
      <c r="V373" s="155"/>
    </row>
    <row r="374" spans="2:22" ht="31.5">
      <c r="B374" s="318"/>
      <c r="C374" s="314"/>
      <c r="D374" s="314"/>
      <c r="E374" s="314"/>
      <c r="F374" s="314"/>
      <c r="G374" s="314"/>
      <c r="H374" s="314"/>
      <c r="I374" s="314"/>
      <c r="J374" s="76" t="s">
        <v>708</v>
      </c>
      <c r="K374" s="106" t="s">
        <v>1660</v>
      </c>
      <c r="L374" s="106" t="s">
        <v>707</v>
      </c>
      <c r="M374" s="106"/>
      <c r="N374" s="155" t="s">
        <v>38</v>
      </c>
      <c r="O374" s="155" t="s">
        <v>943</v>
      </c>
      <c r="P374" s="155" t="s">
        <v>944</v>
      </c>
      <c r="Q374" s="155" t="s">
        <v>944</v>
      </c>
      <c r="R374" s="106" t="s">
        <v>945</v>
      </c>
      <c r="S374" s="155"/>
      <c r="T374" s="155"/>
      <c r="U374" s="155"/>
      <c r="V374" s="155"/>
    </row>
    <row r="375" spans="2:22" ht="78.75">
      <c r="B375" s="318"/>
      <c r="C375" s="314"/>
      <c r="D375" s="314"/>
      <c r="E375" s="314"/>
      <c r="F375" s="314"/>
      <c r="G375" s="314"/>
      <c r="H375" s="314"/>
      <c r="I375" s="314"/>
      <c r="J375" s="76" t="s">
        <v>709</v>
      </c>
      <c r="K375" s="106" t="s">
        <v>1659</v>
      </c>
      <c r="L375" s="106" t="s">
        <v>1879</v>
      </c>
      <c r="M375" s="106"/>
      <c r="N375" s="155" t="s">
        <v>38</v>
      </c>
      <c r="O375" s="155" t="s">
        <v>943</v>
      </c>
      <c r="P375" s="155" t="s">
        <v>22</v>
      </c>
      <c r="Q375" s="155" t="s">
        <v>944</v>
      </c>
      <c r="R375" s="106" t="s">
        <v>1017</v>
      </c>
      <c r="S375" s="155"/>
      <c r="T375" s="155"/>
      <c r="U375" s="155"/>
      <c r="V375" s="155"/>
    </row>
    <row r="376" spans="2:22" ht="78.75">
      <c r="B376" s="318"/>
      <c r="C376" s="314"/>
      <c r="D376" s="314"/>
      <c r="E376" s="314"/>
      <c r="F376" s="314"/>
      <c r="G376" s="314"/>
      <c r="H376" s="314"/>
      <c r="I376" s="314"/>
      <c r="J376" s="76" t="s">
        <v>710</v>
      </c>
      <c r="K376" s="106" t="s">
        <v>1660</v>
      </c>
      <c r="L376" s="106" t="s">
        <v>1879</v>
      </c>
      <c r="M376" s="106"/>
      <c r="N376" s="155" t="s">
        <v>38</v>
      </c>
      <c r="O376" s="155" t="s">
        <v>943</v>
      </c>
      <c r="P376" s="155" t="s">
        <v>22</v>
      </c>
      <c r="Q376" s="155" t="s">
        <v>944</v>
      </c>
      <c r="R376" s="106" t="s">
        <v>945</v>
      </c>
      <c r="S376" s="155"/>
      <c r="T376" s="155"/>
      <c r="U376" s="155"/>
      <c r="V376" s="155"/>
    </row>
    <row r="377" spans="2:22" ht="31.5">
      <c r="B377" s="318"/>
      <c r="C377" s="314"/>
      <c r="D377" s="314"/>
      <c r="E377" s="314"/>
      <c r="F377" s="314"/>
      <c r="G377" s="314"/>
      <c r="H377" s="314"/>
      <c r="I377" s="314"/>
      <c r="J377" s="76" t="s">
        <v>711</v>
      </c>
      <c r="K377" s="106" t="s">
        <v>1659</v>
      </c>
      <c r="L377" s="106" t="s">
        <v>712</v>
      </c>
      <c r="M377" s="106"/>
      <c r="N377" s="155" t="s">
        <v>38</v>
      </c>
      <c r="O377" s="155" t="s">
        <v>943</v>
      </c>
      <c r="P377" s="155" t="s">
        <v>944</v>
      </c>
      <c r="Q377" s="155" t="s">
        <v>944</v>
      </c>
      <c r="R377" s="106" t="s">
        <v>945</v>
      </c>
      <c r="S377" s="155"/>
      <c r="T377" s="155"/>
      <c r="U377" s="155"/>
      <c r="V377" s="155"/>
    </row>
    <row r="378" spans="2:22" ht="31.5">
      <c r="B378" s="318"/>
      <c r="C378" s="314"/>
      <c r="D378" s="314"/>
      <c r="E378" s="314"/>
      <c r="F378" s="314"/>
      <c r="G378" s="314"/>
      <c r="H378" s="314"/>
      <c r="I378" s="314"/>
      <c r="J378" s="76" t="s">
        <v>713</v>
      </c>
      <c r="K378" s="106" t="s">
        <v>1660</v>
      </c>
      <c r="L378" s="106" t="s">
        <v>712</v>
      </c>
      <c r="M378" s="106"/>
      <c r="N378" s="155" t="s">
        <v>38</v>
      </c>
      <c r="O378" s="155" t="s">
        <v>943</v>
      </c>
      <c r="P378" s="155" t="s">
        <v>944</v>
      </c>
      <c r="Q378" s="155" t="s">
        <v>944</v>
      </c>
      <c r="R378" s="106" t="s">
        <v>945</v>
      </c>
      <c r="S378" s="155"/>
      <c r="T378" s="155"/>
      <c r="U378" s="155"/>
      <c r="V378" s="155"/>
    </row>
    <row r="379" spans="2:22" ht="94.5">
      <c r="B379" s="318"/>
      <c r="C379" s="314"/>
      <c r="D379" s="314"/>
      <c r="E379" s="314"/>
      <c r="F379" s="314"/>
      <c r="G379" s="314"/>
      <c r="H379" s="314"/>
      <c r="I379" s="314"/>
      <c r="J379" s="76" t="s">
        <v>714</v>
      </c>
      <c r="K379" s="106" t="s">
        <v>1659</v>
      </c>
      <c r="L379" s="106" t="s">
        <v>1880</v>
      </c>
      <c r="M379" s="106"/>
      <c r="N379" s="155" t="s">
        <v>38</v>
      </c>
      <c r="O379" s="155" t="s">
        <v>943</v>
      </c>
      <c r="P379" s="155" t="s">
        <v>22</v>
      </c>
      <c r="Q379" s="155" t="s">
        <v>944</v>
      </c>
      <c r="R379" s="106" t="s">
        <v>1017</v>
      </c>
      <c r="S379" s="155"/>
      <c r="T379" s="155"/>
      <c r="U379" s="155"/>
      <c r="V379" s="155"/>
    </row>
    <row r="380" spans="2:22" ht="94.5">
      <c r="B380" s="318"/>
      <c r="C380" s="314"/>
      <c r="D380" s="314"/>
      <c r="E380" s="314"/>
      <c r="F380" s="314"/>
      <c r="G380" s="314"/>
      <c r="H380" s="314"/>
      <c r="I380" s="314"/>
      <c r="J380" s="76" t="s">
        <v>715</v>
      </c>
      <c r="K380" s="106" t="s">
        <v>1660</v>
      </c>
      <c r="L380" s="106" t="s">
        <v>1880</v>
      </c>
      <c r="M380" s="106"/>
      <c r="N380" s="155" t="s">
        <v>38</v>
      </c>
      <c r="O380" s="155" t="s">
        <v>943</v>
      </c>
      <c r="P380" s="155" t="s">
        <v>22</v>
      </c>
      <c r="Q380" s="155" t="s">
        <v>944</v>
      </c>
      <c r="R380" s="106" t="s">
        <v>945</v>
      </c>
      <c r="S380" s="155"/>
      <c r="T380" s="155"/>
      <c r="U380" s="155"/>
      <c r="V380" s="155"/>
    </row>
    <row r="381" spans="2:22" ht="31.5">
      <c r="B381" s="318"/>
      <c r="C381" s="314"/>
      <c r="D381" s="314"/>
      <c r="E381" s="314"/>
      <c r="F381" s="314"/>
      <c r="G381" s="314"/>
      <c r="H381" s="314"/>
      <c r="I381" s="314"/>
      <c r="J381" s="76" t="s">
        <v>716</v>
      </c>
      <c r="K381" s="106" t="s">
        <v>1659</v>
      </c>
      <c r="L381" s="106" t="s">
        <v>717</v>
      </c>
      <c r="M381" s="106"/>
      <c r="N381" s="155" t="s">
        <v>38</v>
      </c>
      <c r="O381" s="155" t="s">
        <v>943</v>
      </c>
      <c r="P381" s="155" t="s">
        <v>944</v>
      </c>
      <c r="Q381" s="155" t="s">
        <v>944</v>
      </c>
      <c r="R381" s="106" t="s">
        <v>945</v>
      </c>
      <c r="S381" s="155"/>
      <c r="T381" s="155"/>
      <c r="U381" s="155"/>
      <c r="V381" s="155"/>
    </row>
    <row r="382" spans="2:22" ht="31.5">
      <c r="B382" s="318"/>
      <c r="C382" s="314"/>
      <c r="D382" s="314"/>
      <c r="E382" s="314"/>
      <c r="F382" s="314"/>
      <c r="G382" s="314"/>
      <c r="H382" s="314"/>
      <c r="I382" s="314"/>
      <c r="J382" s="76" t="s">
        <v>718</v>
      </c>
      <c r="K382" s="106" t="s">
        <v>1660</v>
      </c>
      <c r="L382" s="106" t="s">
        <v>717</v>
      </c>
      <c r="M382" s="106"/>
      <c r="N382" s="155" t="s">
        <v>38</v>
      </c>
      <c r="O382" s="155" t="s">
        <v>943</v>
      </c>
      <c r="P382" s="155" t="s">
        <v>944</v>
      </c>
      <c r="Q382" s="155" t="s">
        <v>944</v>
      </c>
      <c r="R382" s="106" t="s">
        <v>945</v>
      </c>
      <c r="S382" s="155"/>
      <c r="T382" s="155"/>
      <c r="U382" s="155"/>
      <c r="V382" s="155"/>
    </row>
    <row r="383" spans="2:22" ht="94.5">
      <c r="B383" s="318"/>
      <c r="C383" s="314"/>
      <c r="D383" s="314"/>
      <c r="E383" s="314"/>
      <c r="F383" s="314"/>
      <c r="G383" s="314"/>
      <c r="H383" s="314"/>
      <c r="I383" s="314"/>
      <c r="J383" s="76" t="s">
        <v>719</v>
      </c>
      <c r="K383" s="106" t="s">
        <v>1659</v>
      </c>
      <c r="L383" s="106" t="s">
        <v>1980</v>
      </c>
      <c r="M383" s="106"/>
      <c r="N383" s="155" t="s">
        <v>38</v>
      </c>
      <c r="O383" s="155" t="s">
        <v>943</v>
      </c>
      <c r="P383" s="155" t="s">
        <v>22</v>
      </c>
      <c r="Q383" s="155" t="s">
        <v>944</v>
      </c>
      <c r="R383" s="106" t="s">
        <v>1017</v>
      </c>
      <c r="S383" s="155"/>
      <c r="T383" s="155"/>
      <c r="U383" s="155"/>
      <c r="V383" s="155"/>
    </row>
    <row r="384" spans="2:22" ht="94.5">
      <c r="B384" s="318"/>
      <c r="C384" s="314"/>
      <c r="D384" s="314"/>
      <c r="E384" s="314"/>
      <c r="F384" s="314"/>
      <c r="G384" s="314"/>
      <c r="H384" s="314"/>
      <c r="I384" s="314"/>
      <c r="J384" s="76" t="s">
        <v>720</v>
      </c>
      <c r="K384" s="106" t="s">
        <v>1660</v>
      </c>
      <c r="L384" s="106" t="s">
        <v>1980</v>
      </c>
      <c r="M384" s="106"/>
      <c r="N384" s="155" t="s">
        <v>38</v>
      </c>
      <c r="O384" s="155" t="s">
        <v>943</v>
      </c>
      <c r="P384" s="155" t="s">
        <v>22</v>
      </c>
      <c r="Q384" s="155" t="s">
        <v>944</v>
      </c>
      <c r="R384" s="106" t="s">
        <v>945</v>
      </c>
      <c r="S384" s="155"/>
      <c r="T384" s="155"/>
      <c r="U384" s="155"/>
      <c r="V384" s="155"/>
    </row>
    <row r="385" spans="2:22" ht="31.5">
      <c r="B385" s="318"/>
      <c r="C385" s="314"/>
      <c r="D385" s="314"/>
      <c r="E385" s="314"/>
      <c r="F385" s="314"/>
      <c r="G385" s="314"/>
      <c r="H385" s="314"/>
      <c r="I385" s="314"/>
      <c r="J385" s="76" t="s">
        <v>721</v>
      </c>
      <c r="K385" s="106" t="s">
        <v>1659</v>
      </c>
      <c r="L385" s="106" t="s">
        <v>722</v>
      </c>
      <c r="M385" s="106"/>
      <c r="N385" s="155" t="s">
        <v>38</v>
      </c>
      <c r="O385" s="155" t="s">
        <v>943</v>
      </c>
      <c r="P385" s="155" t="s">
        <v>944</v>
      </c>
      <c r="Q385" s="155" t="s">
        <v>944</v>
      </c>
      <c r="R385" s="106" t="s">
        <v>945</v>
      </c>
      <c r="S385" s="155"/>
      <c r="T385" s="155"/>
      <c r="U385" s="155"/>
      <c r="V385" s="155"/>
    </row>
    <row r="386" spans="2:22" ht="31.5">
      <c r="B386" s="318"/>
      <c r="C386" s="314"/>
      <c r="D386" s="314"/>
      <c r="E386" s="314"/>
      <c r="F386" s="314"/>
      <c r="G386" s="314"/>
      <c r="H386" s="314"/>
      <c r="I386" s="314"/>
      <c r="J386" s="76" t="s">
        <v>723</v>
      </c>
      <c r="K386" s="106" t="s">
        <v>1660</v>
      </c>
      <c r="L386" s="106" t="s">
        <v>722</v>
      </c>
      <c r="M386" s="106"/>
      <c r="N386" s="155" t="s">
        <v>38</v>
      </c>
      <c r="O386" s="155" t="s">
        <v>943</v>
      </c>
      <c r="P386" s="155" t="s">
        <v>944</v>
      </c>
      <c r="Q386" s="155" t="s">
        <v>944</v>
      </c>
      <c r="R386" s="106" t="s">
        <v>945</v>
      </c>
      <c r="S386" s="155"/>
      <c r="T386" s="155"/>
      <c r="U386" s="155"/>
      <c r="V386" s="155"/>
    </row>
    <row r="387" spans="2:22" ht="94.5">
      <c r="B387" s="318"/>
      <c r="C387" s="314"/>
      <c r="D387" s="314"/>
      <c r="E387" s="314"/>
      <c r="F387" s="314"/>
      <c r="G387" s="314"/>
      <c r="H387" s="314"/>
      <c r="I387" s="314"/>
      <c r="J387" s="76" t="s">
        <v>724</v>
      </c>
      <c r="K387" s="106" t="s">
        <v>1659</v>
      </c>
      <c r="L387" s="106" t="s">
        <v>1881</v>
      </c>
      <c r="M387" s="106"/>
      <c r="N387" s="155" t="s">
        <v>38</v>
      </c>
      <c r="O387" s="155" t="s">
        <v>943</v>
      </c>
      <c r="P387" s="155" t="s">
        <v>22</v>
      </c>
      <c r="Q387" s="155" t="s">
        <v>944</v>
      </c>
      <c r="R387" s="106" t="s">
        <v>1017</v>
      </c>
      <c r="S387" s="155"/>
      <c r="T387" s="155"/>
      <c r="U387" s="155"/>
      <c r="V387" s="155"/>
    </row>
    <row r="388" spans="2:22" ht="94.5">
      <c r="B388" s="318"/>
      <c r="C388" s="314"/>
      <c r="D388" s="314"/>
      <c r="E388" s="314"/>
      <c r="F388" s="314"/>
      <c r="G388" s="314"/>
      <c r="H388" s="314"/>
      <c r="I388" s="314"/>
      <c r="J388" s="76" t="s">
        <v>725</v>
      </c>
      <c r="K388" s="106" t="s">
        <v>1660</v>
      </c>
      <c r="L388" s="106" t="s">
        <v>1882</v>
      </c>
      <c r="M388" s="106"/>
      <c r="N388" s="155" t="s">
        <v>38</v>
      </c>
      <c r="O388" s="155" t="s">
        <v>943</v>
      </c>
      <c r="P388" s="155" t="s">
        <v>22</v>
      </c>
      <c r="Q388" s="155" t="s">
        <v>944</v>
      </c>
      <c r="R388" s="106" t="s">
        <v>945</v>
      </c>
      <c r="S388" s="155"/>
      <c r="T388" s="155"/>
      <c r="U388" s="155"/>
      <c r="V388" s="155"/>
    </row>
    <row r="389" spans="2:22" ht="31.5">
      <c r="B389" s="318"/>
      <c r="C389" s="314"/>
      <c r="D389" s="314"/>
      <c r="E389" s="314"/>
      <c r="F389" s="314"/>
      <c r="G389" s="314"/>
      <c r="H389" s="314"/>
      <c r="I389" s="314"/>
      <c r="J389" s="76" t="s">
        <v>726</v>
      </c>
      <c r="K389" s="106" t="s">
        <v>1659</v>
      </c>
      <c r="L389" s="106" t="s">
        <v>727</v>
      </c>
      <c r="M389" s="106"/>
      <c r="N389" s="155" t="s">
        <v>38</v>
      </c>
      <c r="O389" s="155" t="s">
        <v>943</v>
      </c>
      <c r="P389" s="155" t="s">
        <v>944</v>
      </c>
      <c r="Q389" s="155" t="s">
        <v>944</v>
      </c>
      <c r="R389" s="106" t="s">
        <v>945</v>
      </c>
      <c r="S389" s="155"/>
      <c r="T389" s="155"/>
      <c r="U389" s="155"/>
      <c r="V389" s="155"/>
    </row>
    <row r="390" spans="2:22" ht="31.5">
      <c r="B390" s="318"/>
      <c r="C390" s="314"/>
      <c r="D390" s="314"/>
      <c r="E390" s="314"/>
      <c r="F390" s="314"/>
      <c r="G390" s="314"/>
      <c r="H390" s="314"/>
      <c r="I390" s="314"/>
      <c r="J390" s="76" t="s">
        <v>728</v>
      </c>
      <c r="K390" s="106" t="s">
        <v>1660</v>
      </c>
      <c r="L390" s="106" t="s">
        <v>727</v>
      </c>
      <c r="M390" s="106"/>
      <c r="N390" s="155" t="s">
        <v>38</v>
      </c>
      <c r="O390" s="155" t="s">
        <v>943</v>
      </c>
      <c r="P390" s="155" t="s">
        <v>944</v>
      </c>
      <c r="Q390" s="155" t="s">
        <v>944</v>
      </c>
      <c r="R390" s="106" t="s">
        <v>945</v>
      </c>
      <c r="S390" s="155"/>
      <c r="T390" s="155"/>
      <c r="U390" s="155"/>
      <c r="V390" s="155"/>
    </row>
    <row r="391" spans="2:22" ht="220.5">
      <c r="B391" s="318"/>
      <c r="C391" s="314"/>
      <c r="D391" s="314"/>
      <c r="E391" s="314"/>
      <c r="F391" s="314"/>
      <c r="G391" s="314"/>
      <c r="H391" s="314"/>
      <c r="I391" s="314"/>
      <c r="J391" s="76" t="s">
        <v>1125</v>
      </c>
      <c r="K391" s="106" t="s">
        <v>1659</v>
      </c>
      <c r="L391" s="106" t="s">
        <v>1981</v>
      </c>
      <c r="M391" s="106"/>
      <c r="N391" s="155" t="s">
        <v>38</v>
      </c>
      <c r="O391" s="155" t="s">
        <v>943</v>
      </c>
      <c r="P391" s="155" t="s">
        <v>22</v>
      </c>
      <c r="Q391" s="155" t="s">
        <v>944</v>
      </c>
      <c r="R391" s="106" t="s">
        <v>1017</v>
      </c>
      <c r="S391" s="155"/>
      <c r="T391" s="155"/>
      <c r="U391" s="155"/>
      <c r="V391" s="155"/>
    </row>
    <row r="392" spans="2:22" ht="220.5">
      <c r="B392" s="318"/>
      <c r="C392" s="314"/>
      <c r="D392" s="314"/>
      <c r="E392" s="314"/>
      <c r="F392" s="314"/>
      <c r="G392" s="314"/>
      <c r="H392" s="314"/>
      <c r="I392" s="314"/>
      <c r="J392" s="76" t="s">
        <v>1982</v>
      </c>
      <c r="K392" s="106" t="s">
        <v>1660</v>
      </c>
      <c r="L392" s="106" t="s">
        <v>1981</v>
      </c>
      <c r="M392" s="106"/>
      <c r="N392" s="155" t="s">
        <v>38</v>
      </c>
      <c r="O392" s="155" t="s">
        <v>943</v>
      </c>
      <c r="P392" s="155" t="s">
        <v>22</v>
      </c>
      <c r="Q392" s="155" t="s">
        <v>944</v>
      </c>
      <c r="R392" s="106" t="s">
        <v>945</v>
      </c>
      <c r="S392" s="155"/>
      <c r="T392" s="155"/>
      <c r="U392" s="155"/>
      <c r="V392" s="155"/>
    </row>
    <row r="393" spans="2:22" ht="31.5">
      <c r="B393" s="318"/>
      <c r="C393" s="314"/>
      <c r="D393" s="314"/>
      <c r="E393" s="314"/>
      <c r="F393" s="314"/>
      <c r="G393" s="314"/>
      <c r="H393" s="314"/>
      <c r="I393" s="314"/>
      <c r="J393" s="76" t="s">
        <v>1983</v>
      </c>
      <c r="K393" s="106" t="s">
        <v>1659</v>
      </c>
      <c r="L393" s="106" t="s">
        <v>1984</v>
      </c>
      <c r="M393" s="106"/>
      <c r="N393" s="155" t="s">
        <v>38</v>
      </c>
      <c r="O393" s="155" t="s">
        <v>943</v>
      </c>
      <c r="P393" s="155" t="s">
        <v>944</v>
      </c>
      <c r="Q393" s="155" t="s">
        <v>944</v>
      </c>
      <c r="R393" s="106" t="s">
        <v>945</v>
      </c>
      <c r="S393" s="155"/>
      <c r="T393" s="155"/>
      <c r="U393" s="155"/>
      <c r="V393" s="155"/>
    </row>
    <row r="394" spans="2:22" ht="31.5">
      <c r="B394" s="319"/>
      <c r="C394" s="315"/>
      <c r="D394" s="315"/>
      <c r="E394" s="315"/>
      <c r="F394" s="315"/>
      <c r="G394" s="315"/>
      <c r="H394" s="315"/>
      <c r="I394" s="315"/>
      <c r="J394" s="76" t="s">
        <v>1985</v>
      </c>
      <c r="K394" s="106" t="s">
        <v>1660</v>
      </c>
      <c r="L394" s="106" t="s">
        <v>1986</v>
      </c>
      <c r="M394" s="106"/>
      <c r="N394" s="155" t="s">
        <v>38</v>
      </c>
      <c r="O394" s="155" t="s">
        <v>943</v>
      </c>
      <c r="P394" s="155" t="s">
        <v>944</v>
      </c>
      <c r="Q394" s="155" t="s">
        <v>944</v>
      </c>
      <c r="R394" s="106" t="s">
        <v>945</v>
      </c>
      <c r="S394" s="155"/>
      <c r="T394" s="155"/>
      <c r="U394" s="155"/>
      <c r="V394" s="155"/>
    </row>
    <row r="395" spans="2:22" ht="75" customHeight="1">
      <c r="B395" s="317" t="s">
        <v>1015</v>
      </c>
      <c r="C395" s="313" t="s">
        <v>16</v>
      </c>
      <c r="D395" s="313" t="s">
        <v>21</v>
      </c>
      <c r="E395" s="313" t="s">
        <v>1690</v>
      </c>
      <c r="F395" s="313" t="s">
        <v>415</v>
      </c>
      <c r="G395" s="313" t="s">
        <v>1711</v>
      </c>
      <c r="H395" s="313"/>
      <c r="I395" s="313" t="s">
        <v>1013</v>
      </c>
      <c r="J395" s="76" t="s">
        <v>730</v>
      </c>
      <c r="K395" s="106" t="s">
        <v>1659</v>
      </c>
      <c r="L395" s="106" t="s">
        <v>1784</v>
      </c>
      <c r="M395" s="106"/>
      <c r="N395" s="155" t="s">
        <v>38</v>
      </c>
      <c r="O395" s="155" t="s">
        <v>943</v>
      </c>
      <c r="P395" s="155" t="s">
        <v>22</v>
      </c>
      <c r="Q395" s="155" t="s">
        <v>944</v>
      </c>
      <c r="R395" s="106" t="s">
        <v>1017</v>
      </c>
      <c r="S395" s="155"/>
      <c r="T395" s="155"/>
      <c r="U395" s="155"/>
      <c r="V395" s="155"/>
    </row>
    <row r="396" spans="2:22" ht="78.75">
      <c r="B396" s="318"/>
      <c r="C396" s="314"/>
      <c r="D396" s="314"/>
      <c r="E396" s="314"/>
      <c r="F396" s="314"/>
      <c r="G396" s="314"/>
      <c r="H396" s="314"/>
      <c r="I396" s="314"/>
      <c r="J396" s="76" t="s">
        <v>731</v>
      </c>
      <c r="K396" s="106" t="s">
        <v>1660</v>
      </c>
      <c r="L396" s="106" t="s">
        <v>1883</v>
      </c>
      <c r="M396" s="106"/>
      <c r="N396" s="155" t="s">
        <v>38</v>
      </c>
      <c r="O396" s="155" t="s">
        <v>943</v>
      </c>
      <c r="P396" s="155" t="s">
        <v>22</v>
      </c>
      <c r="Q396" s="155" t="s">
        <v>944</v>
      </c>
      <c r="R396" s="106" t="s">
        <v>945</v>
      </c>
      <c r="S396" s="155"/>
      <c r="T396" s="155"/>
      <c r="U396" s="155"/>
      <c r="V396" s="155"/>
    </row>
    <row r="397" spans="2:22" ht="31.5">
      <c r="B397" s="318"/>
      <c r="C397" s="314"/>
      <c r="D397" s="314"/>
      <c r="E397" s="314"/>
      <c r="F397" s="314"/>
      <c r="G397" s="314"/>
      <c r="H397" s="314"/>
      <c r="I397" s="314"/>
      <c r="J397" s="76" t="s">
        <v>732</v>
      </c>
      <c r="K397" s="106" t="s">
        <v>1659</v>
      </c>
      <c r="L397" s="106" t="s">
        <v>733</v>
      </c>
      <c r="M397" s="106"/>
      <c r="N397" s="155" t="s">
        <v>38</v>
      </c>
      <c r="O397" s="155" t="s">
        <v>943</v>
      </c>
      <c r="P397" s="155" t="s">
        <v>944</v>
      </c>
      <c r="Q397" s="155" t="s">
        <v>944</v>
      </c>
      <c r="R397" s="106" t="s">
        <v>945</v>
      </c>
      <c r="S397" s="155"/>
      <c r="T397" s="155"/>
      <c r="U397" s="155"/>
      <c r="V397" s="155"/>
    </row>
    <row r="398" spans="2:22" ht="31.5">
      <c r="B398" s="318"/>
      <c r="C398" s="314"/>
      <c r="D398" s="314"/>
      <c r="E398" s="314"/>
      <c r="F398" s="314"/>
      <c r="G398" s="314"/>
      <c r="H398" s="314"/>
      <c r="I398" s="314"/>
      <c r="J398" s="76" t="s">
        <v>734</v>
      </c>
      <c r="K398" s="106" t="s">
        <v>1660</v>
      </c>
      <c r="L398" s="106" t="s">
        <v>733</v>
      </c>
      <c r="M398" s="106"/>
      <c r="N398" s="155" t="s">
        <v>38</v>
      </c>
      <c r="O398" s="155" t="s">
        <v>943</v>
      </c>
      <c r="P398" s="155" t="s">
        <v>944</v>
      </c>
      <c r="Q398" s="155" t="s">
        <v>944</v>
      </c>
      <c r="R398" s="106" t="s">
        <v>945</v>
      </c>
      <c r="S398" s="155"/>
      <c r="T398" s="155"/>
      <c r="U398" s="155"/>
      <c r="V398" s="155"/>
    </row>
    <row r="399" spans="2:22" ht="63">
      <c r="B399" s="318"/>
      <c r="C399" s="314"/>
      <c r="D399" s="314"/>
      <c r="E399" s="314"/>
      <c r="F399" s="314"/>
      <c r="G399" s="314"/>
      <c r="H399" s="314"/>
      <c r="I399" s="314"/>
      <c r="J399" s="76" t="s">
        <v>735</v>
      </c>
      <c r="K399" s="106" t="s">
        <v>1659</v>
      </c>
      <c r="L399" s="106" t="s">
        <v>1785</v>
      </c>
      <c r="M399" s="106"/>
      <c r="N399" s="155" t="s">
        <v>38</v>
      </c>
      <c r="O399" s="155" t="s">
        <v>943</v>
      </c>
      <c r="P399" s="155" t="s">
        <v>22</v>
      </c>
      <c r="Q399" s="155" t="s">
        <v>944</v>
      </c>
      <c r="R399" s="106" t="s">
        <v>1017</v>
      </c>
      <c r="S399" s="155"/>
      <c r="T399" s="155"/>
      <c r="U399" s="155"/>
      <c r="V399" s="155"/>
    </row>
    <row r="400" spans="2:22" ht="78.75">
      <c r="B400" s="318"/>
      <c r="C400" s="314"/>
      <c r="D400" s="314"/>
      <c r="E400" s="314"/>
      <c r="F400" s="314"/>
      <c r="G400" s="314"/>
      <c r="H400" s="314"/>
      <c r="I400" s="314"/>
      <c r="J400" s="76" t="s">
        <v>736</v>
      </c>
      <c r="K400" s="106" t="s">
        <v>1660</v>
      </c>
      <c r="L400" s="106" t="s">
        <v>1884</v>
      </c>
      <c r="M400" s="106"/>
      <c r="N400" s="155" t="s">
        <v>38</v>
      </c>
      <c r="O400" s="155" t="s">
        <v>943</v>
      </c>
      <c r="P400" s="155" t="s">
        <v>22</v>
      </c>
      <c r="Q400" s="155" t="s">
        <v>944</v>
      </c>
      <c r="R400" s="106" t="s">
        <v>945</v>
      </c>
      <c r="S400" s="155"/>
      <c r="T400" s="155"/>
      <c r="U400" s="155"/>
      <c r="V400" s="155"/>
    </row>
    <row r="401" spans="2:22" ht="31.5">
      <c r="B401" s="318"/>
      <c r="C401" s="314"/>
      <c r="D401" s="314"/>
      <c r="E401" s="314"/>
      <c r="F401" s="314"/>
      <c r="G401" s="314"/>
      <c r="H401" s="314"/>
      <c r="I401" s="314"/>
      <c r="J401" s="76" t="s">
        <v>737</v>
      </c>
      <c r="K401" s="106" t="s">
        <v>1659</v>
      </c>
      <c r="L401" s="106" t="s">
        <v>738</v>
      </c>
      <c r="M401" s="106"/>
      <c r="N401" s="155" t="s">
        <v>38</v>
      </c>
      <c r="O401" s="155" t="s">
        <v>943</v>
      </c>
      <c r="P401" s="155" t="s">
        <v>944</v>
      </c>
      <c r="Q401" s="155" t="s">
        <v>944</v>
      </c>
      <c r="R401" s="106" t="s">
        <v>945</v>
      </c>
      <c r="S401" s="155"/>
      <c r="T401" s="155"/>
      <c r="U401" s="155"/>
      <c r="V401" s="155"/>
    </row>
    <row r="402" spans="2:22" ht="31.5">
      <c r="B402" s="318"/>
      <c r="C402" s="314"/>
      <c r="D402" s="314"/>
      <c r="E402" s="314"/>
      <c r="F402" s="314"/>
      <c r="G402" s="314"/>
      <c r="H402" s="314"/>
      <c r="I402" s="314"/>
      <c r="J402" s="76" t="s">
        <v>739</v>
      </c>
      <c r="K402" s="106" t="s">
        <v>1660</v>
      </c>
      <c r="L402" s="106" t="s">
        <v>738</v>
      </c>
      <c r="M402" s="106"/>
      <c r="N402" s="155" t="s">
        <v>38</v>
      </c>
      <c r="O402" s="155" t="s">
        <v>943</v>
      </c>
      <c r="P402" s="155" t="s">
        <v>944</v>
      </c>
      <c r="Q402" s="155" t="s">
        <v>944</v>
      </c>
      <c r="R402" s="106" t="s">
        <v>945</v>
      </c>
      <c r="S402" s="155"/>
      <c r="T402" s="155"/>
      <c r="U402" s="155"/>
      <c r="V402" s="155"/>
    </row>
    <row r="403" spans="2:22" ht="47.25">
      <c r="B403" s="318"/>
      <c r="C403" s="314"/>
      <c r="D403" s="314"/>
      <c r="E403" s="314"/>
      <c r="F403" s="314"/>
      <c r="G403" s="314"/>
      <c r="H403" s="314"/>
      <c r="I403" s="314"/>
      <c r="J403" s="76" t="s">
        <v>740</v>
      </c>
      <c r="K403" s="106" t="s">
        <v>1659</v>
      </c>
      <c r="L403" s="106" t="s">
        <v>1786</v>
      </c>
      <c r="M403" s="106"/>
      <c r="N403" s="155" t="s">
        <v>38</v>
      </c>
      <c r="O403" s="155" t="s">
        <v>943</v>
      </c>
      <c r="P403" s="155" t="s">
        <v>22</v>
      </c>
      <c r="Q403" s="155" t="s">
        <v>944</v>
      </c>
      <c r="R403" s="106" t="s">
        <v>1017</v>
      </c>
      <c r="S403" s="155"/>
      <c r="T403" s="155"/>
      <c r="U403" s="155"/>
      <c r="V403" s="155"/>
    </row>
    <row r="404" spans="2:22" ht="63">
      <c r="B404" s="318"/>
      <c r="C404" s="314"/>
      <c r="D404" s="314"/>
      <c r="E404" s="314"/>
      <c r="F404" s="314"/>
      <c r="G404" s="314"/>
      <c r="H404" s="314"/>
      <c r="I404" s="314"/>
      <c r="J404" s="76" t="s">
        <v>741</v>
      </c>
      <c r="K404" s="106" t="s">
        <v>1660</v>
      </c>
      <c r="L404" s="106" t="s">
        <v>1885</v>
      </c>
      <c r="M404" s="106"/>
      <c r="N404" s="155" t="s">
        <v>38</v>
      </c>
      <c r="O404" s="155" t="s">
        <v>943</v>
      </c>
      <c r="P404" s="155" t="s">
        <v>22</v>
      </c>
      <c r="Q404" s="155" t="s">
        <v>944</v>
      </c>
      <c r="R404" s="106" t="s">
        <v>945</v>
      </c>
      <c r="S404" s="155"/>
      <c r="T404" s="155"/>
      <c r="U404" s="155"/>
      <c r="V404" s="155"/>
    </row>
    <row r="405" spans="2:22" ht="31.5">
      <c r="B405" s="318"/>
      <c r="C405" s="314"/>
      <c r="D405" s="314"/>
      <c r="E405" s="314"/>
      <c r="F405" s="314"/>
      <c r="G405" s="314"/>
      <c r="H405" s="314"/>
      <c r="I405" s="314"/>
      <c r="J405" s="76" t="s">
        <v>742</v>
      </c>
      <c r="K405" s="106" t="s">
        <v>1659</v>
      </c>
      <c r="L405" s="106" t="s">
        <v>1126</v>
      </c>
      <c r="M405" s="106"/>
      <c r="N405" s="155" t="s">
        <v>38</v>
      </c>
      <c r="O405" s="155" t="s">
        <v>943</v>
      </c>
      <c r="P405" s="155" t="s">
        <v>944</v>
      </c>
      <c r="Q405" s="155" t="s">
        <v>944</v>
      </c>
      <c r="R405" s="106" t="s">
        <v>945</v>
      </c>
      <c r="S405" s="155"/>
      <c r="T405" s="155"/>
      <c r="U405" s="155"/>
      <c r="V405" s="155"/>
    </row>
    <row r="406" spans="2:22" ht="31.5">
      <c r="B406" s="318"/>
      <c r="C406" s="314"/>
      <c r="D406" s="314"/>
      <c r="E406" s="314"/>
      <c r="F406" s="314"/>
      <c r="G406" s="314"/>
      <c r="H406" s="314"/>
      <c r="I406" s="314"/>
      <c r="J406" s="76" t="s">
        <v>743</v>
      </c>
      <c r="K406" s="106" t="s">
        <v>1660</v>
      </c>
      <c r="L406" s="106" t="s">
        <v>1126</v>
      </c>
      <c r="M406" s="106"/>
      <c r="N406" s="155" t="s">
        <v>38</v>
      </c>
      <c r="O406" s="155" t="s">
        <v>943</v>
      </c>
      <c r="P406" s="155" t="s">
        <v>944</v>
      </c>
      <c r="Q406" s="155" t="s">
        <v>944</v>
      </c>
      <c r="R406" s="106" t="s">
        <v>945</v>
      </c>
      <c r="S406" s="155"/>
      <c r="T406" s="155"/>
      <c r="U406" s="155"/>
      <c r="V406" s="155"/>
    </row>
    <row r="407" spans="2:22" ht="63">
      <c r="B407" s="318"/>
      <c r="C407" s="314"/>
      <c r="D407" s="314"/>
      <c r="E407" s="314"/>
      <c r="F407" s="314"/>
      <c r="G407" s="314"/>
      <c r="H407" s="314"/>
      <c r="I407" s="314"/>
      <c r="J407" s="76" t="s">
        <v>744</v>
      </c>
      <c r="K407" s="106" t="s">
        <v>1659</v>
      </c>
      <c r="L407" s="106" t="s">
        <v>1787</v>
      </c>
      <c r="M407" s="106"/>
      <c r="N407" s="155" t="s">
        <v>38</v>
      </c>
      <c r="O407" s="155" t="s">
        <v>943</v>
      </c>
      <c r="P407" s="155" t="s">
        <v>22</v>
      </c>
      <c r="Q407" s="155" t="s">
        <v>944</v>
      </c>
      <c r="R407" s="106" t="s">
        <v>1017</v>
      </c>
      <c r="S407" s="155"/>
      <c r="T407" s="155"/>
      <c r="U407" s="155"/>
      <c r="V407" s="155"/>
    </row>
    <row r="408" spans="2:22" ht="78.75">
      <c r="B408" s="318"/>
      <c r="C408" s="314"/>
      <c r="D408" s="314"/>
      <c r="E408" s="314"/>
      <c r="F408" s="314"/>
      <c r="G408" s="314"/>
      <c r="H408" s="314"/>
      <c r="I408" s="314"/>
      <c r="J408" s="76" t="s">
        <v>745</v>
      </c>
      <c r="K408" s="106" t="s">
        <v>1660</v>
      </c>
      <c r="L408" s="106" t="s">
        <v>1886</v>
      </c>
      <c r="M408" s="106"/>
      <c r="N408" s="155" t="s">
        <v>38</v>
      </c>
      <c r="O408" s="155" t="s">
        <v>943</v>
      </c>
      <c r="P408" s="155" t="s">
        <v>22</v>
      </c>
      <c r="Q408" s="155" t="s">
        <v>944</v>
      </c>
      <c r="R408" s="106" t="s">
        <v>945</v>
      </c>
      <c r="S408" s="155"/>
      <c r="T408" s="155"/>
      <c r="U408" s="155"/>
      <c r="V408" s="155"/>
    </row>
    <row r="409" spans="2:22" ht="31.5">
      <c r="B409" s="318"/>
      <c r="C409" s="314"/>
      <c r="D409" s="314"/>
      <c r="E409" s="314"/>
      <c r="F409" s="314"/>
      <c r="G409" s="314"/>
      <c r="H409" s="314"/>
      <c r="I409" s="314"/>
      <c r="J409" s="76" t="s">
        <v>746</v>
      </c>
      <c r="K409" s="106" t="s">
        <v>1659</v>
      </c>
      <c r="L409" s="106" t="s">
        <v>747</v>
      </c>
      <c r="M409" s="106"/>
      <c r="N409" s="155" t="s">
        <v>38</v>
      </c>
      <c r="O409" s="155" t="s">
        <v>943</v>
      </c>
      <c r="P409" s="155" t="s">
        <v>944</v>
      </c>
      <c r="Q409" s="155" t="s">
        <v>944</v>
      </c>
      <c r="R409" s="106" t="s">
        <v>945</v>
      </c>
      <c r="S409" s="155"/>
      <c r="T409" s="155"/>
      <c r="U409" s="155"/>
      <c r="V409" s="155"/>
    </row>
    <row r="410" spans="2:22" ht="31.5">
      <c r="B410" s="318"/>
      <c r="C410" s="314"/>
      <c r="D410" s="314"/>
      <c r="E410" s="314"/>
      <c r="F410" s="314"/>
      <c r="G410" s="314"/>
      <c r="H410" s="314"/>
      <c r="I410" s="314"/>
      <c r="J410" s="76" t="s">
        <v>748</v>
      </c>
      <c r="K410" s="106" t="s">
        <v>1660</v>
      </c>
      <c r="L410" s="106" t="s">
        <v>747</v>
      </c>
      <c r="M410" s="106"/>
      <c r="N410" s="155" t="s">
        <v>38</v>
      </c>
      <c r="O410" s="155" t="s">
        <v>943</v>
      </c>
      <c r="P410" s="155" t="s">
        <v>944</v>
      </c>
      <c r="Q410" s="155" t="s">
        <v>944</v>
      </c>
      <c r="R410" s="106" t="s">
        <v>945</v>
      </c>
      <c r="S410" s="155"/>
      <c r="T410" s="155"/>
      <c r="U410" s="155"/>
      <c r="V410" s="155"/>
    </row>
    <row r="411" spans="2:22" ht="63">
      <c r="B411" s="318"/>
      <c r="C411" s="314"/>
      <c r="D411" s="314"/>
      <c r="E411" s="314"/>
      <c r="F411" s="314"/>
      <c r="G411" s="314"/>
      <c r="H411" s="314"/>
      <c r="I411" s="314"/>
      <c r="J411" s="76" t="s">
        <v>749</v>
      </c>
      <c r="K411" s="106" t="s">
        <v>1659</v>
      </c>
      <c r="L411" s="106" t="s">
        <v>1788</v>
      </c>
      <c r="M411" s="106"/>
      <c r="N411" s="155" t="s">
        <v>38</v>
      </c>
      <c r="O411" s="155" t="s">
        <v>943</v>
      </c>
      <c r="P411" s="155" t="s">
        <v>22</v>
      </c>
      <c r="Q411" s="155" t="s">
        <v>944</v>
      </c>
      <c r="R411" s="106" t="s">
        <v>1017</v>
      </c>
      <c r="S411" s="155"/>
      <c r="T411" s="155"/>
      <c r="U411" s="155"/>
      <c r="V411" s="155"/>
    </row>
    <row r="412" spans="2:22" ht="78.75">
      <c r="B412" s="318"/>
      <c r="C412" s="314"/>
      <c r="D412" s="314"/>
      <c r="E412" s="314"/>
      <c r="F412" s="314"/>
      <c r="G412" s="314"/>
      <c r="H412" s="314"/>
      <c r="I412" s="314"/>
      <c r="J412" s="76" t="s">
        <v>750</v>
      </c>
      <c r="K412" s="106" t="s">
        <v>1660</v>
      </c>
      <c r="L412" s="106" t="s">
        <v>1887</v>
      </c>
      <c r="M412" s="106"/>
      <c r="N412" s="155" t="s">
        <v>38</v>
      </c>
      <c r="O412" s="155" t="s">
        <v>943</v>
      </c>
      <c r="P412" s="155" t="s">
        <v>22</v>
      </c>
      <c r="Q412" s="155" t="s">
        <v>944</v>
      </c>
      <c r="R412" s="106" t="s">
        <v>945</v>
      </c>
      <c r="S412" s="155"/>
      <c r="T412" s="155"/>
      <c r="U412" s="155"/>
      <c r="V412" s="155"/>
    </row>
    <row r="413" spans="2:22" ht="31.5">
      <c r="B413" s="318"/>
      <c r="C413" s="314"/>
      <c r="D413" s="314"/>
      <c r="E413" s="314"/>
      <c r="F413" s="314"/>
      <c r="G413" s="314"/>
      <c r="H413" s="314"/>
      <c r="I413" s="314"/>
      <c r="J413" s="76" t="s">
        <v>751</v>
      </c>
      <c r="K413" s="106" t="s">
        <v>1659</v>
      </c>
      <c r="L413" s="106" t="s">
        <v>752</v>
      </c>
      <c r="M413" s="106"/>
      <c r="N413" s="155" t="s">
        <v>38</v>
      </c>
      <c r="O413" s="155" t="s">
        <v>943</v>
      </c>
      <c r="P413" s="155" t="s">
        <v>944</v>
      </c>
      <c r="Q413" s="155" t="s">
        <v>944</v>
      </c>
      <c r="R413" s="106" t="s">
        <v>945</v>
      </c>
      <c r="S413" s="155"/>
      <c r="T413" s="155"/>
      <c r="U413" s="155"/>
      <c r="V413" s="155"/>
    </row>
    <row r="414" spans="2:22" ht="31.5">
      <c r="B414" s="318"/>
      <c r="C414" s="314"/>
      <c r="D414" s="314"/>
      <c r="E414" s="314"/>
      <c r="F414" s="314"/>
      <c r="G414" s="314"/>
      <c r="H414" s="314"/>
      <c r="I414" s="314"/>
      <c r="J414" s="76" t="s">
        <v>753</v>
      </c>
      <c r="K414" s="106" t="s">
        <v>1660</v>
      </c>
      <c r="L414" s="106" t="s">
        <v>752</v>
      </c>
      <c r="M414" s="106"/>
      <c r="N414" s="155" t="s">
        <v>38</v>
      </c>
      <c r="O414" s="155" t="s">
        <v>943</v>
      </c>
      <c r="P414" s="155" t="s">
        <v>944</v>
      </c>
      <c r="Q414" s="155" t="s">
        <v>944</v>
      </c>
      <c r="R414" s="106" t="s">
        <v>945</v>
      </c>
      <c r="S414" s="155"/>
      <c r="T414" s="155"/>
      <c r="U414" s="155"/>
      <c r="V414" s="155"/>
    </row>
    <row r="415" spans="2:22" ht="63">
      <c r="B415" s="318"/>
      <c r="C415" s="314"/>
      <c r="D415" s="314"/>
      <c r="E415" s="314"/>
      <c r="F415" s="314"/>
      <c r="G415" s="314"/>
      <c r="H415" s="314"/>
      <c r="I415" s="314"/>
      <c r="J415" s="76" t="s">
        <v>754</v>
      </c>
      <c r="K415" s="106" t="s">
        <v>1659</v>
      </c>
      <c r="L415" s="106" t="s">
        <v>1789</v>
      </c>
      <c r="M415" s="106"/>
      <c r="N415" s="155" t="s">
        <v>38</v>
      </c>
      <c r="O415" s="155" t="s">
        <v>943</v>
      </c>
      <c r="P415" s="155" t="s">
        <v>22</v>
      </c>
      <c r="Q415" s="155" t="s">
        <v>944</v>
      </c>
      <c r="R415" s="106" t="s">
        <v>1017</v>
      </c>
      <c r="S415" s="155"/>
      <c r="T415" s="155"/>
      <c r="U415" s="155"/>
      <c r="V415" s="155"/>
    </row>
    <row r="416" spans="2:22" ht="78.75">
      <c r="B416" s="318"/>
      <c r="C416" s="314"/>
      <c r="D416" s="314"/>
      <c r="E416" s="314"/>
      <c r="F416" s="314"/>
      <c r="G416" s="314"/>
      <c r="H416" s="314"/>
      <c r="I416" s="314"/>
      <c r="J416" s="76" t="s">
        <v>755</v>
      </c>
      <c r="K416" s="106" t="s">
        <v>1660</v>
      </c>
      <c r="L416" s="106" t="s">
        <v>1888</v>
      </c>
      <c r="M416" s="106"/>
      <c r="N416" s="155" t="s">
        <v>38</v>
      </c>
      <c r="O416" s="155" t="s">
        <v>943</v>
      </c>
      <c r="P416" s="155" t="s">
        <v>22</v>
      </c>
      <c r="Q416" s="155" t="s">
        <v>944</v>
      </c>
      <c r="R416" s="106" t="s">
        <v>945</v>
      </c>
      <c r="S416" s="155"/>
      <c r="T416" s="155"/>
      <c r="U416" s="155"/>
      <c r="V416" s="155"/>
    </row>
    <row r="417" spans="2:22" ht="31.5">
      <c r="B417" s="318"/>
      <c r="C417" s="314"/>
      <c r="D417" s="314"/>
      <c r="E417" s="314"/>
      <c r="F417" s="314"/>
      <c r="G417" s="314"/>
      <c r="H417" s="314"/>
      <c r="I417" s="314"/>
      <c r="J417" s="76" t="s">
        <v>756</v>
      </c>
      <c r="K417" s="106" t="s">
        <v>1659</v>
      </c>
      <c r="L417" s="106" t="s">
        <v>757</v>
      </c>
      <c r="M417" s="106"/>
      <c r="N417" s="155" t="s">
        <v>38</v>
      </c>
      <c r="O417" s="155" t="s">
        <v>943</v>
      </c>
      <c r="P417" s="155" t="s">
        <v>944</v>
      </c>
      <c r="Q417" s="155" t="s">
        <v>944</v>
      </c>
      <c r="R417" s="106" t="s">
        <v>945</v>
      </c>
      <c r="S417" s="155"/>
      <c r="T417" s="155"/>
      <c r="U417" s="155"/>
      <c r="V417" s="155"/>
    </row>
    <row r="418" spans="2:22" ht="31.5">
      <c r="B418" s="318"/>
      <c r="C418" s="314"/>
      <c r="D418" s="314"/>
      <c r="E418" s="314"/>
      <c r="F418" s="314"/>
      <c r="G418" s="314"/>
      <c r="H418" s="314"/>
      <c r="I418" s="314"/>
      <c r="J418" s="76" t="s">
        <v>758</v>
      </c>
      <c r="K418" s="106" t="s">
        <v>1660</v>
      </c>
      <c r="L418" s="106" t="s">
        <v>757</v>
      </c>
      <c r="M418" s="106"/>
      <c r="N418" s="155" t="s">
        <v>38</v>
      </c>
      <c r="O418" s="155" t="s">
        <v>943</v>
      </c>
      <c r="P418" s="155" t="s">
        <v>944</v>
      </c>
      <c r="Q418" s="155" t="s">
        <v>944</v>
      </c>
      <c r="R418" s="106" t="s">
        <v>945</v>
      </c>
      <c r="S418" s="155"/>
      <c r="T418" s="155"/>
      <c r="U418" s="155"/>
      <c r="V418" s="155"/>
    </row>
    <row r="419" spans="2:22" ht="63">
      <c r="B419" s="318"/>
      <c r="C419" s="314"/>
      <c r="D419" s="314"/>
      <c r="E419" s="314"/>
      <c r="F419" s="314"/>
      <c r="G419" s="314"/>
      <c r="H419" s="314"/>
      <c r="I419" s="314"/>
      <c r="J419" s="76" t="s">
        <v>759</v>
      </c>
      <c r="K419" s="106" t="s">
        <v>1659</v>
      </c>
      <c r="L419" s="106" t="s">
        <v>1790</v>
      </c>
      <c r="M419" s="106"/>
      <c r="N419" s="155" t="s">
        <v>38</v>
      </c>
      <c r="O419" s="155" t="s">
        <v>943</v>
      </c>
      <c r="P419" s="155" t="s">
        <v>22</v>
      </c>
      <c r="Q419" s="155" t="s">
        <v>944</v>
      </c>
      <c r="R419" s="106" t="s">
        <v>1017</v>
      </c>
      <c r="S419" s="155"/>
      <c r="T419" s="155"/>
      <c r="U419" s="155"/>
      <c r="V419" s="155"/>
    </row>
    <row r="420" spans="2:22" ht="78.75">
      <c r="B420" s="318"/>
      <c r="C420" s="314"/>
      <c r="D420" s="314"/>
      <c r="E420" s="314"/>
      <c r="F420" s="314"/>
      <c r="G420" s="314"/>
      <c r="H420" s="314"/>
      <c r="I420" s="314"/>
      <c r="J420" s="76" t="s">
        <v>760</v>
      </c>
      <c r="K420" s="106" t="s">
        <v>1660</v>
      </c>
      <c r="L420" s="106" t="s">
        <v>1889</v>
      </c>
      <c r="M420" s="106"/>
      <c r="N420" s="155" t="s">
        <v>38</v>
      </c>
      <c r="O420" s="155" t="s">
        <v>943</v>
      </c>
      <c r="P420" s="155" t="s">
        <v>22</v>
      </c>
      <c r="Q420" s="155" t="s">
        <v>944</v>
      </c>
      <c r="R420" s="106" t="s">
        <v>945</v>
      </c>
      <c r="S420" s="155"/>
      <c r="T420" s="155"/>
      <c r="U420" s="155"/>
      <c r="V420" s="155"/>
    </row>
    <row r="421" spans="2:22" ht="31.5">
      <c r="B421" s="318"/>
      <c r="C421" s="314"/>
      <c r="D421" s="314"/>
      <c r="E421" s="314"/>
      <c r="F421" s="314"/>
      <c r="G421" s="314"/>
      <c r="H421" s="314"/>
      <c r="I421" s="314"/>
      <c r="J421" s="76" t="s">
        <v>761</v>
      </c>
      <c r="K421" s="106" t="s">
        <v>1659</v>
      </c>
      <c r="L421" s="106" t="s">
        <v>762</v>
      </c>
      <c r="M421" s="106"/>
      <c r="N421" s="155" t="s">
        <v>38</v>
      </c>
      <c r="O421" s="155" t="s">
        <v>943</v>
      </c>
      <c r="P421" s="155" t="s">
        <v>944</v>
      </c>
      <c r="Q421" s="155" t="s">
        <v>944</v>
      </c>
      <c r="R421" s="106" t="s">
        <v>945</v>
      </c>
      <c r="S421" s="155"/>
      <c r="T421" s="155"/>
      <c r="U421" s="155"/>
      <c r="V421" s="155"/>
    </row>
    <row r="422" spans="2:22" ht="31.5">
      <c r="B422" s="318"/>
      <c r="C422" s="314"/>
      <c r="D422" s="314"/>
      <c r="E422" s="314"/>
      <c r="F422" s="314"/>
      <c r="G422" s="314"/>
      <c r="H422" s="314"/>
      <c r="I422" s="314"/>
      <c r="J422" s="76" t="s">
        <v>763</v>
      </c>
      <c r="K422" s="106" t="s">
        <v>1660</v>
      </c>
      <c r="L422" s="106" t="s">
        <v>762</v>
      </c>
      <c r="M422" s="106"/>
      <c r="N422" s="155" t="s">
        <v>38</v>
      </c>
      <c r="O422" s="155" t="s">
        <v>943</v>
      </c>
      <c r="P422" s="155" t="s">
        <v>944</v>
      </c>
      <c r="Q422" s="155" t="s">
        <v>944</v>
      </c>
      <c r="R422" s="106" t="s">
        <v>945</v>
      </c>
      <c r="S422" s="155"/>
      <c r="T422" s="155"/>
      <c r="U422" s="155"/>
      <c r="V422" s="155"/>
    </row>
    <row r="423" spans="2:22" ht="78.75">
      <c r="B423" s="318"/>
      <c r="C423" s="314"/>
      <c r="D423" s="314"/>
      <c r="E423" s="314"/>
      <c r="F423" s="314"/>
      <c r="G423" s="314"/>
      <c r="H423" s="314"/>
      <c r="I423" s="314"/>
      <c r="J423" s="76" t="s">
        <v>764</v>
      </c>
      <c r="K423" s="106" t="s">
        <v>1659</v>
      </c>
      <c r="L423" s="106" t="s">
        <v>1890</v>
      </c>
      <c r="M423" s="106"/>
      <c r="N423" s="155" t="s">
        <v>38</v>
      </c>
      <c r="O423" s="155" t="s">
        <v>943</v>
      </c>
      <c r="P423" s="155" t="s">
        <v>22</v>
      </c>
      <c r="Q423" s="155" t="s">
        <v>944</v>
      </c>
      <c r="R423" s="106" t="s">
        <v>1017</v>
      </c>
      <c r="S423" s="155"/>
      <c r="T423" s="155"/>
      <c r="U423" s="155"/>
      <c r="V423" s="155"/>
    </row>
    <row r="424" spans="2:22" ht="78.75">
      <c r="B424" s="318"/>
      <c r="C424" s="314"/>
      <c r="D424" s="314"/>
      <c r="E424" s="314"/>
      <c r="F424" s="314"/>
      <c r="G424" s="314"/>
      <c r="H424" s="314"/>
      <c r="I424" s="314"/>
      <c r="J424" s="76" t="s">
        <v>765</v>
      </c>
      <c r="K424" s="106" t="s">
        <v>1660</v>
      </c>
      <c r="L424" s="106" t="s">
        <v>1890</v>
      </c>
      <c r="M424" s="106"/>
      <c r="N424" s="155" t="s">
        <v>38</v>
      </c>
      <c r="O424" s="155" t="s">
        <v>943</v>
      </c>
      <c r="P424" s="155" t="s">
        <v>22</v>
      </c>
      <c r="Q424" s="155" t="s">
        <v>944</v>
      </c>
      <c r="R424" s="106" t="s">
        <v>945</v>
      </c>
      <c r="S424" s="155"/>
      <c r="T424" s="155"/>
      <c r="U424" s="155"/>
      <c r="V424" s="155"/>
    </row>
    <row r="425" spans="2:22" ht="31.5">
      <c r="B425" s="318"/>
      <c r="C425" s="314"/>
      <c r="D425" s="314"/>
      <c r="E425" s="314"/>
      <c r="F425" s="314"/>
      <c r="G425" s="314"/>
      <c r="H425" s="314"/>
      <c r="I425" s="314"/>
      <c r="J425" s="76" t="s">
        <v>766</v>
      </c>
      <c r="K425" s="106" t="s">
        <v>1659</v>
      </c>
      <c r="L425" s="106" t="s">
        <v>767</v>
      </c>
      <c r="M425" s="106"/>
      <c r="N425" s="155" t="s">
        <v>38</v>
      </c>
      <c r="O425" s="155" t="s">
        <v>943</v>
      </c>
      <c r="P425" s="155" t="s">
        <v>944</v>
      </c>
      <c r="Q425" s="155" t="s">
        <v>944</v>
      </c>
      <c r="R425" s="106" t="s">
        <v>945</v>
      </c>
      <c r="S425" s="155"/>
      <c r="T425" s="155"/>
      <c r="U425" s="155"/>
      <c r="V425" s="155"/>
    </row>
    <row r="426" spans="2:22" ht="31.5">
      <c r="B426" s="318"/>
      <c r="C426" s="314"/>
      <c r="D426" s="314"/>
      <c r="E426" s="314"/>
      <c r="F426" s="314"/>
      <c r="G426" s="314"/>
      <c r="H426" s="314"/>
      <c r="I426" s="314"/>
      <c r="J426" s="76" t="s">
        <v>768</v>
      </c>
      <c r="K426" s="106" t="s">
        <v>1660</v>
      </c>
      <c r="L426" s="106" t="s">
        <v>767</v>
      </c>
      <c r="M426" s="106"/>
      <c r="N426" s="155" t="s">
        <v>38</v>
      </c>
      <c r="O426" s="155" t="s">
        <v>943</v>
      </c>
      <c r="P426" s="155" t="s">
        <v>944</v>
      </c>
      <c r="Q426" s="155" t="s">
        <v>944</v>
      </c>
      <c r="R426" s="106" t="s">
        <v>945</v>
      </c>
      <c r="S426" s="155"/>
      <c r="T426" s="155"/>
      <c r="U426" s="155"/>
      <c r="V426" s="155"/>
    </row>
    <row r="427" spans="2:22" ht="78.75">
      <c r="B427" s="318"/>
      <c r="C427" s="314"/>
      <c r="D427" s="314"/>
      <c r="E427" s="314"/>
      <c r="F427" s="314"/>
      <c r="G427" s="314"/>
      <c r="H427" s="314"/>
      <c r="I427" s="314"/>
      <c r="J427" s="76" t="s">
        <v>769</v>
      </c>
      <c r="K427" s="106" t="s">
        <v>1659</v>
      </c>
      <c r="L427" s="106" t="s">
        <v>1891</v>
      </c>
      <c r="M427" s="106"/>
      <c r="N427" s="155" t="s">
        <v>38</v>
      </c>
      <c r="O427" s="155" t="s">
        <v>943</v>
      </c>
      <c r="P427" s="155" t="s">
        <v>22</v>
      </c>
      <c r="Q427" s="155" t="s">
        <v>944</v>
      </c>
      <c r="R427" s="106" t="s">
        <v>1017</v>
      </c>
      <c r="S427" s="155"/>
      <c r="T427" s="155"/>
      <c r="U427" s="155"/>
      <c r="V427" s="155"/>
    </row>
    <row r="428" spans="2:22" ht="78.75">
      <c r="B428" s="318"/>
      <c r="C428" s="314"/>
      <c r="D428" s="314"/>
      <c r="E428" s="314"/>
      <c r="F428" s="314"/>
      <c r="G428" s="314"/>
      <c r="H428" s="314"/>
      <c r="I428" s="314"/>
      <c r="J428" s="76" t="s">
        <v>770</v>
      </c>
      <c r="K428" s="106" t="s">
        <v>1660</v>
      </c>
      <c r="L428" s="106" t="s">
        <v>1891</v>
      </c>
      <c r="M428" s="106"/>
      <c r="N428" s="155" t="s">
        <v>38</v>
      </c>
      <c r="O428" s="155" t="s">
        <v>943</v>
      </c>
      <c r="P428" s="155" t="s">
        <v>22</v>
      </c>
      <c r="Q428" s="155" t="s">
        <v>944</v>
      </c>
      <c r="R428" s="106" t="s">
        <v>945</v>
      </c>
      <c r="S428" s="155"/>
      <c r="T428" s="155"/>
      <c r="U428" s="155"/>
      <c r="V428" s="155"/>
    </row>
    <row r="429" spans="2:22" ht="31.5">
      <c r="B429" s="318"/>
      <c r="C429" s="314"/>
      <c r="D429" s="314"/>
      <c r="E429" s="314"/>
      <c r="F429" s="314"/>
      <c r="G429" s="314"/>
      <c r="H429" s="314"/>
      <c r="I429" s="314"/>
      <c r="J429" s="76" t="s">
        <v>771</v>
      </c>
      <c r="K429" s="106" t="s">
        <v>1659</v>
      </c>
      <c r="L429" s="106" t="s">
        <v>772</v>
      </c>
      <c r="M429" s="106"/>
      <c r="N429" s="155" t="s">
        <v>38</v>
      </c>
      <c r="O429" s="155" t="s">
        <v>943</v>
      </c>
      <c r="P429" s="155" t="s">
        <v>944</v>
      </c>
      <c r="Q429" s="155" t="s">
        <v>944</v>
      </c>
      <c r="R429" s="106" t="s">
        <v>945</v>
      </c>
      <c r="S429" s="155"/>
      <c r="T429" s="155"/>
      <c r="U429" s="155"/>
      <c r="V429" s="155"/>
    </row>
    <row r="430" spans="2:22" ht="31.5">
      <c r="B430" s="319"/>
      <c r="C430" s="315"/>
      <c r="D430" s="315"/>
      <c r="E430" s="315"/>
      <c r="F430" s="315"/>
      <c r="G430" s="315"/>
      <c r="H430" s="315"/>
      <c r="I430" s="315"/>
      <c r="J430" s="76" t="s">
        <v>773</v>
      </c>
      <c r="K430" s="106" t="s">
        <v>1660</v>
      </c>
      <c r="L430" s="106" t="s">
        <v>772</v>
      </c>
      <c r="M430" s="106"/>
      <c r="N430" s="155" t="s">
        <v>38</v>
      </c>
      <c r="O430" s="155" t="s">
        <v>943</v>
      </c>
      <c r="P430" s="155" t="s">
        <v>944</v>
      </c>
      <c r="Q430" s="155" t="s">
        <v>944</v>
      </c>
      <c r="R430" s="106" t="s">
        <v>945</v>
      </c>
      <c r="S430" s="155"/>
      <c r="T430" s="155"/>
      <c r="U430" s="155"/>
      <c r="V430" s="155"/>
    </row>
    <row r="431" spans="2:22" ht="18.75" customHeight="1">
      <c r="B431" s="317" t="s">
        <v>774</v>
      </c>
      <c r="C431" s="313" t="s">
        <v>16</v>
      </c>
      <c r="D431" s="313" t="s">
        <v>504</v>
      </c>
      <c r="E431" s="313" t="s">
        <v>505</v>
      </c>
      <c r="F431" s="313" t="s">
        <v>1987</v>
      </c>
      <c r="G431" s="313" t="s">
        <v>1988</v>
      </c>
      <c r="H431" s="324"/>
      <c r="I431" s="313"/>
      <c r="J431" s="76" t="s">
        <v>775</v>
      </c>
      <c r="K431" s="106" t="s">
        <v>1659</v>
      </c>
      <c r="L431" s="106" t="s">
        <v>1691</v>
      </c>
      <c r="M431" s="106"/>
      <c r="N431" s="155" t="s">
        <v>38</v>
      </c>
      <c r="O431" s="155" t="s">
        <v>943</v>
      </c>
      <c r="P431" s="155" t="s">
        <v>944</v>
      </c>
      <c r="Q431" s="155" t="s">
        <v>944</v>
      </c>
      <c r="R431" s="106" t="s">
        <v>1017</v>
      </c>
      <c r="S431" s="155"/>
      <c r="T431" s="155"/>
      <c r="U431" s="155"/>
      <c r="V431" s="155"/>
    </row>
    <row r="432" spans="2:22" ht="31.5">
      <c r="B432" s="318"/>
      <c r="C432" s="314"/>
      <c r="D432" s="314"/>
      <c r="E432" s="314"/>
      <c r="F432" s="314"/>
      <c r="G432" s="314"/>
      <c r="H432" s="325"/>
      <c r="I432" s="314"/>
      <c r="J432" s="76" t="s">
        <v>776</v>
      </c>
      <c r="K432" s="106" t="s">
        <v>1660</v>
      </c>
      <c r="L432" s="106" t="s">
        <v>1691</v>
      </c>
      <c r="M432" s="106"/>
      <c r="N432" s="155" t="s">
        <v>38</v>
      </c>
      <c r="O432" s="155" t="s">
        <v>943</v>
      </c>
      <c r="P432" s="155" t="s">
        <v>944</v>
      </c>
      <c r="Q432" s="155" t="s">
        <v>944</v>
      </c>
      <c r="R432" s="106" t="s">
        <v>1017</v>
      </c>
      <c r="S432" s="155"/>
      <c r="T432" s="155"/>
      <c r="U432" s="155"/>
      <c r="V432" s="155"/>
    </row>
    <row r="433" spans="2:22" ht="47.25">
      <c r="B433" s="318"/>
      <c r="C433" s="314"/>
      <c r="D433" s="314"/>
      <c r="E433" s="314"/>
      <c r="F433" s="314"/>
      <c r="G433" s="314"/>
      <c r="H433" s="325"/>
      <c r="I433" s="314"/>
      <c r="J433" s="76" t="s">
        <v>777</v>
      </c>
      <c r="K433" s="106" t="s">
        <v>1659</v>
      </c>
      <c r="L433" s="106" t="s">
        <v>1892</v>
      </c>
      <c r="M433" s="106"/>
      <c r="N433" s="155" t="s">
        <v>38</v>
      </c>
      <c r="O433" s="155" t="s">
        <v>943</v>
      </c>
      <c r="P433" s="155" t="s">
        <v>944</v>
      </c>
      <c r="Q433" s="155" t="s">
        <v>944</v>
      </c>
      <c r="R433" s="106" t="s">
        <v>1017</v>
      </c>
      <c r="S433" s="155"/>
      <c r="T433" s="155"/>
      <c r="U433" s="155"/>
      <c r="V433" s="155"/>
    </row>
    <row r="434" spans="2:22" ht="47.25">
      <c r="B434" s="318"/>
      <c r="C434" s="314"/>
      <c r="D434" s="314"/>
      <c r="E434" s="314"/>
      <c r="F434" s="314"/>
      <c r="G434" s="314"/>
      <c r="H434" s="325"/>
      <c r="I434" s="314"/>
      <c r="J434" s="76" t="s">
        <v>778</v>
      </c>
      <c r="K434" s="106" t="s">
        <v>1660</v>
      </c>
      <c r="L434" s="106" t="s">
        <v>1892</v>
      </c>
      <c r="M434" s="106"/>
      <c r="N434" s="155" t="s">
        <v>38</v>
      </c>
      <c r="O434" s="155" t="s">
        <v>943</v>
      </c>
      <c r="P434" s="155" t="s">
        <v>944</v>
      </c>
      <c r="Q434" s="155" t="s">
        <v>944</v>
      </c>
      <c r="R434" s="106" t="s">
        <v>1017</v>
      </c>
      <c r="S434" s="155"/>
      <c r="T434" s="155"/>
      <c r="U434" s="155"/>
      <c r="V434" s="155"/>
    </row>
    <row r="435" spans="2:22" ht="31.5">
      <c r="B435" s="318"/>
      <c r="C435" s="314"/>
      <c r="D435" s="314"/>
      <c r="E435" s="314"/>
      <c r="F435" s="314"/>
      <c r="G435" s="314"/>
      <c r="H435" s="325"/>
      <c r="I435" s="314"/>
      <c r="J435" s="76" t="s">
        <v>779</v>
      </c>
      <c r="K435" s="106" t="s">
        <v>1659</v>
      </c>
      <c r="L435" s="106" t="s">
        <v>780</v>
      </c>
      <c r="M435" s="106"/>
      <c r="N435" s="155" t="s">
        <v>38</v>
      </c>
      <c r="O435" s="155" t="s">
        <v>943</v>
      </c>
      <c r="P435" s="155" t="s">
        <v>944</v>
      </c>
      <c r="Q435" s="155" t="s">
        <v>944</v>
      </c>
      <c r="R435" s="106" t="s">
        <v>1017</v>
      </c>
      <c r="S435" s="155"/>
      <c r="T435" s="155"/>
      <c r="U435" s="155"/>
      <c r="V435" s="155"/>
    </row>
    <row r="436" spans="2:22" ht="31.5">
      <c r="B436" s="318"/>
      <c r="C436" s="314"/>
      <c r="D436" s="314"/>
      <c r="E436" s="314"/>
      <c r="F436" s="314"/>
      <c r="G436" s="314"/>
      <c r="H436" s="325"/>
      <c r="I436" s="314"/>
      <c r="J436" s="76" t="s">
        <v>781</v>
      </c>
      <c r="K436" s="106" t="s">
        <v>1660</v>
      </c>
      <c r="L436" s="106" t="s">
        <v>780</v>
      </c>
      <c r="M436" s="106"/>
      <c r="N436" s="155" t="s">
        <v>38</v>
      </c>
      <c r="O436" s="155" t="s">
        <v>943</v>
      </c>
      <c r="P436" s="155" t="s">
        <v>944</v>
      </c>
      <c r="Q436" s="155" t="s">
        <v>944</v>
      </c>
      <c r="R436" s="106" t="s">
        <v>1017</v>
      </c>
      <c r="S436" s="155"/>
      <c r="T436" s="155"/>
      <c r="U436" s="155"/>
      <c r="V436" s="155"/>
    </row>
    <row r="437" spans="2:22" ht="47.25">
      <c r="B437" s="318"/>
      <c r="C437" s="314"/>
      <c r="D437" s="314"/>
      <c r="E437" s="314"/>
      <c r="F437" s="314"/>
      <c r="G437" s="314"/>
      <c r="H437" s="325"/>
      <c r="I437" s="314"/>
      <c r="J437" s="76" t="s">
        <v>782</v>
      </c>
      <c r="K437" s="106" t="s">
        <v>1659</v>
      </c>
      <c r="L437" s="106" t="s">
        <v>1893</v>
      </c>
      <c r="M437" s="106"/>
      <c r="N437" s="155" t="s">
        <v>38</v>
      </c>
      <c r="O437" s="155" t="s">
        <v>943</v>
      </c>
      <c r="P437" s="155" t="s">
        <v>944</v>
      </c>
      <c r="Q437" s="155" t="s">
        <v>944</v>
      </c>
      <c r="R437" s="106" t="s">
        <v>1017</v>
      </c>
      <c r="S437" s="155"/>
      <c r="T437" s="155"/>
      <c r="U437" s="155"/>
      <c r="V437" s="155"/>
    </row>
    <row r="438" spans="2:22" ht="47.25">
      <c r="B438" s="318"/>
      <c r="C438" s="314"/>
      <c r="D438" s="314"/>
      <c r="E438" s="314"/>
      <c r="F438" s="314"/>
      <c r="G438" s="314"/>
      <c r="H438" s="325"/>
      <c r="I438" s="314"/>
      <c r="J438" s="76" t="s">
        <v>783</v>
      </c>
      <c r="K438" s="106" t="s">
        <v>1660</v>
      </c>
      <c r="L438" s="106" t="s">
        <v>1894</v>
      </c>
      <c r="M438" s="106"/>
      <c r="N438" s="155" t="s">
        <v>38</v>
      </c>
      <c r="O438" s="155" t="s">
        <v>943</v>
      </c>
      <c r="P438" s="155" t="s">
        <v>944</v>
      </c>
      <c r="Q438" s="155" t="s">
        <v>944</v>
      </c>
      <c r="R438" s="106" t="s">
        <v>1017</v>
      </c>
      <c r="S438" s="155"/>
      <c r="T438" s="155"/>
      <c r="U438" s="155"/>
      <c r="V438" s="155"/>
    </row>
    <row r="439" spans="2:22" ht="31.5">
      <c r="B439" s="318"/>
      <c r="C439" s="314"/>
      <c r="D439" s="314"/>
      <c r="E439" s="314"/>
      <c r="F439" s="314"/>
      <c r="G439" s="314"/>
      <c r="H439" s="325"/>
      <c r="I439" s="314"/>
      <c r="J439" s="76" t="s">
        <v>784</v>
      </c>
      <c r="K439" s="106" t="s">
        <v>1659</v>
      </c>
      <c r="L439" s="106" t="s">
        <v>1527</v>
      </c>
      <c r="M439" s="106"/>
      <c r="N439" s="155" t="s">
        <v>38</v>
      </c>
      <c r="O439" s="155" t="s">
        <v>943</v>
      </c>
      <c r="P439" s="155" t="s">
        <v>22</v>
      </c>
      <c r="Q439" s="155" t="s">
        <v>22</v>
      </c>
      <c r="R439" s="106" t="s">
        <v>1017</v>
      </c>
      <c r="S439" s="155"/>
      <c r="T439" s="155"/>
      <c r="U439" s="155"/>
      <c r="V439" s="155"/>
    </row>
    <row r="440" spans="2:22" ht="31.5">
      <c r="B440" s="318"/>
      <c r="C440" s="314"/>
      <c r="D440" s="314"/>
      <c r="E440" s="314"/>
      <c r="F440" s="314"/>
      <c r="G440" s="314"/>
      <c r="H440" s="325"/>
      <c r="I440" s="314"/>
      <c r="J440" s="76" t="s">
        <v>785</v>
      </c>
      <c r="K440" s="106" t="s">
        <v>1660</v>
      </c>
      <c r="L440" s="106" t="s">
        <v>1527</v>
      </c>
      <c r="M440" s="106"/>
      <c r="N440" s="155" t="s">
        <v>38</v>
      </c>
      <c r="O440" s="155" t="s">
        <v>943</v>
      </c>
      <c r="P440" s="155" t="s">
        <v>22</v>
      </c>
      <c r="Q440" s="155" t="s">
        <v>22</v>
      </c>
      <c r="R440" s="106" t="s">
        <v>1017</v>
      </c>
      <c r="S440" s="155"/>
      <c r="T440" s="155"/>
      <c r="U440" s="155"/>
      <c r="V440" s="155"/>
    </row>
    <row r="441" spans="2:22" ht="94.5">
      <c r="B441" s="318"/>
      <c r="C441" s="314"/>
      <c r="D441" s="314"/>
      <c r="E441" s="314"/>
      <c r="F441" s="314"/>
      <c r="G441" s="314"/>
      <c r="H441" s="325"/>
      <c r="I441" s="314"/>
      <c r="J441" s="76" t="s">
        <v>786</v>
      </c>
      <c r="K441" s="106" t="s">
        <v>1659</v>
      </c>
      <c r="L441" s="106" t="s">
        <v>1989</v>
      </c>
      <c r="M441" s="106"/>
      <c r="N441" s="155" t="s">
        <v>38</v>
      </c>
      <c r="O441" s="155" t="s">
        <v>943</v>
      </c>
      <c r="P441" s="155" t="s">
        <v>22</v>
      </c>
      <c r="Q441" s="155" t="s">
        <v>22</v>
      </c>
      <c r="R441" s="106" t="s">
        <v>1017</v>
      </c>
      <c r="S441" s="155"/>
      <c r="T441" s="155"/>
      <c r="U441" s="155"/>
      <c r="V441" s="155"/>
    </row>
    <row r="442" spans="2:22" ht="94.5">
      <c r="B442" s="318"/>
      <c r="C442" s="314"/>
      <c r="D442" s="314"/>
      <c r="E442" s="314"/>
      <c r="F442" s="314"/>
      <c r="G442" s="314"/>
      <c r="H442" s="325"/>
      <c r="I442" s="314"/>
      <c r="J442" s="76" t="s">
        <v>787</v>
      </c>
      <c r="K442" s="106" t="s">
        <v>1660</v>
      </c>
      <c r="L442" s="106" t="s">
        <v>1989</v>
      </c>
      <c r="M442" s="106"/>
      <c r="N442" s="155" t="s">
        <v>38</v>
      </c>
      <c r="O442" s="155" t="s">
        <v>943</v>
      </c>
      <c r="P442" s="155" t="s">
        <v>22</v>
      </c>
      <c r="Q442" s="155" t="s">
        <v>22</v>
      </c>
      <c r="R442" s="106" t="s">
        <v>1017</v>
      </c>
      <c r="S442" s="155"/>
      <c r="T442" s="155"/>
      <c r="U442" s="155"/>
      <c r="V442" s="155"/>
    </row>
    <row r="443" spans="2:22" ht="31.5">
      <c r="B443" s="318"/>
      <c r="C443" s="314"/>
      <c r="D443" s="314"/>
      <c r="E443" s="314"/>
      <c r="F443" s="314"/>
      <c r="G443" s="314"/>
      <c r="H443" s="325"/>
      <c r="I443" s="314"/>
      <c r="J443" s="76" t="s">
        <v>788</v>
      </c>
      <c r="K443" s="106" t="s">
        <v>1659</v>
      </c>
      <c r="L443" s="106" t="s">
        <v>1791</v>
      </c>
      <c r="M443" s="106"/>
      <c r="N443" s="155" t="s">
        <v>38</v>
      </c>
      <c r="O443" s="155" t="s">
        <v>943</v>
      </c>
      <c r="P443" s="155" t="s">
        <v>944</v>
      </c>
      <c r="Q443" s="155" t="s">
        <v>944</v>
      </c>
      <c r="R443" s="106" t="s">
        <v>1017</v>
      </c>
      <c r="S443" s="155"/>
      <c r="T443" s="155"/>
      <c r="U443" s="155"/>
      <c r="V443" s="155"/>
    </row>
    <row r="444" spans="2:22" ht="31.5">
      <c r="B444" s="318"/>
      <c r="C444" s="314"/>
      <c r="D444" s="314"/>
      <c r="E444" s="314"/>
      <c r="F444" s="314"/>
      <c r="G444" s="314"/>
      <c r="H444" s="325"/>
      <c r="I444" s="314"/>
      <c r="J444" s="76" t="s">
        <v>789</v>
      </c>
      <c r="K444" s="106" t="s">
        <v>1660</v>
      </c>
      <c r="L444" s="106" t="s">
        <v>1791</v>
      </c>
      <c r="M444" s="106"/>
      <c r="N444" s="155" t="s">
        <v>38</v>
      </c>
      <c r="O444" s="155" t="s">
        <v>943</v>
      </c>
      <c r="P444" s="155" t="s">
        <v>944</v>
      </c>
      <c r="Q444" s="155" t="s">
        <v>944</v>
      </c>
      <c r="R444" s="106" t="s">
        <v>1017</v>
      </c>
      <c r="S444" s="155"/>
      <c r="T444" s="155"/>
      <c r="U444" s="155"/>
      <c r="V444" s="155"/>
    </row>
    <row r="445" spans="2:22" ht="47.25">
      <c r="B445" s="318"/>
      <c r="C445" s="314"/>
      <c r="D445" s="314"/>
      <c r="E445" s="314"/>
      <c r="F445" s="314"/>
      <c r="G445" s="314"/>
      <c r="H445" s="325"/>
      <c r="I445" s="314"/>
      <c r="J445" s="76" t="s">
        <v>1528</v>
      </c>
      <c r="K445" s="106" t="s">
        <v>1659</v>
      </c>
      <c r="L445" s="106" t="s">
        <v>1922</v>
      </c>
      <c r="M445" s="106"/>
      <c r="N445" s="155" t="s">
        <v>38</v>
      </c>
      <c r="O445" s="155" t="s">
        <v>943</v>
      </c>
      <c r="P445" s="155" t="s">
        <v>22</v>
      </c>
      <c r="Q445" s="155" t="s">
        <v>22</v>
      </c>
      <c r="R445" s="106" t="s">
        <v>1017</v>
      </c>
      <c r="S445" s="155"/>
      <c r="T445" s="155"/>
      <c r="U445" s="155"/>
      <c r="V445" s="155"/>
    </row>
    <row r="446" spans="2:22" ht="47.25">
      <c r="B446" s="318"/>
      <c r="C446" s="314"/>
      <c r="D446" s="314"/>
      <c r="E446" s="314"/>
      <c r="F446" s="314"/>
      <c r="G446" s="314"/>
      <c r="H446" s="325"/>
      <c r="I446" s="314"/>
      <c r="J446" s="76" t="s">
        <v>790</v>
      </c>
      <c r="K446" s="106" t="s">
        <v>1660</v>
      </c>
      <c r="L446" s="106" t="s">
        <v>1922</v>
      </c>
      <c r="M446" s="106"/>
      <c r="N446" s="155" t="s">
        <v>38</v>
      </c>
      <c r="O446" s="155" t="s">
        <v>943</v>
      </c>
      <c r="P446" s="155" t="s">
        <v>22</v>
      </c>
      <c r="Q446" s="155" t="s">
        <v>22</v>
      </c>
      <c r="R446" s="106" t="s">
        <v>1017</v>
      </c>
      <c r="S446" s="155"/>
      <c r="T446" s="155"/>
      <c r="U446" s="155"/>
      <c r="V446" s="155"/>
    </row>
    <row r="447" spans="2:22" ht="63">
      <c r="B447" s="318"/>
      <c r="C447" s="314"/>
      <c r="D447" s="314"/>
      <c r="E447" s="314"/>
      <c r="F447" s="314"/>
      <c r="G447" s="314"/>
      <c r="H447" s="325"/>
      <c r="I447" s="314"/>
      <c r="J447" s="76" t="s">
        <v>1529</v>
      </c>
      <c r="K447" s="106" t="s">
        <v>1659</v>
      </c>
      <c r="L447" s="106" t="s">
        <v>1895</v>
      </c>
      <c r="M447" s="106"/>
      <c r="N447" s="155" t="s">
        <v>38</v>
      </c>
      <c r="O447" s="155" t="s">
        <v>943</v>
      </c>
      <c r="P447" s="155" t="s">
        <v>944</v>
      </c>
      <c r="Q447" s="155" t="s">
        <v>944</v>
      </c>
      <c r="R447" s="106" t="s">
        <v>1017</v>
      </c>
      <c r="S447" s="155"/>
      <c r="T447" s="155"/>
      <c r="U447" s="155"/>
      <c r="V447" s="155"/>
    </row>
    <row r="448" spans="2:22" ht="63">
      <c r="B448" s="318"/>
      <c r="C448" s="314"/>
      <c r="D448" s="314"/>
      <c r="E448" s="314"/>
      <c r="F448" s="314"/>
      <c r="G448" s="314"/>
      <c r="H448" s="325"/>
      <c r="I448" s="314"/>
      <c r="J448" s="76" t="s">
        <v>1530</v>
      </c>
      <c r="K448" s="106" t="s">
        <v>1660</v>
      </c>
      <c r="L448" s="106" t="s">
        <v>1895</v>
      </c>
      <c r="M448" s="106"/>
      <c r="N448" s="155" t="s">
        <v>38</v>
      </c>
      <c r="O448" s="155" t="s">
        <v>943</v>
      </c>
      <c r="P448" s="155" t="s">
        <v>944</v>
      </c>
      <c r="Q448" s="155" t="s">
        <v>944</v>
      </c>
      <c r="R448" s="106" t="s">
        <v>1017</v>
      </c>
      <c r="S448" s="155"/>
      <c r="T448" s="155"/>
      <c r="U448" s="155"/>
      <c r="V448" s="155"/>
    </row>
    <row r="449" spans="2:22" ht="63">
      <c r="B449" s="318"/>
      <c r="C449" s="314"/>
      <c r="D449" s="314"/>
      <c r="E449" s="314"/>
      <c r="F449" s="314"/>
      <c r="G449" s="314"/>
      <c r="H449" s="325"/>
      <c r="I449" s="314"/>
      <c r="J449" s="76" t="s">
        <v>1531</v>
      </c>
      <c r="K449" s="106" t="s">
        <v>1659</v>
      </c>
      <c r="L449" s="106" t="s">
        <v>1896</v>
      </c>
      <c r="M449" s="106"/>
      <c r="N449" s="155" t="s">
        <v>38</v>
      </c>
      <c r="O449" s="155" t="s">
        <v>943</v>
      </c>
      <c r="P449" s="155" t="s">
        <v>22</v>
      </c>
      <c r="Q449" s="155" t="s">
        <v>22</v>
      </c>
      <c r="R449" s="106" t="s">
        <v>1017</v>
      </c>
      <c r="S449" s="155"/>
      <c r="T449" s="155"/>
      <c r="U449" s="155"/>
      <c r="V449" s="155"/>
    </row>
    <row r="450" spans="2:22" ht="63">
      <c r="B450" s="318"/>
      <c r="C450" s="314"/>
      <c r="D450" s="314"/>
      <c r="E450" s="314"/>
      <c r="F450" s="314"/>
      <c r="G450" s="314"/>
      <c r="H450" s="325"/>
      <c r="I450" s="314"/>
      <c r="J450" s="76" t="s">
        <v>1532</v>
      </c>
      <c r="K450" s="106" t="s">
        <v>1660</v>
      </c>
      <c r="L450" s="106" t="s">
        <v>1896</v>
      </c>
      <c r="M450" s="106"/>
      <c r="N450" s="155" t="s">
        <v>38</v>
      </c>
      <c r="O450" s="155" t="s">
        <v>943</v>
      </c>
      <c r="P450" s="155" t="s">
        <v>22</v>
      </c>
      <c r="Q450" s="155" t="s">
        <v>22</v>
      </c>
      <c r="R450" s="106" t="s">
        <v>1017</v>
      </c>
      <c r="S450" s="155"/>
      <c r="T450" s="155"/>
      <c r="U450" s="155"/>
      <c r="V450" s="155"/>
    </row>
    <row r="451" spans="2:22" ht="63">
      <c r="B451" s="318"/>
      <c r="C451" s="314"/>
      <c r="D451" s="314"/>
      <c r="E451" s="314"/>
      <c r="F451" s="314"/>
      <c r="G451" s="314"/>
      <c r="H451" s="325"/>
      <c r="I451" s="314"/>
      <c r="J451" s="76" t="s">
        <v>1533</v>
      </c>
      <c r="K451" s="106" t="s">
        <v>1659</v>
      </c>
      <c r="L451" s="106" t="s">
        <v>1923</v>
      </c>
      <c r="M451" s="106"/>
      <c r="N451" s="155" t="s">
        <v>38</v>
      </c>
      <c r="O451" s="155" t="s">
        <v>943</v>
      </c>
      <c r="P451" s="155" t="s">
        <v>22</v>
      </c>
      <c r="Q451" s="155" t="s">
        <v>22</v>
      </c>
      <c r="R451" s="106" t="s">
        <v>1017</v>
      </c>
      <c r="S451" s="155"/>
      <c r="T451" s="155"/>
      <c r="U451" s="155"/>
      <c r="V451" s="155"/>
    </row>
    <row r="452" spans="2:22" ht="63">
      <c r="B452" s="319"/>
      <c r="C452" s="315"/>
      <c r="D452" s="315"/>
      <c r="E452" s="315"/>
      <c r="F452" s="315"/>
      <c r="G452" s="315"/>
      <c r="H452" s="326"/>
      <c r="I452" s="315"/>
      <c r="J452" s="76" t="s">
        <v>1534</v>
      </c>
      <c r="K452" s="106" t="s">
        <v>1660</v>
      </c>
      <c r="L452" s="106" t="s">
        <v>1923</v>
      </c>
      <c r="M452" s="106"/>
      <c r="N452" s="155" t="s">
        <v>38</v>
      </c>
      <c r="O452" s="155" t="s">
        <v>943</v>
      </c>
      <c r="P452" s="155" t="s">
        <v>22</v>
      </c>
      <c r="Q452" s="155" t="s">
        <v>22</v>
      </c>
      <c r="R452" s="106" t="s">
        <v>1017</v>
      </c>
      <c r="S452" s="155"/>
      <c r="T452" s="155"/>
      <c r="U452" s="155"/>
      <c r="V452" s="155"/>
    </row>
    <row r="453" spans="2:22" ht="47.25">
      <c r="B453" s="317" t="s">
        <v>791</v>
      </c>
      <c r="C453" s="313" t="s">
        <v>16</v>
      </c>
      <c r="D453" s="313" t="s">
        <v>792</v>
      </c>
      <c r="E453" s="313" t="s">
        <v>1707</v>
      </c>
      <c r="F453" s="313" t="s">
        <v>1990</v>
      </c>
      <c r="G453" s="313" t="s">
        <v>1658</v>
      </c>
      <c r="H453" s="324"/>
      <c r="I453" s="313" t="s">
        <v>1014</v>
      </c>
      <c r="J453" s="76" t="s">
        <v>793</v>
      </c>
      <c r="K453" s="106" t="s">
        <v>1659</v>
      </c>
      <c r="L453" s="106" t="s">
        <v>1924</v>
      </c>
      <c r="M453" s="106"/>
      <c r="N453" s="155" t="s">
        <v>38</v>
      </c>
      <c r="O453" s="155" t="s">
        <v>943</v>
      </c>
      <c r="P453" s="155" t="s">
        <v>944</v>
      </c>
      <c r="Q453" s="155" t="s">
        <v>944</v>
      </c>
      <c r="R453" s="106" t="s">
        <v>945</v>
      </c>
      <c r="S453" s="155"/>
      <c r="T453" s="155"/>
      <c r="U453" s="155"/>
      <c r="V453" s="155"/>
    </row>
    <row r="454" spans="2:22" ht="47.25">
      <c r="B454" s="318"/>
      <c r="C454" s="314"/>
      <c r="D454" s="314"/>
      <c r="E454" s="314"/>
      <c r="F454" s="314"/>
      <c r="G454" s="314"/>
      <c r="H454" s="325"/>
      <c r="I454" s="314"/>
      <c r="J454" s="76" t="s">
        <v>794</v>
      </c>
      <c r="K454" s="106" t="s">
        <v>1660</v>
      </c>
      <c r="L454" s="106" t="s">
        <v>1924</v>
      </c>
      <c r="M454" s="106"/>
      <c r="N454" s="155" t="s">
        <v>38</v>
      </c>
      <c r="O454" s="155" t="s">
        <v>943</v>
      </c>
      <c r="P454" s="155" t="s">
        <v>944</v>
      </c>
      <c r="Q454" s="155" t="s">
        <v>944</v>
      </c>
      <c r="R454" s="106" t="s">
        <v>945</v>
      </c>
      <c r="S454" s="155"/>
      <c r="T454" s="155"/>
      <c r="U454" s="155"/>
      <c r="V454" s="155"/>
    </row>
    <row r="455" spans="2:22" ht="47.25">
      <c r="B455" s="318"/>
      <c r="C455" s="314"/>
      <c r="D455" s="314"/>
      <c r="E455" s="314"/>
      <c r="F455" s="314"/>
      <c r="G455" s="314"/>
      <c r="H455" s="325"/>
      <c r="I455" s="314"/>
      <c r="J455" s="76" t="s">
        <v>795</v>
      </c>
      <c r="K455" s="106" t="s">
        <v>1659</v>
      </c>
      <c r="L455" s="106" t="s">
        <v>1925</v>
      </c>
      <c r="M455" s="106"/>
      <c r="N455" s="155" t="s">
        <v>38</v>
      </c>
      <c r="O455" s="155" t="s">
        <v>943</v>
      </c>
      <c r="P455" s="155" t="s">
        <v>944</v>
      </c>
      <c r="Q455" s="155" t="s">
        <v>944</v>
      </c>
      <c r="R455" s="106" t="s">
        <v>945</v>
      </c>
      <c r="S455" s="155"/>
      <c r="T455" s="155"/>
      <c r="U455" s="155"/>
      <c r="V455" s="155"/>
    </row>
    <row r="456" spans="2:22" ht="47.25">
      <c r="B456" s="318"/>
      <c r="C456" s="314"/>
      <c r="D456" s="314"/>
      <c r="E456" s="314"/>
      <c r="F456" s="314"/>
      <c r="G456" s="314"/>
      <c r="H456" s="325"/>
      <c r="I456" s="314"/>
      <c r="J456" s="76" t="s">
        <v>796</v>
      </c>
      <c r="K456" s="106" t="s">
        <v>1660</v>
      </c>
      <c r="L456" s="106" t="s">
        <v>1925</v>
      </c>
      <c r="M456" s="106"/>
      <c r="N456" s="155" t="s">
        <v>38</v>
      </c>
      <c r="O456" s="155" t="s">
        <v>943</v>
      </c>
      <c r="P456" s="155" t="s">
        <v>944</v>
      </c>
      <c r="Q456" s="155" t="s">
        <v>944</v>
      </c>
      <c r="R456" s="106" t="s">
        <v>945</v>
      </c>
      <c r="S456" s="155"/>
      <c r="T456" s="155"/>
      <c r="U456" s="155"/>
      <c r="V456" s="155"/>
    </row>
    <row r="457" spans="2:22" ht="47.25">
      <c r="B457" s="318"/>
      <c r="C457" s="314"/>
      <c r="D457" s="314"/>
      <c r="E457" s="314"/>
      <c r="F457" s="314"/>
      <c r="G457" s="314"/>
      <c r="H457" s="325"/>
      <c r="I457" s="314"/>
      <c r="J457" s="76" t="s">
        <v>797</v>
      </c>
      <c r="K457" s="106" t="s">
        <v>1659</v>
      </c>
      <c r="L457" s="106" t="s">
        <v>1926</v>
      </c>
      <c r="M457" s="106"/>
      <c r="N457" s="155" t="s">
        <v>38</v>
      </c>
      <c r="O457" s="155" t="s">
        <v>943</v>
      </c>
      <c r="P457" s="155" t="s">
        <v>944</v>
      </c>
      <c r="Q457" s="155" t="s">
        <v>944</v>
      </c>
      <c r="R457" s="106" t="s">
        <v>1017</v>
      </c>
      <c r="S457" s="155"/>
      <c r="T457" s="155"/>
      <c r="U457" s="155"/>
      <c r="V457" s="155"/>
    </row>
    <row r="458" spans="2:22" ht="47.25">
      <c r="B458" s="318"/>
      <c r="C458" s="314"/>
      <c r="D458" s="314"/>
      <c r="E458" s="314"/>
      <c r="F458" s="314"/>
      <c r="G458" s="314"/>
      <c r="H458" s="325"/>
      <c r="I458" s="314"/>
      <c r="J458" s="76" t="s">
        <v>798</v>
      </c>
      <c r="K458" s="106" t="s">
        <v>1660</v>
      </c>
      <c r="L458" s="106" t="s">
        <v>1926</v>
      </c>
      <c r="M458" s="106"/>
      <c r="N458" s="155" t="s">
        <v>38</v>
      </c>
      <c r="O458" s="155" t="s">
        <v>943</v>
      </c>
      <c r="P458" s="155" t="s">
        <v>944</v>
      </c>
      <c r="Q458" s="155" t="s">
        <v>944</v>
      </c>
      <c r="R458" s="106" t="s">
        <v>1017</v>
      </c>
      <c r="S458" s="155"/>
      <c r="T458" s="155"/>
      <c r="U458" s="155"/>
      <c r="V458" s="155"/>
    </row>
    <row r="459" spans="2:22" ht="31.5">
      <c r="B459" s="318"/>
      <c r="C459" s="314"/>
      <c r="D459" s="314"/>
      <c r="E459" s="314"/>
      <c r="F459" s="314"/>
      <c r="G459" s="314"/>
      <c r="H459" s="325"/>
      <c r="I459" s="314"/>
      <c r="J459" s="76" t="s">
        <v>799</v>
      </c>
      <c r="K459" s="106" t="s">
        <v>1659</v>
      </c>
      <c r="L459" s="106" t="s">
        <v>800</v>
      </c>
      <c r="M459" s="106"/>
      <c r="N459" s="155" t="s">
        <v>38</v>
      </c>
      <c r="O459" s="155" t="s">
        <v>943</v>
      </c>
      <c r="P459" s="155" t="s">
        <v>22</v>
      </c>
      <c r="Q459" s="155" t="s">
        <v>22</v>
      </c>
      <c r="R459" s="106" t="s">
        <v>1017</v>
      </c>
      <c r="S459" s="155"/>
      <c r="T459" s="155"/>
      <c r="U459" s="155"/>
      <c r="V459" s="155"/>
    </row>
    <row r="460" spans="2:22" ht="31.5">
      <c r="B460" s="318"/>
      <c r="C460" s="314"/>
      <c r="D460" s="314"/>
      <c r="E460" s="314"/>
      <c r="F460" s="314"/>
      <c r="G460" s="314"/>
      <c r="H460" s="325"/>
      <c r="I460" s="314"/>
      <c r="J460" s="76" t="s">
        <v>801</v>
      </c>
      <c r="K460" s="106" t="s">
        <v>1660</v>
      </c>
      <c r="L460" s="106" t="s">
        <v>800</v>
      </c>
      <c r="M460" s="106"/>
      <c r="N460" s="155" t="s">
        <v>38</v>
      </c>
      <c r="O460" s="155" t="s">
        <v>943</v>
      </c>
      <c r="P460" s="155" t="s">
        <v>22</v>
      </c>
      <c r="Q460" s="155" t="s">
        <v>22</v>
      </c>
      <c r="R460" s="106" t="s">
        <v>1017</v>
      </c>
      <c r="S460" s="155"/>
      <c r="T460" s="155"/>
      <c r="U460" s="155"/>
      <c r="V460" s="155"/>
    </row>
    <row r="461" spans="2:22" ht="47.25">
      <c r="B461" s="318"/>
      <c r="C461" s="314"/>
      <c r="D461" s="314"/>
      <c r="E461" s="314"/>
      <c r="F461" s="314"/>
      <c r="G461" s="314"/>
      <c r="H461" s="325"/>
      <c r="I461" s="314"/>
      <c r="J461" s="76" t="s">
        <v>802</v>
      </c>
      <c r="K461" s="106" t="s">
        <v>1659</v>
      </c>
      <c r="L461" s="106" t="s">
        <v>1927</v>
      </c>
      <c r="M461" s="106"/>
      <c r="N461" s="155" t="s">
        <v>38</v>
      </c>
      <c r="O461" s="155" t="s">
        <v>943</v>
      </c>
      <c r="P461" s="155" t="s">
        <v>944</v>
      </c>
      <c r="Q461" s="155" t="s">
        <v>944</v>
      </c>
      <c r="R461" s="106" t="s">
        <v>945</v>
      </c>
      <c r="S461" s="155"/>
      <c r="T461" s="155"/>
      <c r="U461" s="155"/>
      <c r="V461" s="155"/>
    </row>
    <row r="462" spans="2:22" ht="47.25">
      <c r="B462" s="319"/>
      <c r="C462" s="315"/>
      <c r="D462" s="315"/>
      <c r="E462" s="315"/>
      <c r="F462" s="315"/>
      <c r="G462" s="315"/>
      <c r="H462" s="326"/>
      <c r="I462" s="315"/>
      <c r="J462" s="76" t="s">
        <v>803</v>
      </c>
      <c r="K462" s="106" t="s">
        <v>1660</v>
      </c>
      <c r="L462" s="106" t="s">
        <v>1927</v>
      </c>
      <c r="M462" s="106"/>
      <c r="N462" s="155" t="s">
        <v>38</v>
      </c>
      <c r="O462" s="155" t="s">
        <v>943</v>
      </c>
      <c r="P462" s="155" t="s">
        <v>944</v>
      </c>
      <c r="Q462" s="155" t="s">
        <v>944</v>
      </c>
      <c r="R462" s="106" t="s">
        <v>945</v>
      </c>
      <c r="S462" s="155"/>
      <c r="T462" s="155"/>
      <c r="U462" s="155"/>
      <c r="V462" s="155"/>
    </row>
    <row r="463" spans="2:22" ht="78.75">
      <c r="B463" s="94" t="s">
        <v>821</v>
      </c>
      <c r="C463" s="95" t="s">
        <v>7</v>
      </c>
      <c r="D463" s="96" t="s">
        <v>327</v>
      </c>
      <c r="E463" s="95" t="s">
        <v>328</v>
      </c>
      <c r="F463" s="95" t="s">
        <v>22</v>
      </c>
      <c r="G463" s="106" t="s">
        <v>1814</v>
      </c>
      <c r="H463" s="106"/>
      <c r="I463" s="106"/>
      <c r="J463" s="76" t="s">
        <v>822</v>
      </c>
      <c r="K463" s="106" t="s">
        <v>1697</v>
      </c>
      <c r="L463" s="106" t="s">
        <v>97</v>
      </c>
      <c r="M463" s="106"/>
      <c r="N463" s="155" t="s">
        <v>30</v>
      </c>
      <c r="O463" s="155" t="s">
        <v>22</v>
      </c>
      <c r="P463" s="155" t="s">
        <v>22</v>
      </c>
      <c r="Q463" s="155" t="s">
        <v>22</v>
      </c>
      <c r="R463" s="106" t="s">
        <v>1017</v>
      </c>
      <c r="S463" s="169"/>
      <c r="T463" s="169"/>
      <c r="U463" s="169"/>
      <c r="V463" s="169"/>
    </row>
    <row r="464" spans="2:22">
      <c r="B464" s="341" t="s">
        <v>830</v>
      </c>
      <c r="C464" s="343" t="s">
        <v>831</v>
      </c>
      <c r="D464" s="343" t="s">
        <v>832</v>
      </c>
      <c r="E464" s="343" t="s">
        <v>332</v>
      </c>
      <c r="F464" s="343" t="s">
        <v>22</v>
      </c>
      <c r="G464" s="313" t="s">
        <v>1991</v>
      </c>
      <c r="H464" s="345"/>
      <c r="I464" s="343" t="s">
        <v>833</v>
      </c>
      <c r="J464" s="119" t="s">
        <v>1221</v>
      </c>
      <c r="K464" s="343" t="s">
        <v>1698</v>
      </c>
      <c r="L464" s="313" t="s">
        <v>918</v>
      </c>
      <c r="M464" s="106"/>
      <c r="N464" s="155" t="s">
        <v>1735</v>
      </c>
      <c r="O464" s="155" t="s">
        <v>22</v>
      </c>
      <c r="P464" s="155" t="s">
        <v>22</v>
      </c>
      <c r="Q464" s="155" t="s">
        <v>22</v>
      </c>
      <c r="R464" s="106" t="s">
        <v>945</v>
      </c>
      <c r="S464" s="169"/>
      <c r="T464" s="169"/>
      <c r="U464" s="169"/>
      <c r="V464" s="169"/>
    </row>
    <row r="465" spans="2:22" ht="47.25">
      <c r="B465" s="342"/>
      <c r="C465" s="344"/>
      <c r="D465" s="344"/>
      <c r="E465" s="344"/>
      <c r="F465" s="344"/>
      <c r="G465" s="314"/>
      <c r="H465" s="346"/>
      <c r="I465" s="344"/>
      <c r="J465" s="119" t="s">
        <v>1222</v>
      </c>
      <c r="K465" s="347"/>
      <c r="L465" s="315"/>
      <c r="M465" s="106" t="s">
        <v>1834</v>
      </c>
      <c r="N465" s="155" t="s">
        <v>1735</v>
      </c>
      <c r="O465" s="155" t="s">
        <v>22</v>
      </c>
      <c r="P465" s="155" t="s">
        <v>944</v>
      </c>
      <c r="Q465" s="155" t="s">
        <v>22</v>
      </c>
      <c r="R465" s="106" t="s">
        <v>945</v>
      </c>
      <c r="S465" s="169"/>
      <c r="T465" s="169"/>
      <c r="U465" s="169"/>
      <c r="V465" s="169"/>
    </row>
    <row r="466" spans="2:22">
      <c r="B466" s="342"/>
      <c r="C466" s="344"/>
      <c r="D466" s="344"/>
      <c r="E466" s="344"/>
      <c r="F466" s="344"/>
      <c r="G466" s="314"/>
      <c r="H466" s="346"/>
      <c r="I466" s="344"/>
      <c r="J466" s="119" t="s">
        <v>1223</v>
      </c>
      <c r="K466" s="343" t="s">
        <v>1698</v>
      </c>
      <c r="L466" s="313" t="s">
        <v>1692</v>
      </c>
      <c r="M466" s="106"/>
      <c r="N466" s="155" t="s">
        <v>1735</v>
      </c>
      <c r="O466" s="155" t="s">
        <v>22</v>
      </c>
      <c r="P466" s="155" t="s">
        <v>22</v>
      </c>
      <c r="Q466" s="155" t="s">
        <v>22</v>
      </c>
      <c r="R466" s="106" t="s">
        <v>945</v>
      </c>
      <c r="S466" s="169"/>
      <c r="T466" s="169"/>
      <c r="U466" s="169"/>
      <c r="V466" s="169"/>
    </row>
    <row r="467" spans="2:22" ht="47.25">
      <c r="B467" s="342"/>
      <c r="C467" s="344"/>
      <c r="D467" s="344"/>
      <c r="E467" s="344"/>
      <c r="F467" s="344"/>
      <c r="G467" s="314"/>
      <c r="H467" s="346"/>
      <c r="I467" s="344"/>
      <c r="J467" s="119" t="s">
        <v>1224</v>
      </c>
      <c r="K467" s="347"/>
      <c r="L467" s="315"/>
      <c r="M467" s="106" t="s">
        <v>1834</v>
      </c>
      <c r="N467" s="155" t="s">
        <v>1735</v>
      </c>
      <c r="O467" s="155" t="s">
        <v>22</v>
      </c>
      <c r="P467" s="155" t="s">
        <v>944</v>
      </c>
      <c r="Q467" s="155" t="s">
        <v>22</v>
      </c>
      <c r="R467" s="106" t="s">
        <v>945</v>
      </c>
      <c r="S467" s="169"/>
      <c r="T467" s="169"/>
      <c r="U467" s="169"/>
      <c r="V467" s="169"/>
    </row>
    <row r="468" spans="2:22">
      <c r="B468" s="342"/>
      <c r="C468" s="344"/>
      <c r="D468" s="344"/>
      <c r="E468" s="344"/>
      <c r="F468" s="344"/>
      <c r="G468" s="314"/>
      <c r="H468" s="346"/>
      <c r="I468" s="344"/>
      <c r="J468" s="119" t="s">
        <v>1225</v>
      </c>
      <c r="K468" s="343" t="s">
        <v>1698</v>
      </c>
      <c r="L468" s="313" t="s">
        <v>1693</v>
      </c>
      <c r="M468" s="106"/>
      <c r="N468" s="155" t="s">
        <v>1735</v>
      </c>
      <c r="O468" s="155" t="s">
        <v>22</v>
      </c>
      <c r="P468" s="155" t="s">
        <v>22</v>
      </c>
      <c r="Q468" s="155" t="s">
        <v>22</v>
      </c>
      <c r="R468" s="106" t="s">
        <v>945</v>
      </c>
      <c r="S468" s="169"/>
      <c r="T468" s="169"/>
      <c r="U468" s="169"/>
      <c r="V468" s="169"/>
    </row>
    <row r="469" spans="2:22" ht="47.25">
      <c r="B469" s="342"/>
      <c r="C469" s="344"/>
      <c r="D469" s="344"/>
      <c r="E469" s="344"/>
      <c r="F469" s="344"/>
      <c r="G469" s="314"/>
      <c r="H469" s="346"/>
      <c r="I469" s="344"/>
      <c r="J469" s="119" t="s">
        <v>1226</v>
      </c>
      <c r="K469" s="347"/>
      <c r="L469" s="315"/>
      <c r="M469" s="106" t="s">
        <v>1834</v>
      </c>
      <c r="N469" s="155" t="s">
        <v>1735</v>
      </c>
      <c r="O469" s="155" t="s">
        <v>22</v>
      </c>
      <c r="P469" s="155" t="s">
        <v>944</v>
      </c>
      <c r="Q469" s="155" t="s">
        <v>22</v>
      </c>
      <c r="R469" s="106" t="s">
        <v>945</v>
      </c>
      <c r="S469" s="169"/>
      <c r="T469" s="169"/>
      <c r="U469" s="169"/>
      <c r="V469" s="169"/>
    </row>
    <row r="470" spans="2:22">
      <c r="B470" s="342"/>
      <c r="C470" s="344"/>
      <c r="D470" s="344"/>
      <c r="E470" s="344"/>
      <c r="F470" s="344"/>
      <c r="G470" s="314"/>
      <c r="H470" s="346"/>
      <c r="I470" s="344"/>
      <c r="J470" s="119" t="s">
        <v>1419</v>
      </c>
      <c r="K470" s="343" t="s">
        <v>1698</v>
      </c>
      <c r="L470" s="313" t="s">
        <v>1694</v>
      </c>
      <c r="M470" s="106"/>
      <c r="N470" s="155" t="s">
        <v>1735</v>
      </c>
      <c r="O470" s="155" t="s">
        <v>22</v>
      </c>
      <c r="P470" s="155" t="s">
        <v>22</v>
      </c>
      <c r="Q470" s="155" t="s">
        <v>22</v>
      </c>
      <c r="R470" s="106" t="s">
        <v>945</v>
      </c>
      <c r="S470" s="169"/>
      <c r="T470" s="169"/>
      <c r="U470" s="169"/>
      <c r="V470" s="169"/>
    </row>
    <row r="471" spans="2:22" ht="47.25">
      <c r="B471" s="342"/>
      <c r="C471" s="344"/>
      <c r="D471" s="344"/>
      <c r="E471" s="344"/>
      <c r="F471" s="344"/>
      <c r="G471" s="314"/>
      <c r="H471" s="346"/>
      <c r="I471" s="344"/>
      <c r="J471" s="119" t="s">
        <v>1420</v>
      </c>
      <c r="K471" s="347"/>
      <c r="L471" s="315"/>
      <c r="M471" s="106" t="s">
        <v>1834</v>
      </c>
      <c r="N471" s="155" t="s">
        <v>1735</v>
      </c>
      <c r="O471" s="155" t="s">
        <v>22</v>
      </c>
      <c r="P471" s="155" t="s">
        <v>944</v>
      </c>
      <c r="Q471" s="155" t="s">
        <v>22</v>
      </c>
      <c r="R471" s="106" t="s">
        <v>945</v>
      </c>
      <c r="S471" s="169"/>
      <c r="T471" s="169"/>
      <c r="U471" s="169"/>
      <c r="V471" s="169"/>
    </row>
    <row r="472" spans="2:22" ht="47.25">
      <c r="B472" s="342"/>
      <c r="C472" s="344"/>
      <c r="D472" s="344"/>
      <c r="E472" s="344"/>
      <c r="F472" s="344"/>
      <c r="G472" s="314"/>
      <c r="H472" s="346"/>
      <c r="I472" s="344"/>
      <c r="J472" s="97" t="s">
        <v>1421</v>
      </c>
      <c r="K472" s="95" t="s">
        <v>1698</v>
      </c>
      <c r="L472" s="106" t="s">
        <v>1928</v>
      </c>
      <c r="M472" s="106"/>
      <c r="N472" s="155" t="s">
        <v>1735</v>
      </c>
      <c r="O472" s="155" t="s">
        <v>22</v>
      </c>
      <c r="P472" s="155" t="s">
        <v>22</v>
      </c>
      <c r="Q472" s="155" t="s">
        <v>22</v>
      </c>
      <c r="R472" s="106" t="s">
        <v>945</v>
      </c>
      <c r="S472" s="169"/>
      <c r="T472" s="169"/>
      <c r="U472" s="169"/>
      <c r="V472" s="169"/>
    </row>
    <row r="473" spans="2:22" ht="15.75" customHeight="1">
      <c r="B473" s="342"/>
      <c r="C473" s="344"/>
      <c r="D473" s="344"/>
      <c r="E473" s="344"/>
      <c r="F473" s="344"/>
      <c r="G473" s="314"/>
      <c r="H473" s="346"/>
      <c r="I473" s="344"/>
      <c r="J473" s="119" t="s">
        <v>1227</v>
      </c>
      <c r="K473" s="343" t="s">
        <v>1698</v>
      </c>
      <c r="L473" s="313" t="s">
        <v>1992</v>
      </c>
      <c r="M473" s="104"/>
      <c r="N473" s="155" t="s">
        <v>1735</v>
      </c>
      <c r="O473" s="155" t="s">
        <v>22</v>
      </c>
      <c r="P473" s="155" t="s">
        <v>22</v>
      </c>
      <c r="Q473" s="155" t="s">
        <v>22</v>
      </c>
      <c r="R473" s="106" t="s">
        <v>945</v>
      </c>
      <c r="S473" s="169"/>
      <c r="T473" s="169"/>
      <c r="U473" s="169"/>
      <c r="V473" s="169"/>
    </row>
    <row r="474" spans="2:22" ht="47.25">
      <c r="B474" s="342"/>
      <c r="C474" s="344"/>
      <c r="D474" s="344"/>
      <c r="E474" s="344"/>
      <c r="F474" s="344"/>
      <c r="G474" s="314"/>
      <c r="H474" s="346"/>
      <c r="I474" s="344"/>
      <c r="J474" s="119" t="s">
        <v>1228</v>
      </c>
      <c r="K474" s="347"/>
      <c r="L474" s="315"/>
      <c r="M474" s="106" t="s">
        <v>1834</v>
      </c>
      <c r="N474" s="155" t="s">
        <v>1735</v>
      </c>
      <c r="O474" s="155" t="s">
        <v>22</v>
      </c>
      <c r="P474" s="155" t="s">
        <v>944</v>
      </c>
      <c r="Q474" s="155" t="s">
        <v>22</v>
      </c>
      <c r="R474" s="106" t="s">
        <v>945</v>
      </c>
      <c r="S474" s="169"/>
      <c r="T474" s="169"/>
      <c r="U474" s="169"/>
      <c r="V474" s="169"/>
    </row>
    <row r="475" spans="2:22" ht="47.25">
      <c r="B475" s="342"/>
      <c r="C475" s="344"/>
      <c r="D475" s="344"/>
      <c r="E475" s="344"/>
      <c r="F475" s="344"/>
      <c r="G475" s="314"/>
      <c r="H475" s="346"/>
      <c r="I475" s="344"/>
      <c r="J475" s="97" t="s">
        <v>1422</v>
      </c>
      <c r="K475" s="95" t="s">
        <v>1698</v>
      </c>
      <c r="L475" s="106" t="s">
        <v>1928</v>
      </c>
      <c r="M475" s="106"/>
      <c r="N475" s="155" t="s">
        <v>1735</v>
      </c>
      <c r="O475" s="155" t="s">
        <v>22</v>
      </c>
      <c r="P475" s="155" t="s">
        <v>22</v>
      </c>
      <c r="Q475" s="155" t="s">
        <v>22</v>
      </c>
      <c r="R475" s="106" t="s">
        <v>945</v>
      </c>
      <c r="S475" s="169"/>
      <c r="T475" s="169"/>
      <c r="U475" s="169"/>
      <c r="V475" s="169"/>
    </row>
    <row r="476" spans="2:22">
      <c r="B476" s="342"/>
      <c r="C476" s="344"/>
      <c r="D476" s="344"/>
      <c r="E476" s="344"/>
      <c r="F476" s="344"/>
      <c r="G476" s="314"/>
      <c r="H476" s="346"/>
      <c r="I476" s="344"/>
      <c r="J476" s="119" t="s">
        <v>1229</v>
      </c>
      <c r="K476" s="343" t="s">
        <v>1698</v>
      </c>
      <c r="L476" s="313" t="s">
        <v>1695</v>
      </c>
      <c r="M476" s="106"/>
      <c r="N476" s="155" t="s">
        <v>1735</v>
      </c>
      <c r="O476" s="155" t="s">
        <v>22</v>
      </c>
      <c r="P476" s="155" t="s">
        <v>22</v>
      </c>
      <c r="Q476" s="155" t="s">
        <v>22</v>
      </c>
      <c r="R476" s="106" t="s">
        <v>945</v>
      </c>
      <c r="S476" s="169"/>
      <c r="T476" s="169"/>
      <c r="U476" s="169"/>
      <c r="V476" s="169"/>
    </row>
    <row r="477" spans="2:22" ht="47.25">
      <c r="B477" s="342"/>
      <c r="C477" s="344"/>
      <c r="D477" s="344"/>
      <c r="E477" s="344"/>
      <c r="F477" s="344"/>
      <c r="G477" s="314"/>
      <c r="H477" s="346"/>
      <c r="I477" s="344"/>
      <c r="J477" s="119" t="s">
        <v>1230</v>
      </c>
      <c r="K477" s="347"/>
      <c r="L477" s="315"/>
      <c r="M477" s="106" t="s">
        <v>1834</v>
      </c>
      <c r="N477" s="155" t="s">
        <v>1735</v>
      </c>
      <c r="O477" s="155" t="s">
        <v>22</v>
      </c>
      <c r="P477" s="155" t="s">
        <v>944</v>
      </c>
      <c r="Q477" s="155" t="s">
        <v>22</v>
      </c>
      <c r="R477" s="106" t="s">
        <v>945</v>
      </c>
      <c r="S477" s="169"/>
      <c r="T477" s="169"/>
      <c r="U477" s="169"/>
      <c r="V477" s="169"/>
    </row>
    <row r="478" spans="2:22" ht="47.25">
      <c r="B478" s="342"/>
      <c r="C478" s="344"/>
      <c r="D478" s="344"/>
      <c r="E478" s="344"/>
      <c r="F478" s="344"/>
      <c r="G478" s="314"/>
      <c r="H478" s="346"/>
      <c r="I478" s="344"/>
      <c r="J478" s="97" t="s">
        <v>1424</v>
      </c>
      <c r="K478" s="95" t="s">
        <v>1698</v>
      </c>
      <c r="L478" s="106" t="s">
        <v>1928</v>
      </c>
      <c r="M478" s="106"/>
      <c r="N478" s="155" t="s">
        <v>1735</v>
      </c>
      <c r="O478" s="155" t="s">
        <v>22</v>
      </c>
      <c r="P478" s="155" t="s">
        <v>22</v>
      </c>
      <c r="Q478" s="155" t="s">
        <v>22</v>
      </c>
      <c r="R478" s="106" t="s">
        <v>945</v>
      </c>
      <c r="S478" s="169"/>
      <c r="T478" s="169"/>
      <c r="U478" s="169"/>
      <c r="V478" s="169"/>
    </row>
    <row r="479" spans="2:22" ht="78.75">
      <c r="B479" s="348" t="s">
        <v>834</v>
      </c>
      <c r="C479" s="343" t="s">
        <v>7</v>
      </c>
      <c r="D479" s="350" t="s">
        <v>338</v>
      </c>
      <c r="E479" s="343" t="s">
        <v>47</v>
      </c>
      <c r="F479" s="343" t="s">
        <v>22</v>
      </c>
      <c r="G479" s="313" t="s">
        <v>808</v>
      </c>
      <c r="H479" s="313"/>
      <c r="I479" s="313"/>
      <c r="J479" s="76" t="s">
        <v>835</v>
      </c>
      <c r="K479" s="106" t="s">
        <v>1698</v>
      </c>
      <c r="L479" s="106" t="s">
        <v>1929</v>
      </c>
      <c r="M479" s="106"/>
      <c r="N479" s="155" t="s">
        <v>30</v>
      </c>
      <c r="O479" s="155" t="s">
        <v>22</v>
      </c>
      <c r="P479" s="155" t="s">
        <v>22</v>
      </c>
      <c r="Q479" s="155" t="s">
        <v>22</v>
      </c>
      <c r="R479" s="155" t="s">
        <v>1017</v>
      </c>
      <c r="S479" s="169"/>
      <c r="T479" s="169"/>
      <c r="U479" s="169"/>
      <c r="V479" s="169"/>
    </row>
    <row r="480" spans="2:22" ht="94.5">
      <c r="B480" s="349"/>
      <c r="C480" s="347"/>
      <c r="D480" s="351"/>
      <c r="E480" s="347"/>
      <c r="F480" s="347"/>
      <c r="G480" s="315"/>
      <c r="H480" s="315"/>
      <c r="I480" s="315"/>
      <c r="J480" s="76" t="s">
        <v>1480</v>
      </c>
      <c r="K480" s="106" t="s">
        <v>1698</v>
      </c>
      <c r="L480" s="106" t="s">
        <v>1832</v>
      </c>
      <c r="M480" s="106"/>
      <c r="N480" s="155" t="s">
        <v>30</v>
      </c>
      <c r="O480" s="155" t="s">
        <v>22</v>
      </c>
      <c r="P480" s="155" t="s">
        <v>22</v>
      </c>
      <c r="Q480" s="155" t="s">
        <v>22</v>
      </c>
      <c r="R480" s="155" t="s">
        <v>1017</v>
      </c>
      <c r="S480" s="169"/>
      <c r="T480" s="169"/>
      <c r="U480" s="169"/>
      <c r="V480" s="169"/>
    </row>
    <row r="481" spans="2:22" ht="63">
      <c r="B481" s="348" t="s">
        <v>836</v>
      </c>
      <c r="C481" s="343" t="s">
        <v>7</v>
      </c>
      <c r="D481" s="343" t="s">
        <v>14</v>
      </c>
      <c r="E481" s="343" t="s">
        <v>343</v>
      </c>
      <c r="F481" s="343" t="s">
        <v>22</v>
      </c>
      <c r="G481" s="313" t="s">
        <v>1696</v>
      </c>
      <c r="H481" s="313"/>
      <c r="I481" s="313"/>
      <c r="J481" s="76" t="s">
        <v>837</v>
      </c>
      <c r="K481" s="106" t="s">
        <v>1698</v>
      </c>
      <c r="L481" s="106" t="s">
        <v>1904</v>
      </c>
      <c r="M481" s="106"/>
      <c r="N481" s="155" t="s">
        <v>30</v>
      </c>
      <c r="O481" s="155" t="s">
        <v>22</v>
      </c>
      <c r="P481" s="155" t="s">
        <v>22</v>
      </c>
      <c r="Q481" s="155" t="s">
        <v>22</v>
      </c>
      <c r="R481" s="155" t="s">
        <v>1017</v>
      </c>
      <c r="S481" s="169"/>
      <c r="T481" s="169"/>
      <c r="U481" s="169"/>
      <c r="V481" s="169"/>
    </row>
    <row r="482" spans="2:22" ht="94.5">
      <c r="B482" s="349"/>
      <c r="C482" s="347"/>
      <c r="D482" s="347"/>
      <c r="E482" s="347"/>
      <c r="F482" s="347"/>
      <c r="G482" s="315"/>
      <c r="H482" s="315"/>
      <c r="I482" s="315"/>
      <c r="J482" s="76" t="s">
        <v>1481</v>
      </c>
      <c r="K482" s="106" t="s">
        <v>1698</v>
      </c>
      <c r="L482" s="176" t="s">
        <v>1905</v>
      </c>
      <c r="M482" s="106"/>
      <c r="N482" s="155" t="s">
        <v>30</v>
      </c>
      <c r="O482" s="155" t="s">
        <v>22</v>
      </c>
      <c r="P482" s="155" t="s">
        <v>22</v>
      </c>
      <c r="Q482" s="155" t="s">
        <v>22</v>
      </c>
      <c r="R482" s="155" t="s">
        <v>1017</v>
      </c>
      <c r="S482" s="169"/>
      <c r="T482" s="169"/>
      <c r="U482" s="169"/>
      <c r="V482" s="169"/>
    </row>
    <row r="483" spans="2:22" ht="47.25">
      <c r="B483" s="341" t="s">
        <v>838</v>
      </c>
      <c r="C483" s="343" t="s">
        <v>7</v>
      </c>
      <c r="D483" s="343" t="s">
        <v>346</v>
      </c>
      <c r="E483" s="343" t="s">
        <v>839</v>
      </c>
      <c r="F483" s="343"/>
      <c r="G483" s="313" t="s">
        <v>1792</v>
      </c>
      <c r="H483" s="343"/>
      <c r="I483" s="343"/>
      <c r="J483" s="119" t="s">
        <v>1231</v>
      </c>
      <c r="K483" s="343" t="s">
        <v>1698</v>
      </c>
      <c r="L483" s="313" t="s">
        <v>1767</v>
      </c>
      <c r="M483" s="106" t="s">
        <v>1835</v>
      </c>
      <c r="N483" s="155" t="s">
        <v>30</v>
      </c>
      <c r="O483" s="155" t="s">
        <v>22</v>
      </c>
      <c r="P483" s="155" t="s">
        <v>22</v>
      </c>
      <c r="Q483" s="155" t="s">
        <v>22</v>
      </c>
      <c r="R483" s="155" t="s">
        <v>1017</v>
      </c>
      <c r="S483" s="169"/>
      <c r="T483" s="169"/>
      <c r="U483" s="169"/>
      <c r="V483" s="169"/>
    </row>
    <row r="484" spans="2:22" ht="63">
      <c r="B484" s="342"/>
      <c r="C484" s="344"/>
      <c r="D484" s="344"/>
      <c r="E484" s="344"/>
      <c r="F484" s="344"/>
      <c r="G484" s="314"/>
      <c r="H484" s="344"/>
      <c r="I484" s="344"/>
      <c r="J484" s="119" t="s">
        <v>1232</v>
      </c>
      <c r="K484" s="347"/>
      <c r="L484" s="315"/>
      <c r="M484" s="106" t="s">
        <v>1836</v>
      </c>
      <c r="N484" s="155" t="s">
        <v>30</v>
      </c>
      <c r="O484" s="155" t="s">
        <v>22</v>
      </c>
      <c r="P484" s="155" t="s">
        <v>944</v>
      </c>
      <c r="Q484" s="155" t="s">
        <v>22</v>
      </c>
      <c r="R484" s="155" t="s">
        <v>945</v>
      </c>
      <c r="S484" s="169"/>
      <c r="T484" s="169"/>
      <c r="U484" s="169"/>
      <c r="V484" s="169"/>
    </row>
    <row r="485" spans="2:22" ht="47.25">
      <c r="B485" s="342"/>
      <c r="C485" s="344"/>
      <c r="D485" s="344"/>
      <c r="E485" s="344"/>
      <c r="F485" s="344"/>
      <c r="G485" s="314"/>
      <c r="H485" s="344"/>
      <c r="I485" s="344"/>
      <c r="J485" s="119" t="s">
        <v>1233</v>
      </c>
      <c r="K485" s="343" t="s">
        <v>1698</v>
      </c>
      <c r="L485" s="313" t="s">
        <v>1768</v>
      </c>
      <c r="M485" s="106" t="s">
        <v>1835</v>
      </c>
      <c r="N485" s="155" t="s">
        <v>30</v>
      </c>
      <c r="O485" s="155" t="s">
        <v>22</v>
      </c>
      <c r="P485" s="155" t="s">
        <v>22</v>
      </c>
      <c r="Q485" s="155" t="s">
        <v>22</v>
      </c>
      <c r="R485" s="155" t="s">
        <v>1017</v>
      </c>
      <c r="S485" s="169"/>
      <c r="T485" s="169"/>
      <c r="U485" s="169"/>
      <c r="V485" s="169"/>
    </row>
    <row r="486" spans="2:22" ht="63">
      <c r="B486" s="342"/>
      <c r="C486" s="344"/>
      <c r="D486" s="344"/>
      <c r="E486" s="344"/>
      <c r="F486" s="344"/>
      <c r="G486" s="314"/>
      <c r="H486" s="344"/>
      <c r="I486" s="344"/>
      <c r="J486" s="119" t="s">
        <v>1234</v>
      </c>
      <c r="K486" s="347"/>
      <c r="L486" s="315"/>
      <c r="M486" s="106" t="s">
        <v>1836</v>
      </c>
      <c r="N486" s="155" t="s">
        <v>30</v>
      </c>
      <c r="O486" s="155" t="s">
        <v>22</v>
      </c>
      <c r="P486" s="155" t="s">
        <v>944</v>
      </c>
      <c r="Q486" s="155" t="s">
        <v>22</v>
      </c>
      <c r="R486" s="155" t="s">
        <v>945</v>
      </c>
      <c r="S486" s="169"/>
      <c r="T486" s="169"/>
      <c r="U486" s="169"/>
      <c r="V486" s="169"/>
    </row>
    <row r="487" spans="2:22" ht="47.25">
      <c r="B487" s="342"/>
      <c r="C487" s="344"/>
      <c r="D487" s="344"/>
      <c r="E487" s="344"/>
      <c r="F487" s="344"/>
      <c r="G487" s="314"/>
      <c r="H487" s="344"/>
      <c r="I487" s="344"/>
      <c r="J487" s="119" t="s">
        <v>1235</v>
      </c>
      <c r="K487" s="343" t="s">
        <v>1698</v>
      </c>
      <c r="L487" s="313" t="s">
        <v>1769</v>
      </c>
      <c r="M487" s="106" t="s">
        <v>1835</v>
      </c>
      <c r="N487" s="155" t="s">
        <v>30</v>
      </c>
      <c r="O487" s="155" t="s">
        <v>22</v>
      </c>
      <c r="P487" s="155" t="s">
        <v>22</v>
      </c>
      <c r="Q487" s="155" t="s">
        <v>22</v>
      </c>
      <c r="R487" s="155" t="s">
        <v>1017</v>
      </c>
      <c r="S487" s="169"/>
      <c r="T487" s="169"/>
      <c r="U487" s="169"/>
      <c r="V487" s="169"/>
    </row>
    <row r="488" spans="2:22" ht="63">
      <c r="B488" s="342"/>
      <c r="C488" s="344"/>
      <c r="D488" s="344"/>
      <c r="E488" s="344"/>
      <c r="F488" s="344"/>
      <c r="G488" s="314"/>
      <c r="H488" s="344"/>
      <c r="I488" s="344"/>
      <c r="J488" s="119" t="s">
        <v>1236</v>
      </c>
      <c r="K488" s="347"/>
      <c r="L488" s="315"/>
      <c r="M488" s="106" t="s">
        <v>1836</v>
      </c>
      <c r="N488" s="155" t="s">
        <v>30</v>
      </c>
      <c r="O488" s="155" t="s">
        <v>22</v>
      </c>
      <c r="P488" s="155" t="s">
        <v>944</v>
      </c>
      <c r="Q488" s="155" t="s">
        <v>22</v>
      </c>
      <c r="R488" s="155" t="s">
        <v>945</v>
      </c>
      <c r="S488" s="169"/>
      <c r="T488" s="169"/>
      <c r="U488" s="169"/>
      <c r="V488" s="169"/>
    </row>
    <row r="489" spans="2:22" ht="47.25">
      <c r="B489" s="342"/>
      <c r="C489" s="344"/>
      <c r="D489" s="344"/>
      <c r="E489" s="344"/>
      <c r="F489" s="344"/>
      <c r="G489" s="314"/>
      <c r="H489" s="344"/>
      <c r="I489" s="344"/>
      <c r="J489" s="119" t="s">
        <v>1237</v>
      </c>
      <c r="K489" s="343" t="s">
        <v>1698</v>
      </c>
      <c r="L489" s="313" t="s">
        <v>1770</v>
      </c>
      <c r="M489" s="106" t="s">
        <v>1835</v>
      </c>
      <c r="N489" s="155" t="s">
        <v>30</v>
      </c>
      <c r="O489" s="155" t="s">
        <v>22</v>
      </c>
      <c r="P489" s="155" t="s">
        <v>22</v>
      </c>
      <c r="Q489" s="155" t="s">
        <v>22</v>
      </c>
      <c r="R489" s="155" t="s">
        <v>1017</v>
      </c>
      <c r="S489" s="169"/>
      <c r="T489" s="169"/>
      <c r="U489" s="169"/>
      <c r="V489" s="169"/>
    </row>
    <row r="490" spans="2:22" ht="63">
      <c r="B490" s="352"/>
      <c r="C490" s="347"/>
      <c r="D490" s="347"/>
      <c r="E490" s="347"/>
      <c r="F490" s="347"/>
      <c r="G490" s="315"/>
      <c r="H490" s="347"/>
      <c r="I490" s="347"/>
      <c r="J490" s="119" t="s">
        <v>1238</v>
      </c>
      <c r="K490" s="347"/>
      <c r="L490" s="315"/>
      <c r="M490" s="106" t="s">
        <v>1836</v>
      </c>
      <c r="N490" s="155" t="s">
        <v>30</v>
      </c>
      <c r="O490" s="155" t="s">
        <v>22</v>
      </c>
      <c r="P490" s="155" t="s">
        <v>944</v>
      </c>
      <c r="Q490" s="155" t="s">
        <v>22</v>
      </c>
      <c r="R490" s="155" t="s">
        <v>945</v>
      </c>
      <c r="S490" s="169"/>
      <c r="T490" s="169"/>
      <c r="U490" s="169"/>
      <c r="V490" s="169"/>
    </row>
    <row r="491" spans="2:22" ht="47.25">
      <c r="B491" s="341" t="s">
        <v>840</v>
      </c>
      <c r="C491" s="343" t="s">
        <v>7</v>
      </c>
      <c r="D491" s="343" t="s">
        <v>350</v>
      </c>
      <c r="E491" s="343" t="s">
        <v>351</v>
      </c>
      <c r="F491" s="353"/>
      <c r="G491" s="313" t="s">
        <v>352</v>
      </c>
      <c r="H491" s="320"/>
      <c r="I491" s="320"/>
      <c r="J491" s="103" t="s">
        <v>1239</v>
      </c>
      <c r="K491" s="313" t="s">
        <v>1698</v>
      </c>
      <c r="L491" s="313" t="s">
        <v>353</v>
      </c>
      <c r="M491" s="106" t="s">
        <v>1835</v>
      </c>
      <c r="N491" s="155" t="s">
        <v>30</v>
      </c>
      <c r="O491" s="155" t="s">
        <v>22</v>
      </c>
      <c r="P491" s="155" t="s">
        <v>22</v>
      </c>
      <c r="Q491" s="155" t="s">
        <v>22</v>
      </c>
      <c r="R491" s="155" t="s">
        <v>1017</v>
      </c>
      <c r="S491" s="169"/>
      <c r="T491" s="169"/>
      <c r="U491" s="169"/>
      <c r="V491" s="169"/>
    </row>
    <row r="492" spans="2:22" ht="63">
      <c r="B492" s="342"/>
      <c r="C492" s="344"/>
      <c r="D492" s="344"/>
      <c r="E492" s="344"/>
      <c r="F492" s="354"/>
      <c r="G492" s="314"/>
      <c r="H492" s="337"/>
      <c r="I492" s="337"/>
      <c r="J492" s="103" t="s">
        <v>1240</v>
      </c>
      <c r="K492" s="315"/>
      <c r="L492" s="315"/>
      <c r="M492" s="106" t="s">
        <v>1836</v>
      </c>
      <c r="N492" s="155" t="s">
        <v>30</v>
      </c>
      <c r="O492" s="155" t="s">
        <v>22</v>
      </c>
      <c r="P492" s="155" t="s">
        <v>944</v>
      </c>
      <c r="Q492" s="155" t="s">
        <v>22</v>
      </c>
      <c r="R492" s="155" t="s">
        <v>945</v>
      </c>
      <c r="S492" s="169"/>
      <c r="T492" s="169"/>
      <c r="U492" s="169"/>
      <c r="V492" s="169"/>
    </row>
    <row r="493" spans="2:22" ht="47.25">
      <c r="B493" s="342"/>
      <c r="C493" s="344"/>
      <c r="D493" s="344"/>
      <c r="E493" s="344"/>
      <c r="F493" s="354"/>
      <c r="G493" s="314"/>
      <c r="H493" s="337"/>
      <c r="I493" s="337"/>
      <c r="J493" s="103" t="s">
        <v>1241</v>
      </c>
      <c r="K493" s="313" t="s">
        <v>1698</v>
      </c>
      <c r="L493" s="313" t="s">
        <v>354</v>
      </c>
      <c r="M493" s="106" t="s">
        <v>1835</v>
      </c>
      <c r="N493" s="155" t="s">
        <v>30</v>
      </c>
      <c r="O493" s="155" t="s">
        <v>22</v>
      </c>
      <c r="P493" s="155" t="s">
        <v>22</v>
      </c>
      <c r="Q493" s="155" t="s">
        <v>22</v>
      </c>
      <c r="R493" s="155" t="s">
        <v>1017</v>
      </c>
      <c r="S493" s="169"/>
      <c r="T493" s="169"/>
      <c r="U493" s="169"/>
      <c r="V493" s="169"/>
    </row>
    <row r="494" spans="2:22" ht="63">
      <c r="B494" s="352"/>
      <c r="C494" s="347"/>
      <c r="D494" s="347"/>
      <c r="E494" s="347"/>
      <c r="F494" s="355"/>
      <c r="G494" s="315"/>
      <c r="H494" s="321"/>
      <c r="I494" s="321"/>
      <c r="J494" s="103" t="s">
        <v>1242</v>
      </c>
      <c r="K494" s="315"/>
      <c r="L494" s="315"/>
      <c r="M494" s="106" t="s">
        <v>1836</v>
      </c>
      <c r="N494" s="155" t="s">
        <v>30</v>
      </c>
      <c r="O494" s="155" t="s">
        <v>22</v>
      </c>
      <c r="P494" s="155" t="s">
        <v>944</v>
      </c>
      <c r="Q494" s="155" t="s">
        <v>22</v>
      </c>
      <c r="R494" s="155" t="s">
        <v>945</v>
      </c>
      <c r="S494" s="169"/>
      <c r="T494" s="169"/>
      <c r="U494" s="169"/>
      <c r="V494" s="169"/>
    </row>
    <row r="495" spans="2:22" ht="47.25">
      <c r="B495" s="341" t="s">
        <v>841</v>
      </c>
      <c r="C495" s="343" t="s">
        <v>7</v>
      </c>
      <c r="D495" s="343" t="s">
        <v>15</v>
      </c>
      <c r="E495" s="343" t="s">
        <v>1662</v>
      </c>
      <c r="F495" s="343"/>
      <c r="G495" s="313" t="s">
        <v>356</v>
      </c>
      <c r="H495" s="313"/>
      <c r="I495" s="313"/>
      <c r="J495" s="103" t="s">
        <v>1243</v>
      </c>
      <c r="K495" s="313" t="s">
        <v>1698</v>
      </c>
      <c r="L495" s="313" t="s">
        <v>357</v>
      </c>
      <c r="M495" s="106" t="s">
        <v>1835</v>
      </c>
      <c r="N495" s="155" t="s">
        <v>30</v>
      </c>
      <c r="O495" s="155" t="s">
        <v>22</v>
      </c>
      <c r="P495" s="155" t="s">
        <v>22</v>
      </c>
      <c r="Q495" s="155" t="s">
        <v>22</v>
      </c>
      <c r="R495" s="155" t="s">
        <v>1017</v>
      </c>
      <c r="S495" s="169"/>
      <c r="T495" s="169"/>
      <c r="U495" s="169"/>
      <c r="V495" s="169"/>
    </row>
    <row r="496" spans="2:22" ht="63">
      <c r="B496" s="342"/>
      <c r="C496" s="344"/>
      <c r="D496" s="344"/>
      <c r="E496" s="344"/>
      <c r="F496" s="344"/>
      <c r="G496" s="314"/>
      <c r="H496" s="314"/>
      <c r="I496" s="314"/>
      <c r="J496" s="103" t="s">
        <v>1244</v>
      </c>
      <c r="K496" s="315"/>
      <c r="L496" s="315"/>
      <c r="M496" s="106" t="s">
        <v>1836</v>
      </c>
      <c r="N496" s="155" t="s">
        <v>30</v>
      </c>
      <c r="O496" s="155" t="s">
        <v>22</v>
      </c>
      <c r="P496" s="155" t="s">
        <v>944</v>
      </c>
      <c r="Q496" s="155" t="s">
        <v>22</v>
      </c>
      <c r="R496" s="155" t="s">
        <v>945</v>
      </c>
      <c r="S496" s="169"/>
      <c r="T496" s="169"/>
      <c r="U496" s="169"/>
      <c r="V496" s="169"/>
    </row>
    <row r="497" spans="2:22" ht="47.25">
      <c r="B497" s="342"/>
      <c r="C497" s="344"/>
      <c r="D497" s="344"/>
      <c r="E497" s="344"/>
      <c r="F497" s="344"/>
      <c r="G497" s="314"/>
      <c r="H497" s="314"/>
      <c r="I497" s="314"/>
      <c r="J497" s="103" t="s">
        <v>1245</v>
      </c>
      <c r="K497" s="313" t="s">
        <v>1698</v>
      </c>
      <c r="L497" s="313" t="s">
        <v>358</v>
      </c>
      <c r="M497" s="106" t="s">
        <v>1835</v>
      </c>
      <c r="N497" s="155" t="s">
        <v>30</v>
      </c>
      <c r="O497" s="155" t="s">
        <v>22</v>
      </c>
      <c r="P497" s="155" t="s">
        <v>22</v>
      </c>
      <c r="Q497" s="155" t="s">
        <v>22</v>
      </c>
      <c r="R497" s="155" t="s">
        <v>1017</v>
      </c>
      <c r="S497" s="169"/>
      <c r="T497" s="169"/>
      <c r="U497" s="169"/>
      <c r="V497" s="169"/>
    </row>
    <row r="498" spans="2:22" ht="63">
      <c r="B498" s="342"/>
      <c r="C498" s="344"/>
      <c r="D498" s="344"/>
      <c r="E498" s="344"/>
      <c r="F498" s="344"/>
      <c r="G498" s="314"/>
      <c r="H498" s="314"/>
      <c r="I498" s="314"/>
      <c r="J498" s="103" t="s">
        <v>1246</v>
      </c>
      <c r="K498" s="315"/>
      <c r="L498" s="315"/>
      <c r="M498" s="106" t="s">
        <v>1836</v>
      </c>
      <c r="N498" s="155" t="s">
        <v>30</v>
      </c>
      <c r="O498" s="155" t="s">
        <v>22</v>
      </c>
      <c r="P498" s="155" t="s">
        <v>944</v>
      </c>
      <c r="Q498" s="155" t="s">
        <v>22</v>
      </c>
      <c r="R498" s="155" t="s">
        <v>945</v>
      </c>
      <c r="S498" s="169"/>
      <c r="T498" s="169"/>
      <c r="U498" s="169"/>
      <c r="V498" s="169"/>
    </row>
    <row r="499" spans="2:22" ht="47.25">
      <c r="B499" s="352"/>
      <c r="C499" s="347"/>
      <c r="D499" s="347"/>
      <c r="E499" s="347"/>
      <c r="F499" s="347"/>
      <c r="G499" s="315"/>
      <c r="H499" s="315"/>
      <c r="I499" s="315"/>
      <c r="J499" s="76" t="s">
        <v>842</v>
      </c>
      <c r="K499" s="106" t="s">
        <v>1698</v>
      </c>
      <c r="L499" s="106" t="s">
        <v>1930</v>
      </c>
      <c r="M499" s="106"/>
      <c r="N499" s="155" t="s">
        <v>30</v>
      </c>
      <c r="O499" s="155" t="s">
        <v>22</v>
      </c>
      <c r="P499" s="155" t="s">
        <v>22</v>
      </c>
      <c r="Q499" s="155" t="s">
        <v>22</v>
      </c>
      <c r="R499" s="155" t="s">
        <v>1017</v>
      </c>
      <c r="S499" s="169"/>
      <c r="T499" s="169"/>
      <c r="U499" s="169"/>
      <c r="V499" s="169"/>
    </row>
    <row r="500" spans="2:22" ht="47.25" customHeight="1">
      <c r="B500" s="341" t="s">
        <v>843</v>
      </c>
      <c r="C500" s="343" t="s">
        <v>7</v>
      </c>
      <c r="D500" s="343" t="s">
        <v>10</v>
      </c>
      <c r="E500" s="343" t="s">
        <v>1663</v>
      </c>
      <c r="F500" s="343" t="s">
        <v>22</v>
      </c>
      <c r="G500" s="313" t="s">
        <v>361</v>
      </c>
      <c r="H500" s="313"/>
      <c r="I500" s="313"/>
      <c r="J500" s="103" t="s">
        <v>1251</v>
      </c>
      <c r="K500" s="313" t="s">
        <v>1698</v>
      </c>
      <c r="L500" s="313" t="s">
        <v>362</v>
      </c>
      <c r="M500" s="106" t="s">
        <v>1835</v>
      </c>
      <c r="N500" s="155" t="s">
        <v>30</v>
      </c>
      <c r="O500" s="155" t="s">
        <v>944</v>
      </c>
      <c r="P500" s="155" t="s">
        <v>22</v>
      </c>
      <c r="Q500" s="155" t="s">
        <v>22</v>
      </c>
      <c r="R500" s="155" t="s">
        <v>1017</v>
      </c>
      <c r="S500" s="169"/>
      <c r="T500" s="169"/>
      <c r="U500" s="169"/>
      <c r="V500" s="169"/>
    </row>
    <row r="501" spans="2:22" ht="63">
      <c r="B501" s="342"/>
      <c r="C501" s="344"/>
      <c r="D501" s="344"/>
      <c r="E501" s="344"/>
      <c r="F501" s="344"/>
      <c r="G501" s="314"/>
      <c r="H501" s="314"/>
      <c r="I501" s="314"/>
      <c r="J501" s="103" t="s">
        <v>1252</v>
      </c>
      <c r="K501" s="315"/>
      <c r="L501" s="315"/>
      <c r="M501" s="106" t="s">
        <v>1836</v>
      </c>
      <c r="N501" s="155" t="s">
        <v>30</v>
      </c>
      <c r="O501" s="155" t="s">
        <v>944</v>
      </c>
      <c r="P501" s="155" t="s">
        <v>944</v>
      </c>
      <c r="Q501" s="155" t="s">
        <v>22</v>
      </c>
      <c r="R501" s="155" t="s">
        <v>945</v>
      </c>
      <c r="S501" s="169"/>
      <c r="T501" s="169"/>
      <c r="U501" s="169"/>
      <c r="V501" s="169"/>
    </row>
    <row r="502" spans="2:22" ht="47.25">
      <c r="B502" s="342"/>
      <c r="C502" s="344"/>
      <c r="D502" s="344"/>
      <c r="E502" s="344"/>
      <c r="F502" s="344"/>
      <c r="G502" s="314"/>
      <c r="H502" s="314"/>
      <c r="I502" s="314"/>
      <c r="J502" s="103" t="s">
        <v>1253</v>
      </c>
      <c r="K502" s="313" t="s">
        <v>1698</v>
      </c>
      <c r="L502" s="313" t="s">
        <v>363</v>
      </c>
      <c r="M502" s="106" t="s">
        <v>1835</v>
      </c>
      <c r="N502" s="155" t="s">
        <v>30</v>
      </c>
      <c r="O502" s="155" t="s">
        <v>944</v>
      </c>
      <c r="P502" s="155" t="s">
        <v>22</v>
      </c>
      <c r="Q502" s="155" t="s">
        <v>22</v>
      </c>
      <c r="R502" s="155" t="s">
        <v>1017</v>
      </c>
      <c r="S502" s="169"/>
      <c r="T502" s="169"/>
      <c r="U502" s="169"/>
      <c r="V502" s="169"/>
    </row>
    <row r="503" spans="2:22" ht="63">
      <c r="B503" s="352"/>
      <c r="C503" s="347"/>
      <c r="D503" s="347"/>
      <c r="E503" s="347"/>
      <c r="F503" s="347"/>
      <c r="G503" s="315"/>
      <c r="H503" s="315"/>
      <c r="I503" s="315"/>
      <c r="J503" s="103" t="s">
        <v>1254</v>
      </c>
      <c r="K503" s="315"/>
      <c r="L503" s="315"/>
      <c r="M503" s="106" t="s">
        <v>1836</v>
      </c>
      <c r="N503" s="155" t="s">
        <v>30</v>
      </c>
      <c r="O503" s="155" t="s">
        <v>944</v>
      </c>
      <c r="P503" s="155" t="s">
        <v>944</v>
      </c>
      <c r="Q503" s="155" t="s">
        <v>22</v>
      </c>
      <c r="R503" s="155" t="s">
        <v>945</v>
      </c>
      <c r="S503" s="169"/>
      <c r="T503" s="169"/>
      <c r="U503" s="169"/>
      <c r="V503" s="169"/>
    </row>
    <row r="504" spans="2:22" ht="47.25" customHeight="1">
      <c r="B504" s="341" t="s">
        <v>844</v>
      </c>
      <c r="C504" s="343" t="s">
        <v>365</v>
      </c>
      <c r="D504" s="343" t="s">
        <v>11</v>
      </c>
      <c r="E504" s="343" t="s">
        <v>366</v>
      </c>
      <c r="F504" s="343" t="s">
        <v>1664</v>
      </c>
      <c r="G504" s="313" t="s">
        <v>367</v>
      </c>
      <c r="H504" s="313"/>
      <c r="I504" s="313" t="s">
        <v>368</v>
      </c>
      <c r="J504" s="103" t="s">
        <v>1139</v>
      </c>
      <c r="K504" s="313" t="s">
        <v>1699</v>
      </c>
      <c r="L504" s="313" t="s">
        <v>369</v>
      </c>
      <c r="M504" s="106" t="s">
        <v>1823</v>
      </c>
      <c r="N504" s="155" t="s">
        <v>1729</v>
      </c>
      <c r="O504" s="155" t="s">
        <v>22</v>
      </c>
      <c r="P504" s="155" t="s">
        <v>943</v>
      </c>
      <c r="Q504" s="155" t="s">
        <v>944</v>
      </c>
      <c r="R504" s="106" t="s">
        <v>1017</v>
      </c>
      <c r="S504" s="169"/>
      <c r="T504" s="169"/>
      <c r="U504" s="169"/>
      <c r="V504" s="169"/>
    </row>
    <row r="505" spans="2:22" ht="47.25">
      <c r="B505" s="342"/>
      <c r="C505" s="344"/>
      <c r="D505" s="344"/>
      <c r="E505" s="344"/>
      <c r="F505" s="344"/>
      <c r="G505" s="314"/>
      <c r="H505" s="314"/>
      <c r="I505" s="314"/>
      <c r="J505" s="103" t="s">
        <v>1140</v>
      </c>
      <c r="K505" s="315"/>
      <c r="L505" s="315"/>
      <c r="M505" s="106" t="s">
        <v>1822</v>
      </c>
      <c r="N505" s="155" t="s">
        <v>1729</v>
      </c>
      <c r="O505" s="155" t="s">
        <v>22</v>
      </c>
      <c r="P505" s="155" t="s">
        <v>943</v>
      </c>
      <c r="Q505" s="155" t="s">
        <v>944</v>
      </c>
      <c r="R505" s="155" t="s">
        <v>945</v>
      </c>
      <c r="S505" s="169"/>
      <c r="T505" s="169"/>
      <c r="U505" s="169"/>
      <c r="V505" s="169"/>
    </row>
    <row r="506" spans="2:22" ht="47.25">
      <c r="B506" s="342"/>
      <c r="C506" s="344"/>
      <c r="D506" s="344"/>
      <c r="E506" s="344"/>
      <c r="F506" s="344"/>
      <c r="G506" s="314"/>
      <c r="H506" s="314"/>
      <c r="I506" s="314"/>
      <c r="J506" s="76" t="s">
        <v>845</v>
      </c>
      <c r="K506" s="106" t="s">
        <v>1700</v>
      </c>
      <c r="L506" s="106" t="s">
        <v>1837</v>
      </c>
      <c r="M506" s="106"/>
      <c r="N506" s="155" t="s">
        <v>1729</v>
      </c>
      <c r="O506" s="155" t="s">
        <v>22</v>
      </c>
      <c r="P506" s="155" t="s">
        <v>943</v>
      </c>
      <c r="Q506" s="155" t="s">
        <v>944</v>
      </c>
      <c r="R506" s="106" t="s">
        <v>945</v>
      </c>
      <c r="S506" s="169"/>
      <c r="T506" s="169"/>
      <c r="U506" s="169"/>
      <c r="V506" s="169"/>
    </row>
    <row r="507" spans="2:22" ht="47.25">
      <c r="B507" s="342"/>
      <c r="C507" s="344"/>
      <c r="D507" s="344"/>
      <c r="E507" s="344"/>
      <c r="F507" s="344"/>
      <c r="G507" s="314"/>
      <c r="H507" s="314"/>
      <c r="I507" s="314"/>
      <c r="J507" s="76" t="s">
        <v>846</v>
      </c>
      <c r="K507" s="106" t="s">
        <v>1700</v>
      </c>
      <c r="L507" s="106" t="s">
        <v>1838</v>
      </c>
      <c r="M507" s="106"/>
      <c r="N507" s="155" t="s">
        <v>1729</v>
      </c>
      <c r="O507" s="155" t="s">
        <v>22</v>
      </c>
      <c r="P507" s="155" t="s">
        <v>943</v>
      </c>
      <c r="Q507" s="155" t="s">
        <v>944</v>
      </c>
      <c r="R507" s="106" t="s">
        <v>945</v>
      </c>
      <c r="S507" s="169"/>
      <c r="T507" s="169"/>
      <c r="U507" s="169"/>
      <c r="V507" s="169"/>
    </row>
    <row r="508" spans="2:22" ht="41.45" customHeight="1">
      <c r="B508" s="342"/>
      <c r="C508" s="344"/>
      <c r="D508" s="344"/>
      <c r="E508" s="344"/>
      <c r="F508" s="344"/>
      <c r="G508" s="314"/>
      <c r="H508" s="314"/>
      <c r="I508" s="314"/>
      <c r="J508" s="103" t="s">
        <v>1141</v>
      </c>
      <c r="K508" s="313" t="s">
        <v>1700</v>
      </c>
      <c r="L508" s="313" t="s">
        <v>372</v>
      </c>
      <c r="M508" s="106" t="s">
        <v>1823</v>
      </c>
      <c r="N508" s="155" t="s">
        <v>1729</v>
      </c>
      <c r="O508" s="155" t="s">
        <v>22</v>
      </c>
      <c r="P508" s="155" t="s">
        <v>943</v>
      </c>
      <c r="Q508" s="155" t="s">
        <v>944</v>
      </c>
      <c r="R508" s="106" t="s">
        <v>1017</v>
      </c>
      <c r="S508" s="169"/>
      <c r="T508" s="169"/>
      <c r="U508" s="169"/>
      <c r="V508" s="169"/>
    </row>
    <row r="509" spans="2:22" ht="47.25">
      <c r="B509" s="342"/>
      <c r="C509" s="344"/>
      <c r="D509" s="344"/>
      <c r="E509" s="344"/>
      <c r="F509" s="344"/>
      <c r="G509" s="314"/>
      <c r="H509" s="314"/>
      <c r="I509" s="314"/>
      <c r="J509" s="103" t="s">
        <v>1142</v>
      </c>
      <c r="K509" s="315"/>
      <c r="L509" s="315"/>
      <c r="M509" s="106" t="s">
        <v>1822</v>
      </c>
      <c r="N509" s="155" t="s">
        <v>1729</v>
      </c>
      <c r="O509" s="155" t="s">
        <v>22</v>
      </c>
      <c r="P509" s="155" t="s">
        <v>943</v>
      </c>
      <c r="Q509" s="155" t="s">
        <v>944</v>
      </c>
      <c r="R509" s="155" t="s">
        <v>945</v>
      </c>
      <c r="S509" s="169"/>
      <c r="T509" s="169"/>
      <c r="U509" s="169"/>
      <c r="V509" s="169"/>
    </row>
    <row r="510" spans="2:22" ht="47.25">
      <c r="B510" s="342"/>
      <c r="C510" s="344"/>
      <c r="D510" s="344"/>
      <c r="E510" s="344"/>
      <c r="F510" s="344"/>
      <c r="G510" s="314"/>
      <c r="H510" s="314"/>
      <c r="I510" s="314"/>
      <c r="J510" s="76" t="s">
        <v>847</v>
      </c>
      <c r="K510" s="106" t="s">
        <v>1700</v>
      </c>
      <c r="L510" s="106" t="s">
        <v>1837</v>
      </c>
      <c r="M510" s="106"/>
      <c r="N510" s="155" t="s">
        <v>1729</v>
      </c>
      <c r="O510" s="155" t="s">
        <v>22</v>
      </c>
      <c r="P510" s="155" t="s">
        <v>943</v>
      </c>
      <c r="Q510" s="155" t="s">
        <v>944</v>
      </c>
      <c r="R510" s="106" t="s">
        <v>945</v>
      </c>
      <c r="S510" s="169"/>
      <c r="T510" s="169"/>
      <c r="U510" s="169"/>
      <c r="V510" s="169"/>
    </row>
    <row r="511" spans="2:22" ht="47.25">
      <c r="B511" s="342"/>
      <c r="C511" s="344"/>
      <c r="D511" s="344"/>
      <c r="E511" s="344"/>
      <c r="F511" s="344"/>
      <c r="G511" s="314"/>
      <c r="H511" s="314"/>
      <c r="I511" s="314"/>
      <c r="J511" s="76" t="s">
        <v>848</v>
      </c>
      <c r="K511" s="106" t="s">
        <v>1700</v>
      </c>
      <c r="L511" s="106" t="s">
        <v>1838</v>
      </c>
      <c r="M511" s="106"/>
      <c r="N511" s="155" t="s">
        <v>1729</v>
      </c>
      <c r="O511" s="155" t="s">
        <v>22</v>
      </c>
      <c r="P511" s="155" t="s">
        <v>943</v>
      </c>
      <c r="Q511" s="155" t="s">
        <v>944</v>
      </c>
      <c r="R511" s="106" t="s">
        <v>945</v>
      </c>
      <c r="S511" s="169"/>
      <c r="T511" s="169"/>
      <c r="U511" s="169"/>
      <c r="V511" s="169"/>
    </row>
    <row r="512" spans="2:22" ht="63">
      <c r="B512" s="342"/>
      <c r="C512" s="344"/>
      <c r="D512" s="344"/>
      <c r="E512" s="344"/>
      <c r="F512" s="344"/>
      <c r="G512" s="314"/>
      <c r="H512" s="314"/>
      <c r="I512" s="314"/>
      <c r="J512" s="103" t="s">
        <v>1143</v>
      </c>
      <c r="K512" s="313" t="s">
        <v>1700</v>
      </c>
      <c r="L512" s="313" t="s">
        <v>375</v>
      </c>
      <c r="M512" s="106" t="s">
        <v>1823</v>
      </c>
      <c r="N512" s="155" t="s">
        <v>1729</v>
      </c>
      <c r="O512" s="155" t="s">
        <v>22</v>
      </c>
      <c r="P512" s="155" t="s">
        <v>943</v>
      </c>
      <c r="Q512" s="155" t="s">
        <v>944</v>
      </c>
      <c r="R512" s="106" t="s">
        <v>1017</v>
      </c>
      <c r="S512" s="169"/>
      <c r="T512" s="169"/>
      <c r="U512" s="169"/>
      <c r="V512" s="169"/>
    </row>
    <row r="513" spans="2:22" ht="47.25">
      <c r="B513" s="342"/>
      <c r="C513" s="344"/>
      <c r="D513" s="344"/>
      <c r="E513" s="344"/>
      <c r="F513" s="344"/>
      <c r="G513" s="314"/>
      <c r="H513" s="314"/>
      <c r="I513" s="314"/>
      <c r="J513" s="103" t="s">
        <v>1144</v>
      </c>
      <c r="K513" s="315"/>
      <c r="L513" s="315"/>
      <c r="M513" s="106" t="s">
        <v>1822</v>
      </c>
      <c r="N513" s="155" t="s">
        <v>1729</v>
      </c>
      <c r="O513" s="155" t="s">
        <v>22</v>
      </c>
      <c r="P513" s="155" t="s">
        <v>943</v>
      </c>
      <c r="Q513" s="155" t="s">
        <v>944</v>
      </c>
      <c r="R513" s="155" t="s">
        <v>945</v>
      </c>
      <c r="S513" s="169"/>
      <c r="T513" s="169"/>
      <c r="U513" s="169"/>
      <c r="V513" s="169"/>
    </row>
    <row r="514" spans="2:22" ht="47.25">
      <c r="B514" s="342"/>
      <c r="C514" s="344"/>
      <c r="D514" s="344"/>
      <c r="E514" s="344"/>
      <c r="F514" s="344"/>
      <c r="G514" s="314"/>
      <c r="H514" s="314"/>
      <c r="I514" s="314"/>
      <c r="J514" s="76" t="s">
        <v>849</v>
      </c>
      <c r="K514" s="106" t="s">
        <v>1700</v>
      </c>
      <c r="L514" s="106" t="s">
        <v>1837</v>
      </c>
      <c r="M514" s="106"/>
      <c r="N514" s="155" t="s">
        <v>1729</v>
      </c>
      <c r="O514" s="155" t="s">
        <v>22</v>
      </c>
      <c r="P514" s="155" t="s">
        <v>943</v>
      </c>
      <c r="Q514" s="155" t="s">
        <v>944</v>
      </c>
      <c r="R514" s="106" t="s">
        <v>945</v>
      </c>
      <c r="S514" s="169"/>
      <c r="T514" s="169"/>
      <c r="U514" s="169"/>
      <c r="V514" s="169"/>
    </row>
    <row r="515" spans="2:22" ht="47.25">
      <c r="B515" s="342"/>
      <c r="C515" s="344"/>
      <c r="D515" s="344"/>
      <c r="E515" s="344"/>
      <c r="F515" s="344"/>
      <c r="G515" s="314"/>
      <c r="H515" s="314"/>
      <c r="I515" s="314"/>
      <c r="J515" s="76" t="s">
        <v>850</v>
      </c>
      <c r="K515" s="106" t="s">
        <v>1700</v>
      </c>
      <c r="L515" s="106" t="s">
        <v>1838</v>
      </c>
      <c r="M515" s="106"/>
      <c r="N515" s="155" t="s">
        <v>1729</v>
      </c>
      <c r="O515" s="155" t="s">
        <v>22</v>
      </c>
      <c r="P515" s="155" t="s">
        <v>943</v>
      </c>
      <c r="Q515" s="155" t="s">
        <v>944</v>
      </c>
      <c r="R515" s="106" t="s">
        <v>945</v>
      </c>
      <c r="S515" s="169"/>
      <c r="T515" s="169"/>
      <c r="U515" s="169"/>
      <c r="V515" s="169"/>
    </row>
    <row r="516" spans="2:22" ht="63">
      <c r="B516" s="342"/>
      <c r="C516" s="344"/>
      <c r="D516" s="344"/>
      <c r="E516" s="344"/>
      <c r="F516" s="344"/>
      <c r="G516" s="314"/>
      <c r="H516" s="314"/>
      <c r="I516" s="314"/>
      <c r="J516" s="103" t="s">
        <v>1145</v>
      </c>
      <c r="K516" s="313" t="s">
        <v>1700</v>
      </c>
      <c r="L516" s="313" t="s">
        <v>378</v>
      </c>
      <c r="M516" s="106" t="s">
        <v>1823</v>
      </c>
      <c r="N516" s="155" t="s">
        <v>1729</v>
      </c>
      <c r="O516" s="155" t="s">
        <v>22</v>
      </c>
      <c r="P516" s="155" t="s">
        <v>943</v>
      </c>
      <c r="Q516" s="155" t="s">
        <v>944</v>
      </c>
      <c r="R516" s="106" t="s">
        <v>1017</v>
      </c>
      <c r="S516" s="169"/>
      <c r="T516" s="169"/>
      <c r="U516" s="169"/>
      <c r="V516" s="169"/>
    </row>
    <row r="517" spans="2:22" ht="47.25">
      <c r="B517" s="342"/>
      <c r="C517" s="344"/>
      <c r="D517" s="344"/>
      <c r="E517" s="344"/>
      <c r="F517" s="344"/>
      <c r="G517" s="314"/>
      <c r="H517" s="314"/>
      <c r="I517" s="314"/>
      <c r="J517" s="103" t="s">
        <v>1146</v>
      </c>
      <c r="K517" s="315"/>
      <c r="L517" s="315"/>
      <c r="M517" s="106" t="s">
        <v>1822</v>
      </c>
      <c r="N517" s="155" t="s">
        <v>1729</v>
      </c>
      <c r="O517" s="155" t="s">
        <v>22</v>
      </c>
      <c r="P517" s="155" t="s">
        <v>943</v>
      </c>
      <c r="Q517" s="155" t="s">
        <v>944</v>
      </c>
      <c r="R517" s="155" t="s">
        <v>945</v>
      </c>
      <c r="S517" s="169"/>
      <c r="T517" s="169"/>
      <c r="U517" s="169"/>
      <c r="V517" s="169"/>
    </row>
    <row r="518" spans="2:22" ht="47.25">
      <c r="B518" s="342"/>
      <c r="C518" s="344"/>
      <c r="D518" s="344"/>
      <c r="E518" s="344"/>
      <c r="F518" s="344"/>
      <c r="G518" s="314"/>
      <c r="H518" s="314"/>
      <c r="I518" s="314"/>
      <c r="J518" s="76" t="s">
        <v>851</v>
      </c>
      <c r="K518" s="106" t="s">
        <v>1700</v>
      </c>
      <c r="L518" s="106" t="s">
        <v>1837</v>
      </c>
      <c r="M518" s="106"/>
      <c r="N518" s="155" t="s">
        <v>1729</v>
      </c>
      <c r="O518" s="155" t="s">
        <v>22</v>
      </c>
      <c r="P518" s="155" t="s">
        <v>943</v>
      </c>
      <c r="Q518" s="155" t="s">
        <v>944</v>
      </c>
      <c r="R518" s="106" t="s">
        <v>945</v>
      </c>
      <c r="S518" s="169"/>
      <c r="T518" s="169"/>
      <c r="U518" s="169"/>
      <c r="V518" s="169"/>
    </row>
    <row r="519" spans="2:22" ht="47.25">
      <c r="B519" s="342"/>
      <c r="C519" s="344"/>
      <c r="D519" s="344"/>
      <c r="E519" s="344"/>
      <c r="F519" s="344"/>
      <c r="G519" s="314"/>
      <c r="H519" s="314"/>
      <c r="I519" s="314"/>
      <c r="J519" s="76" t="s">
        <v>852</v>
      </c>
      <c r="K519" s="106" t="s">
        <v>1700</v>
      </c>
      <c r="L519" s="106" t="s">
        <v>1838</v>
      </c>
      <c r="M519" s="106"/>
      <c r="N519" s="155" t="s">
        <v>1729</v>
      </c>
      <c r="O519" s="155" t="s">
        <v>22</v>
      </c>
      <c r="P519" s="155" t="s">
        <v>943</v>
      </c>
      <c r="Q519" s="155" t="s">
        <v>944</v>
      </c>
      <c r="R519" s="106" t="s">
        <v>945</v>
      </c>
      <c r="S519" s="169"/>
      <c r="T519" s="169"/>
      <c r="U519" s="169"/>
      <c r="V519" s="169"/>
    </row>
    <row r="520" spans="2:22" ht="63">
      <c r="B520" s="342"/>
      <c r="C520" s="344"/>
      <c r="D520" s="344"/>
      <c r="E520" s="344"/>
      <c r="F520" s="344"/>
      <c r="G520" s="314"/>
      <c r="H520" s="314"/>
      <c r="I520" s="314"/>
      <c r="J520" s="103" t="s">
        <v>1147</v>
      </c>
      <c r="K520" s="313" t="s">
        <v>1700</v>
      </c>
      <c r="L520" s="313" t="s">
        <v>381</v>
      </c>
      <c r="M520" s="106" t="s">
        <v>1823</v>
      </c>
      <c r="N520" s="155" t="s">
        <v>1729</v>
      </c>
      <c r="O520" s="155" t="s">
        <v>22</v>
      </c>
      <c r="P520" s="155" t="s">
        <v>943</v>
      </c>
      <c r="Q520" s="155" t="s">
        <v>944</v>
      </c>
      <c r="R520" s="106" t="s">
        <v>1017</v>
      </c>
      <c r="S520" s="169"/>
      <c r="T520" s="169"/>
      <c r="U520" s="169"/>
      <c r="V520" s="169"/>
    </row>
    <row r="521" spans="2:22" ht="47.25">
      <c r="B521" s="342"/>
      <c r="C521" s="344"/>
      <c r="D521" s="344"/>
      <c r="E521" s="344"/>
      <c r="F521" s="344"/>
      <c r="G521" s="314"/>
      <c r="H521" s="314"/>
      <c r="I521" s="314"/>
      <c r="J521" s="103" t="s">
        <v>1148</v>
      </c>
      <c r="K521" s="315"/>
      <c r="L521" s="315"/>
      <c r="M521" s="106" t="s">
        <v>1822</v>
      </c>
      <c r="N521" s="155" t="s">
        <v>1729</v>
      </c>
      <c r="O521" s="155" t="s">
        <v>22</v>
      </c>
      <c r="P521" s="155" t="s">
        <v>943</v>
      </c>
      <c r="Q521" s="155" t="s">
        <v>944</v>
      </c>
      <c r="R521" s="155" t="s">
        <v>945</v>
      </c>
      <c r="S521" s="169"/>
      <c r="T521" s="169"/>
      <c r="U521" s="169"/>
      <c r="V521" s="169"/>
    </row>
    <row r="522" spans="2:22" ht="47.25">
      <c r="B522" s="342"/>
      <c r="C522" s="344"/>
      <c r="D522" s="344"/>
      <c r="E522" s="344"/>
      <c r="F522" s="344"/>
      <c r="G522" s="314"/>
      <c r="H522" s="314"/>
      <c r="I522" s="314"/>
      <c r="J522" s="76" t="s">
        <v>853</v>
      </c>
      <c r="K522" s="106" t="s">
        <v>1700</v>
      </c>
      <c r="L522" s="106" t="s">
        <v>1837</v>
      </c>
      <c r="M522" s="106"/>
      <c r="N522" s="155" t="s">
        <v>1729</v>
      </c>
      <c r="O522" s="155" t="s">
        <v>22</v>
      </c>
      <c r="P522" s="155" t="s">
        <v>943</v>
      </c>
      <c r="Q522" s="155" t="s">
        <v>944</v>
      </c>
      <c r="R522" s="106" t="s">
        <v>945</v>
      </c>
      <c r="S522" s="169"/>
      <c r="T522" s="169"/>
      <c r="U522" s="169"/>
      <c r="V522" s="169"/>
    </row>
    <row r="523" spans="2:22" ht="47.25">
      <c r="B523" s="342"/>
      <c r="C523" s="344"/>
      <c r="D523" s="344"/>
      <c r="E523" s="344"/>
      <c r="F523" s="344"/>
      <c r="G523" s="314"/>
      <c r="H523" s="314"/>
      <c r="I523" s="314"/>
      <c r="J523" s="76" t="s">
        <v>854</v>
      </c>
      <c r="K523" s="106" t="s">
        <v>1700</v>
      </c>
      <c r="L523" s="106" t="s">
        <v>1838</v>
      </c>
      <c r="M523" s="106"/>
      <c r="N523" s="155" t="s">
        <v>1729</v>
      </c>
      <c r="O523" s="155" t="s">
        <v>22</v>
      </c>
      <c r="P523" s="155" t="s">
        <v>943</v>
      </c>
      <c r="Q523" s="155" t="s">
        <v>944</v>
      </c>
      <c r="R523" s="106" t="s">
        <v>945</v>
      </c>
      <c r="S523" s="169"/>
      <c r="T523" s="169"/>
      <c r="U523" s="169"/>
      <c r="V523" s="169"/>
    </row>
    <row r="524" spans="2:22" ht="63">
      <c r="B524" s="342"/>
      <c r="C524" s="344"/>
      <c r="D524" s="344"/>
      <c r="E524" s="344"/>
      <c r="F524" s="344"/>
      <c r="G524" s="314"/>
      <c r="H524" s="314"/>
      <c r="I524" s="314"/>
      <c r="J524" s="103" t="s">
        <v>1149</v>
      </c>
      <c r="K524" s="313" t="s">
        <v>1700</v>
      </c>
      <c r="L524" s="313" t="s">
        <v>384</v>
      </c>
      <c r="M524" s="106" t="s">
        <v>1823</v>
      </c>
      <c r="N524" s="155" t="s">
        <v>1729</v>
      </c>
      <c r="O524" s="155" t="s">
        <v>22</v>
      </c>
      <c r="P524" s="155" t="s">
        <v>943</v>
      </c>
      <c r="Q524" s="155" t="s">
        <v>944</v>
      </c>
      <c r="R524" s="106" t="s">
        <v>1017</v>
      </c>
      <c r="S524" s="169"/>
      <c r="T524" s="169"/>
      <c r="U524" s="169"/>
      <c r="V524" s="169"/>
    </row>
    <row r="525" spans="2:22" ht="47.25">
      <c r="B525" s="342"/>
      <c r="C525" s="344"/>
      <c r="D525" s="344"/>
      <c r="E525" s="344"/>
      <c r="F525" s="344"/>
      <c r="G525" s="314"/>
      <c r="H525" s="314"/>
      <c r="I525" s="314"/>
      <c r="J525" s="103" t="s">
        <v>1150</v>
      </c>
      <c r="K525" s="315"/>
      <c r="L525" s="315"/>
      <c r="M525" s="106" t="s">
        <v>1822</v>
      </c>
      <c r="N525" s="155" t="s">
        <v>1729</v>
      </c>
      <c r="O525" s="155" t="s">
        <v>22</v>
      </c>
      <c r="P525" s="155" t="s">
        <v>943</v>
      </c>
      <c r="Q525" s="155" t="s">
        <v>944</v>
      </c>
      <c r="R525" s="106"/>
      <c r="S525" s="169"/>
      <c r="T525" s="169"/>
      <c r="U525" s="169"/>
      <c r="V525" s="169"/>
    </row>
    <row r="526" spans="2:22" ht="47.25">
      <c r="B526" s="342"/>
      <c r="C526" s="344"/>
      <c r="D526" s="344"/>
      <c r="E526" s="344"/>
      <c r="F526" s="344"/>
      <c r="G526" s="314"/>
      <c r="H526" s="314"/>
      <c r="I526" s="314"/>
      <c r="J526" s="76" t="s">
        <v>855</v>
      </c>
      <c r="K526" s="106" t="s">
        <v>1700</v>
      </c>
      <c r="L526" s="106" t="s">
        <v>1837</v>
      </c>
      <c r="M526" s="106"/>
      <c r="N526" s="155" t="s">
        <v>1729</v>
      </c>
      <c r="O526" s="155" t="s">
        <v>22</v>
      </c>
      <c r="P526" s="155" t="s">
        <v>943</v>
      </c>
      <c r="Q526" s="155" t="s">
        <v>944</v>
      </c>
      <c r="R526" s="106" t="s">
        <v>945</v>
      </c>
      <c r="S526" s="169"/>
      <c r="T526" s="169"/>
      <c r="U526" s="169"/>
      <c r="V526" s="169"/>
    </row>
    <row r="527" spans="2:22" ht="47.25">
      <c r="B527" s="342"/>
      <c r="C527" s="344"/>
      <c r="D527" s="344"/>
      <c r="E527" s="344"/>
      <c r="F527" s="344"/>
      <c r="G527" s="314"/>
      <c r="H527" s="314"/>
      <c r="I527" s="314"/>
      <c r="J527" s="76" t="s">
        <v>856</v>
      </c>
      <c r="K527" s="106" t="s">
        <v>1700</v>
      </c>
      <c r="L527" s="106" t="s">
        <v>1838</v>
      </c>
      <c r="M527" s="106"/>
      <c r="N527" s="155" t="s">
        <v>1729</v>
      </c>
      <c r="O527" s="155" t="s">
        <v>22</v>
      </c>
      <c r="P527" s="155" t="s">
        <v>943</v>
      </c>
      <c r="Q527" s="155" t="s">
        <v>944</v>
      </c>
      <c r="R527" s="106" t="s">
        <v>945</v>
      </c>
      <c r="S527" s="169"/>
      <c r="T527" s="169"/>
      <c r="U527" s="169"/>
      <c r="V527" s="169"/>
    </row>
    <row r="528" spans="2:22" ht="63">
      <c r="B528" s="342"/>
      <c r="C528" s="344"/>
      <c r="D528" s="344"/>
      <c r="E528" s="344"/>
      <c r="F528" s="344"/>
      <c r="G528" s="314"/>
      <c r="H528" s="314"/>
      <c r="I528" s="314"/>
      <c r="J528" s="103" t="s">
        <v>1151</v>
      </c>
      <c r="K528" s="313" t="s">
        <v>1700</v>
      </c>
      <c r="L528" s="313" t="s">
        <v>387</v>
      </c>
      <c r="M528" s="106" t="s">
        <v>1823</v>
      </c>
      <c r="N528" s="155" t="s">
        <v>1729</v>
      </c>
      <c r="O528" s="155" t="s">
        <v>22</v>
      </c>
      <c r="P528" s="155" t="s">
        <v>943</v>
      </c>
      <c r="Q528" s="155" t="s">
        <v>944</v>
      </c>
      <c r="R528" s="106" t="s">
        <v>1017</v>
      </c>
      <c r="S528" s="169"/>
      <c r="T528" s="169"/>
      <c r="U528" s="169"/>
      <c r="V528" s="169"/>
    </row>
    <row r="529" spans="2:22" ht="47.25">
      <c r="B529" s="342"/>
      <c r="C529" s="344"/>
      <c r="D529" s="344"/>
      <c r="E529" s="344"/>
      <c r="F529" s="344"/>
      <c r="G529" s="314"/>
      <c r="H529" s="314"/>
      <c r="I529" s="314"/>
      <c r="J529" s="103" t="s">
        <v>1152</v>
      </c>
      <c r="K529" s="315"/>
      <c r="L529" s="315"/>
      <c r="M529" s="106" t="s">
        <v>1822</v>
      </c>
      <c r="N529" s="155" t="s">
        <v>1729</v>
      </c>
      <c r="O529" s="155" t="s">
        <v>22</v>
      </c>
      <c r="P529" s="155" t="s">
        <v>943</v>
      </c>
      <c r="Q529" s="155" t="s">
        <v>944</v>
      </c>
      <c r="R529" s="155" t="s">
        <v>945</v>
      </c>
      <c r="S529" s="169"/>
      <c r="T529" s="169"/>
      <c r="U529" s="169"/>
      <c r="V529" s="169"/>
    </row>
    <row r="530" spans="2:22" ht="47.25">
      <c r="B530" s="342"/>
      <c r="C530" s="344"/>
      <c r="D530" s="344"/>
      <c r="E530" s="344"/>
      <c r="F530" s="344"/>
      <c r="G530" s="314"/>
      <c r="H530" s="314"/>
      <c r="I530" s="314"/>
      <c r="J530" s="76" t="s">
        <v>857</v>
      </c>
      <c r="K530" s="106" t="s">
        <v>1700</v>
      </c>
      <c r="L530" s="106" t="s">
        <v>1837</v>
      </c>
      <c r="M530" s="106"/>
      <c r="N530" s="155" t="s">
        <v>1729</v>
      </c>
      <c r="O530" s="155" t="s">
        <v>22</v>
      </c>
      <c r="P530" s="155" t="s">
        <v>943</v>
      </c>
      <c r="Q530" s="155" t="s">
        <v>944</v>
      </c>
      <c r="R530" s="106" t="s">
        <v>945</v>
      </c>
      <c r="S530" s="169"/>
      <c r="T530" s="169"/>
      <c r="U530" s="169"/>
      <c r="V530" s="169"/>
    </row>
    <row r="531" spans="2:22" ht="47.25">
      <c r="B531" s="342"/>
      <c r="C531" s="344"/>
      <c r="D531" s="344"/>
      <c r="E531" s="344"/>
      <c r="F531" s="344"/>
      <c r="G531" s="314"/>
      <c r="H531" s="314"/>
      <c r="I531" s="314"/>
      <c r="J531" s="76" t="s">
        <v>858</v>
      </c>
      <c r="K531" s="106" t="s">
        <v>1700</v>
      </c>
      <c r="L531" s="106" t="s">
        <v>1838</v>
      </c>
      <c r="M531" s="106"/>
      <c r="N531" s="155" t="s">
        <v>1729</v>
      </c>
      <c r="O531" s="155" t="s">
        <v>22</v>
      </c>
      <c r="P531" s="155" t="s">
        <v>943</v>
      </c>
      <c r="Q531" s="155" t="s">
        <v>944</v>
      </c>
      <c r="R531" s="106" t="s">
        <v>945</v>
      </c>
      <c r="S531" s="169"/>
      <c r="T531" s="169"/>
      <c r="U531" s="169"/>
      <c r="V531" s="169"/>
    </row>
    <row r="532" spans="2:22" ht="63">
      <c r="B532" s="342"/>
      <c r="C532" s="344"/>
      <c r="D532" s="344"/>
      <c r="E532" s="344"/>
      <c r="F532" s="344"/>
      <c r="G532" s="314"/>
      <c r="H532" s="314"/>
      <c r="I532" s="314"/>
      <c r="J532" s="103" t="s">
        <v>1153</v>
      </c>
      <c r="K532" s="313" t="s">
        <v>1700</v>
      </c>
      <c r="L532" s="313" t="s">
        <v>390</v>
      </c>
      <c r="M532" s="106" t="s">
        <v>1823</v>
      </c>
      <c r="N532" s="155" t="s">
        <v>1729</v>
      </c>
      <c r="O532" s="155" t="s">
        <v>22</v>
      </c>
      <c r="P532" s="155" t="s">
        <v>943</v>
      </c>
      <c r="Q532" s="155" t="s">
        <v>944</v>
      </c>
      <c r="R532" s="106" t="s">
        <v>1017</v>
      </c>
      <c r="S532" s="169"/>
      <c r="T532" s="169"/>
      <c r="U532" s="169"/>
      <c r="V532" s="169"/>
    </row>
    <row r="533" spans="2:22" ht="47.25">
      <c r="B533" s="342"/>
      <c r="C533" s="344"/>
      <c r="D533" s="344"/>
      <c r="E533" s="344"/>
      <c r="F533" s="344"/>
      <c r="G533" s="314"/>
      <c r="H533" s="314"/>
      <c r="I533" s="314"/>
      <c r="J533" s="103" t="s">
        <v>1154</v>
      </c>
      <c r="K533" s="315"/>
      <c r="L533" s="315"/>
      <c r="M533" s="106" t="s">
        <v>1822</v>
      </c>
      <c r="N533" s="155" t="s">
        <v>1729</v>
      </c>
      <c r="O533" s="155" t="s">
        <v>22</v>
      </c>
      <c r="P533" s="155" t="s">
        <v>943</v>
      </c>
      <c r="Q533" s="155" t="s">
        <v>944</v>
      </c>
      <c r="R533" s="155" t="s">
        <v>945</v>
      </c>
      <c r="S533" s="169"/>
      <c r="T533" s="169"/>
      <c r="U533" s="169"/>
      <c r="V533" s="169"/>
    </row>
    <row r="534" spans="2:22" ht="47.25">
      <c r="B534" s="342"/>
      <c r="C534" s="344"/>
      <c r="D534" s="344"/>
      <c r="E534" s="344"/>
      <c r="F534" s="344"/>
      <c r="G534" s="314"/>
      <c r="H534" s="314"/>
      <c r="I534" s="314"/>
      <c r="J534" s="76" t="s">
        <v>859</v>
      </c>
      <c r="K534" s="106" t="s">
        <v>1700</v>
      </c>
      <c r="L534" s="106" t="s">
        <v>1837</v>
      </c>
      <c r="M534" s="106"/>
      <c r="N534" s="155" t="s">
        <v>1729</v>
      </c>
      <c r="O534" s="155" t="s">
        <v>22</v>
      </c>
      <c r="P534" s="155" t="s">
        <v>943</v>
      </c>
      <c r="Q534" s="155" t="s">
        <v>944</v>
      </c>
      <c r="R534" s="106" t="s">
        <v>945</v>
      </c>
      <c r="S534" s="169"/>
      <c r="T534" s="169"/>
      <c r="U534" s="169"/>
      <c r="V534" s="169"/>
    </row>
    <row r="535" spans="2:22" ht="47.25">
      <c r="B535" s="342"/>
      <c r="C535" s="344"/>
      <c r="D535" s="344"/>
      <c r="E535" s="344"/>
      <c r="F535" s="344"/>
      <c r="G535" s="314"/>
      <c r="H535" s="314"/>
      <c r="I535" s="314"/>
      <c r="J535" s="76" t="s">
        <v>860</v>
      </c>
      <c r="K535" s="106" t="s">
        <v>1700</v>
      </c>
      <c r="L535" s="106" t="s">
        <v>1838</v>
      </c>
      <c r="M535" s="106"/>
      <c r="N535" s="155" t="s">
        <v>1729</v>
      </c>
      <c r="O535" s="155" t="s">
        <v>22</v>
      </c>
      <c r="P535" s="155" t="s">
        <v>943</v>
      </c>
      <c r="Q535" s="155" t="s">
        <v>944</v>
      </c>
      <c r="R535" s="106" t="s">
        <v>945</v>
      </c>
      <c r="S535" s="169"/>
      <c r="T535" s="169"/>
      <c r="U535" s="169"/>
      <c r="V535" s="169"/>
    </row>
    <row r="536" spans="2:22" ht="63">
      <c r="B536" s="342"/>
      <c r="C536" s="344"/>
      <c r="D536" s="344"/>
      <c r="E536" s="344"/>
      <c r="F536" s="344"/>
      <c r="G536" s="314"/>
      <c r="H536" s="314"/>
      <c r="I536" s="314"/>
      <c r="J536" s="103" t="s">
        <v>1155</v>
      </c>
      <c r="K536" s="313" t="s">
        <v>1700</v>
      </c>
      <c r="L536" s="313" t="s">
        <v>393</v>
      </c>
      <c r="M536" s="106" t="s">
        <v>1823</v>
      </c>
      <c r="N536" s="155" t="s">
        <v>1729</v>
      </c>
      <c r="O536" s="155" t="s">
        <v>22</v>
      </c>
      <c r="P536" s="155" t="s">
        <v>943</v>
      </c>
      <c r="Q536" s="155" t="s">
        <v>944</v>
      </c>
      <c r="R536" s="106" t="s">
        <v>1017</v>
      </c>
      <c r="S536" s="169"/>
      <c r="T536" s="169"/>
      <c r="U536" s="169"/>
      <c r="V536" s="169"/>
    </row>
    <row r="537" spans="2:22" ht="47.25">
      <c r="B537" s="342"/>
      <c r="C537" s="344"/>
      <c r="D537" s="344"/>
      <c r="E537" s="344"/>
      <c r="F537" s="344"/>
      <c r="G537" s="314"/>
      <c r="H537" s="314"/>
      <c r="I537" s="314"/>
      <c r="J537" s="103" t="s">
        <v>1156</v>
      </c>
      <c r="K537" s="315"/>
      <c r="L537" s="315"/>
      <c r="M537" s="106" t="s">
        <v>1822</v>
      </c>
      <c r="N537" s="155" t="s">
        <v>1729</v>
      </c>
      <c r="O537" s="155" t="s">
        <v>22</v>
      </c>
      <c r="P537" s="155" t="s">
        <v>943</v>
      </c>
      <c r="Q537" s="155" t="s">
        <v>944</v>
      </c>
      <c r="R537" s="155" t="s">
        <v>945</v>
      </c>
      <c r="S537" s="169"/>
      <c r="T537" s="169"/>
      <c r="U537" s="169"/>
      <c r="V537" s="169"/>
    </row>
    <row r="538" spans="2:22" ht="47.25">
      <c r="B538" s="342"/>
      <c r="C538" s="344"/>
      <c r="D538" s="344"/>
      <c r="E538" s="344"/>
      <c r="F538" s="344"/>
      <c r="G538" s="314"/>
      <c r="H538" s="314"/>
      <c r="I538" s="314"/>
      <c r="J538" s="76" t="s">
        <v>861</v>
      </c>
      <c r="K538" s="106" t="s">
        <v>1700</v>
      </c>
      <c r="L538" s="106" t="s">
        <v>1837</v>
      </c>
      <c r="M538" s="106"/>
      <c r="N538" s="155" t="s">
        <v>1729</v>
      </c>
      <c r="O538" s="155" t="s">
        <v>22</v>
      </c>
      <c r="P538" s="155" t="s">
        <v>943</v>
      </c>
      <c r="Q538" s="155" t="s">
        <v>944</v>
      </c>
      <c r="R538" s="106" t="s">
        <v>945</v>
      </c>
      <c r="S538" s="169"/>
      <c r="T538" s="169"/>
      <c r="U538" s="169"/>
      <c r="V538" s="169"/>
    </row>
    <row r="539" spans="2:22" ht="47.25">
      <c r="B539" s="342"/>
      <c r="C539" s="344"/>
      <c r="D539" s="344"/>
      <c r="E539" s="344"/>
      <c r="F539" s="344"/>
      <c r="G539" s="314"/>
      <c r="H539" s="314"/>
      <c r="I539" s="314"/>
      <c r="J539" s="76" t="s">
        <v>862</v>
      </c>
      <c r="K539" s="106" t="s">
        <v>1700</v>
      </c>
      <c r="L539" s="106" t="s">
        <v>1838</v>
      </c>
      <c r="M539" s="106"/>
      <c r="N539" s="155" t="s">
        <v>1729</v>
      </c>
      <c r="O539" s="155" t="s">
        <v>22</v>
      </c>
      <c r="P539" s="155" t="s">
        <v>943</v>
      </c>
      <c r="Q539" s="155" t="s">
        <v>944</v>
      </c>
      <c r="R539" s="106" t="s">
        <v>945</v>
      </c>
      <c r="S539" s="169"/>
      <c r="T539" s="169"/>
      <c r="U539" s="169"/>
      <c r="V539" s="169"/>
    </row>
    <row r="540" spans="2:22" ht="63">
      <c r="B540" s="342"/>
      <c r="C540" s="344"/>
      <c r="D540" s="344"/>
      <c r="E540" s="344"/>
      <c r="F540" s="344"/>
      <c r="G540" s="314"/>
      <c r="H540" s="314"/>
      <c r="I540" s="314"/>
      <c r="J540" s="103" t="s">
        <v>1157</v>
      </c>
      <c r="K540" s="313" t="s">
        <v>1700</v>
      </c>
      <c r="L540" s="313" t="s">
        <v>396</v>
      </c>
      <c r="M540" s="106" t="s">
        <v>1823</v>
      </c>
      <c r="N540" s="155" t="s">
        <v>1729</v>
      </c>
      <c r="O540" s="155" t="s">
        <v>22</v>
      </c>
      <c r="P540" s="155" t="s">
        <v>943</v>
      </c>
      <c r="Q540" s="155" t="s">
        <v>944</v>
      </c>
      <c r="R540" s="106" t="s">
        <v>1017</v>
      </c>
      <c r="S540" s="169"/>
      <c r="T540" s="169"/>
      <c r="U540" s="169"/>
      <c r="V540" s="169"/>
    </row>
    <row r="541" spans="2:22" ht="47.25">
      <c r="B541" s="342"/>
      <c r="C541" s="344"/>
      <c r="D541" s="344"/>
      <c r="E541" s="344"/>
      <c r="F541" s="344"/>
      <c r="G541" s="314"/>
      <c r="H541" s="314"/>
      <c r="I541" s="314"/>
      <c r="J541" s="103" t="s">
        <v>1158</v>
      </c>
      <c r="K541" s="315"/>
      <c r="L541" s="315"/>
      <c r="M541" s="106" t="s">
        <v>1822</v>
      </c>
      <c r="N541" s="155" t="s">
        <v>1729</v>
      </c>
      <c r="O541" s="155" t="s">
        <v>22</v>
      </c>
      <c r="P541" s="155" t="s">
        <v>943</v>
      </c>
      <c r="Q541" s="155" t="s">
        <v>944</v>
      </c>
      <c r="R541" s="155" t="s">
        <v>945</v>
      </c>
      <c r="S541" s="169"/>
      <c r="T541" s="169"/>
      <c r="U541" s="169"/>
      <c r="V541" s="169"/>
    </row>
    <row r="542" spans="2:22" ht="47.25">
      <c r="B542" s="342"/>
      <c r="C542" s="344"/>
      <c r="D542" s="344"/>
      <c r="E542" s="344"/>
      <c r="F542" s="344"/>
      <c r="G542" s="314"/>
      <c r="H542" s="314"/>
      <c r="I542" s="314"/>
      <c r="J542" s="76" t="s">
        <v>863</v>
      </c>
      <c r="K542" s="106" t="s">
        <v>1700</v>
      </c>
      <c r="L542" s="106" t="s">
        <v>1837</v>
      </c>
      <c r="M542" s="106"/>
      <c r="N542" s="155" t="s">
        <v>1729</v>
      </c>
      <c r="O542" s="155" t="s">
        <v>22</v>
      </c>
      <c r="P542" s="155" t="s">
        <v>943</v>
      </c>
      <c r="Q542" s="155" t="s">
        <v>944</v>
      </c>
      <c r="R542" s="106" t="s">
        <v>945</v>
      </c>
      <c r="S542" s="169"/>
      <c r="T542" s="169"/>
      <c r="U542" s="169"/>
      <c r="V542" s="169"/>
    </row>
    <row r="543" spans="2:22" ht="47.25">
      <c r="B543" s="342"/>
      <c r="C543" s="344"/>
      <c r="D543" s="344"/>
      <c r="E543" s="344"/>
      <c r="F543" s="344"/>
      <c r="G543" s="314"/>
      <c r="H543" s="314"/>
      <c r="I543" s="314"/>
      <c r="J543" s="76" t="s">
        <v>864</v>
      </c>
      <c r="K543" s="106" t="s">
        <v>1700</v>
      </c>
      <c r="L543" s="106" t="s">
        <v>1838</v>
      </c>
      <c r="M543" s="106"/>
      <c r="N543" s="155" t="s">
        <v>1729</v>
      </c>
      <c r="O543" s="155" t="s">
        <v>22</v>
      </c>
      <c r="P543" s="155" t="s">
        <v>943</v>
      </c>
      <c r="Q543" s="155" t="s">
        <v>944</v>
      </c>
      <c r="R543" s="106" t="s">
        <v>945</v>
      </c>
      <c r="S543" s="169"/>
      <c r="T543" s="169"/>
      <c r="U543" s="169"/>
      <c r="V543" s="169"/>
    </row>
    <row r="544" spans="2:22" ht="63">
      <c r="B544" s="342"/>
      <c r="C544" s="344"/>
      <c r="D544" s="344"/>
      <c r="E544" s="344"/>
      <c r="F544" s="344"/>
      <c r="G544" s="314"/>
      <c r="H544" s="314"/>
      <c r="I544" s="314"/>
      <c r="J544" s="103" t="s">
        <v>1159</v>
      </c>
      <c r="K544" s="313" t="s">
        <v>1700</v>
      </c>
      <c r="L544" s="313" t="s">
        <v>399</v>
      </c>
      <c r="M544" s="106" t="s">
        <v>1823</v>
      </c>
      <c r="N544" s="155" t="s">
        <v>1729</v>
      </c>
      <c r="O544" s="155" t="s">
        <v>22</v>
      </c>
      <c r="P544" s="155" t="s">
        <v>943</v>
      </c>
      <c r="Q544" s="155" t="s">
        <v>944</v>
      </c>
      <c r="R544" s="106" t="s">
        <v>1017</v>
      </c>
      <c r="S544" s="169"/>
      <c r="T544" s="169"/>
      <c r="U544" s="169"/>
      <c r="V544" s="169"/>
    </row>
    <row r="545" spans="2:22" ht="47.25">
      <c r="B545" s="342"/>
      <c r="C545" s="344"/>
      <c r="D545" s="344"/>
      <c r="E545" s="344"/>
      <c r="F545" s="344"/>
      <c r="G545" s="314"/>
      <c r="H545" s="314"/>
      <c r="I545" s="314"/>
      <c r="J545" s="103" t="s">
        <v>1160</v>
      </c>
      <c r="K545" s="315"/>
      <c r="L545" s="315"/>
      <c r="M545" s="106" t="s">
        <v>1822</v>
      </c>
      <c r="N545" s="155" t="s">
        <v>1729</v>
      </c>
      <c r="O545" s="155" t="s">
        <v>22</v>
      </c>
      <c r="P545" s="155" t="s">
        <v>943</v>
      </c>
      <c r="Q545" s="155" t="s">
        <v>944</v>
      </c>
      <c r="R545" s="155" t="s">
        <v>945</v>
      </c>
      <c r="S545" s="169"/>
      <c r="T545" s="169"/>
      <c r="U545" s="169"/>
      <c r="V545" s="169"/>
    </row>
    <row r="546" spans="2:22" ht="47.25">
      <c r="B546" s="342"/>
      <c r="C546" s="344"/>
      <c r="D546" s="344"/>
      <c r="E546" s="344"/>
      <c r="F546" s="344"/>
      <c r="G546" s="314"/>
      <c r="H546" s="314"/>
      <c r="I546" s="314"/>
      <c r="J546" s="76" t="s">
        <v>865</v>
      </c>
      <c r="K546" s="106" t="s">
        <v>1700</v>
      </c>
      <c r="L546" s="106" t="s">
        <v>1837</v>
      </c>
      <c r="M546" s="106"/>
      <c r="N546" s="155" t="s">
        <v>1729</v>
      </c>
      <c r="O546" s="155" t="s">
        <v>22</v>
      </c>
      <c r="P546" s="155" t="s">
        <v>943</v>
      </c>
      <c r="Q546" s="155" t="s">
        <v>944</v>
      </c>
      <c r="R546" s="106" t="s">
        <v>945</v>
      </c>
      <c r="S546" s="169"/>
      <c r="T546" s="169"/>
      <c r="U546" s="169"/>
      <c r="V546" s="169"/>
    </row>
    <row r="547" spans="2:22" ht="47.25">
      <c r="B547" s="342"/>
      <c r="C547" s="344"/>
      <c r="D547" s="344"/>
      <c r="E547" s="344"/>
      <c r="F547" s="344"/>
      <c r="G547" s="314"/>
      <c r="H547" s="314"/>
      <c r="I547" s="314"/>
      <c r="J547" s="76" t="s">
        <v>866</v>
      </c>
      <c r="K547" s="106" t="s">
        <v>1700</v>
      </c>
      <c r="L547" s="106" t="s">
        <v>1838</v>
      </c>
      <c r="M547" s="106"/>
      <c r="N547" s="155" t="s">
        <v>1729</v>
      </c>
      <c r="O547" s="155" t="s">
        <v>22</v>
      </c>
      <c r="P547" s="155" t="s">
        <v>943</v>
      </c>
      <c r="Q547" s="155" t="s">
        <v>944</v>
      </c>
      <c r="R547" s="106" t="s">
        <v>945</v>
      </c>
      <c r="S547" s="169"/>
      <c r="T547" s="169"/>
      <c r="U547" s="169"/>
      <c r="V547" s="169"/>
    </row>
    <row r="548" spans="2:22" ht="63">
      <c r="B548" s="342"/>
      <c r="C548" s="344"/>
      <c r="D548" s="344"/>
      <c r="E548" s="344"/>
      <c r="F548" s="344"/>
      <c r="G548" s="314"/>
      <c r="H548" s="314"/>
      <c r="I548" s="314"/>
      <c r="J548" s="103" t="s">
        <v>1161</v>
      </c>
      <c r="K548" s="313" t="s">
        <v>1700</v>
      </c>
      <c r="L548" s="313" t="s">
        <v>402</v>
      </c>
      <c r="M548" s="106" t="s">
        <v>1823</v>
      </c>
      <c r="N548" s="155" t="s">
        <v>1729</v>
      </c>
      <c r="O548" s="155" t="s">
        <v>22</v>
      </c>
      <c r="P548" s="155" t="s">
        <v>943</v>
      </c>
      <c r="Q548" s="155" t="s">
        <v>944</v>
      </c>
      <c r="R548" s="106" t="s">
        <v>1017</v>
      </c>
      <c r="S548" s="169"/>
      <c r="T548" s="169"/>
      <c r="U548" s="169"/>
      <c r="V548" s="169"/>
    </row>
    <row r="549" spans="2:22" ht="47.25">
      <c r="B549" s="342"/>
      <c r="C549" s="344"/>
      <c r="D549" s="344"/>
      <c r="E549" s="344"/>
      <c r="F549" s="344"/>
      <c r="G549" s="314"/>
      <c r="H549" s="314"/>
      <c r="I549" s="314"/>
      <c r="J549" s="103" t="s">
        <v>1162</v>
      </c>
      <c r="K549" s="315"/>
      <c r="L549" s="315"/>
      <c r="M549" s="106" t="s">
        <v>1822</v>
      </c>
      <c r="N549" s="155" t="s">
        <v>1729</v>
      </c>
      <c r="O549" s="155" t="s">
        <v>22</v>
      </c>
      <c r="P549" s="155" t="s">
        <v>943</v>
      </c>
      <c r="Q549" s="155" t="s">
        <v>944</v>
      </c>
      <c r="R549" s="155" t="s">
        <v>945</v>
      </c>
      <c r="S549" s="169"/>
      <c r="T549" s="169"/>
      <c r="U549" s="169"/>
      <c r="V549" s="169"/>
    </row>
    <row r="550" spans="2:22" ht="47.25">
      <c r="B550" s="342"/>
      <c r="C550" s="344"/>
      <c r="D550" s="344"/>
      <c r="E550" s="344"/>
      <c r="F550" s="344"/>
      <c r="G550" s="314"/>
      <c r="H550" s="314"/>
      <c r="I550" s="314"/>
      <c r="J550" s="76" t="s">
        <v>867</v>
      </c>
      <c r="K550" s="106" t="s">
        <v>1700</v>
      </c>
      <c r="L550" s="106" t="s">
        <v>1837</v>
      </c>
      <c r="M550" s="106"/>
      <c r="N550" s="155" t="s">
        <v>1729</v>
      </c>
      <c r="O550" s="155" t="s">
        <v>22</v>
      </c>
      <c r="P550" s="155" t="s">
        <v>943</v>
      </c>
      <c r="Q550" s="155" t="s">
        <v>944</v>
      </c>
      <c r="R550" s="106" t="s">
        <v>945</v>
      </c>
      <c r="S550" s="169"/>
      <c r="T550" s="169"/>
      <c r="U550" s="169"/>
      <c r="V550" s="169"/>
    </row>
    <row r="551" spans="2:22" ht="47.25">
      <c r="B551" s="342"/>
      <c r="C551" s="344"/>
      <c r="D551" s="344"/>
      <c r="E551" s="344"/>
      <c r="F551" s="344"/>
      <c r="G551" s="314"/>
      <c r="H551" s="314"/>
      <c r="I551" s="314"/>
      <c r="J551" s="76" t="s">
        <v>868</v>
      </c>
      <c r="K551" s="106" t="s">
        <v>1700</v>
      </c>
      <c r="L551" s="106" t="s">
        <v>1838</v>
      </c>
      <c r="M551" s="106"/>
      <c r="N551" s="155" t="s">
        <v>1729</v>
      </c>
      <c r="O551" s="155" t="s">
        <v>22</v>
      </c>
      <c r="P551" s="155" t="s">
        <v>943</v>
      </c>
      <c r="Q551" s="155" t="s">
        <v>944</v>
      </c>
      <c r="R551" s="106" t="s">
        <v>945</v>
      </c>
      <c r="S551" s="169"/>
      <c r="T551" s="169"/>
      <c r="U551" s="169"/>
      <c r="V551" s="169"/>
    </row>
    <row r="552" spans="2:22" ht="63">
      <c r="B552" s="342"/>
      <c r="C552" s="344"/>
      <c r="D552" s="344"/>
      <c r="E552" s="344"/>
      <c r="F552" s="344"/>
      <c r="G552" s="314"/>
      <c r="H552" s="314"/>
      <c r="I552" s="314"/>
      <c r="J552" s="103" t="s">
        <v>1163</v>
      </c>
      <c r="K552" s="313" t="s">
        <v>1700</v>
      </c>
      <c r="L552" s="313" t="s">
        <v>405</v>
      </c>
      <c r="M552" s="106" t="s">
        <v>1823</v>
      </c>
      <c r="N552" s="155" t="s">
        <v>1729</v>
      </c>
      <c r="O552" s="155" t="s">
        <v>22</v>
      </c>
      <c r="P552" s="155" t="s">
        <v>943</v>
      </c>
      <c r="Q552" s="155" t="s">
        <v>944</v>
      </c>
      <c r="R552" s="106" t="s">
        <v>1017</v>
      </c>
      <c r="S552" s="169"/>
      <c r="T552" s="169"/>
      <c r="U552" s="169"/>
      <c r="V552" s="169"/>
    </row>
    <row r="553" spans="2:22" ht="47.25">
      <c r="B553" s="342"/>
      <c r="C553" s="344"/>
      <c r="D553" s="344"/>
      <c r="E553" s="344"/>
      <c r="F553" s="344"/>
      <c r="G553" s="314"/>
      <c r="H553" s="314"/>
      <c r="I553" s="314"/>
      <c r="J553" s="103" t="s">
        <v>1164</v>
      </c>
      <c r="K553" s="315"/>
      <c r="L553" s="315"/>
      <c r="M553" s="106" t="s">
        <v>1822</v>
      </c>
      <c r="N553" s="155" t="s">
        <v>1729</v>
      </c>
      <c r="O553" s="155" t="s">
        <v>22</v>
      </c>
      <c r="P553" s="155" t="s">
        <v>943</v>
      </c>
      <c r="Q553" s="155" t="s">
        <v>944</v>
      </c>
      <c r="R553" s="155" t="s">
        <v>945</v>
      </c>
      <c r="S553" s="169"/>
      <c r="T553" s="169"/>
      <c r="U553" s="169"/>
      <c r="V553" s="169"/>
    </row>
    <row r="554" spans="2:22" ht="47.25">
      <c r="B554" s="342"/>
      <c r="C554" s="344"/>
      <c r="D554" s="344"/>
      <c r="E554" s="344"/>
      <c r="F554" s="344"/>
      <c r="G554" s="314"/>
      <c r="H554" s="314"/>
      <c r="I554" s="314"/>
      <c r="J554" s="76" t="s">
        <v>869</v>
      </c>
      <c r="K554" s="106" t="s">
        <v>1700</v>
      </c>
      <c r="L554" s="106" t="s">
        <v>1837</v>
      </c>
      <c r="M554" s="106"/>
      <c r="N554" s="155" t="s">
        <v>1729</v>
      </c>
      <c r="O554" s="155" t="s">
        <v>22</v>
      </c>
      <c r="P554" s="155" t="s">
        <v>943</v>
      </c>
      <c r="Q554" s="155" t="s">
        <v>944</v>
      </c>
      <c r="R554" s="106" t="s">
        <v>945</v>
      </c>
      <c r="S554" s="169"/>
      <c r="T554" s="169"/>
      <c r="U554" s="169"/>
      <c r="V554" s="169"/>
    </row>
    <row r="555" spans="2:22" ht="47.25">
      <c r="B555" s="342"/>
      <c r="C555" s="344"/>
      <c r="D555" s="344"/>
      <c r="E555" s="344"/>
      <c r="F555" s="344"/>
      <c r="G555" s="314"/>
      <c r="H555" s="314"/>
      <c r="I555" s="314"/>
      <c r="J555" s="76" t="s">
        <v>870</v>
      </c>
      <c r="K555" s="106" t="s">
        <v>1700</v>
      </c>
      <c r="L555" s="106" t="s">
        <v>1838</v>
      </c>
      <c r="M555" s="106"/>
      <c r="N555" s="155" t="s">
        <v>1729</v>
      </c>
      <c r="O555" s="155" t="s">
        <v>22</v>
      </c>
      <c r="P555" s="155" t="s">
        <v>943</v>
      </c>
      <c r="Q555" s="155" t="s">
        <v>944</v>
      </c>
      <c r="R555" s="106" t="s">
        <v>945</v>
      </c>
      <c r="S555" s="169"/>
      <c r="T555" s="169"/>
      <c r="U555" s="169"/>
      <c r="V555" s="169"/>
    </row>
    <row r="556" spans="2:22" ht="63">
      <c r="B556" s="342"/>
      <c r="C556" s="344"/>
      <c r="D556" s="344"/>
      <c r="E556" s="344"/>
      <c r="F556" s="344"/>
      <c r="G556" s="314"/>
      <c r="H556" s="314"/>
      <c r="I556" s="314"/>
      <c r="J556" s="103" t="s">
        <v>1165</v>
      </c>
      <c r="K556" s="313" t="s">
        <v>1700</v>
      </c>
      <c r="L556" s="313" t="s">
        <v>408</v>
      </c>
      <c r="M556" s="106" t="s">
        <v>1823</v>
      </c>
      <c r="N556" s="155" t="s">
        <v>1729</v>
      </c>
      <c r="O556" s="155" t="s">
        <v>22</v>
      </c>
      <c r="P556" s="155" t="s">
        <v>943</v>
      </c>
      <c r="Q556" s="155" t="s">
        <v>944</v>
      </c>
      <c r="R556" s="106" t="s">
        <v>1017</v>
      </c>
      <c r="S556" s="169"/>
      <c r="T556" s="169"/>
      <c r="U556" s="169"/>
      <c r="V556" s="169"/>
    </row>
    <row r="557" spans="2:22" ht="47.25">
      <c r="B557" s="342"/>
      <c r="C557" s="344"/>
      <c r="D557" s="344"/>
      <c r="E557" s="344"/>
      <c r="F557" s="344"/>
      <c r="G557" s="314"/>
      <c r="H557" s="314"/>
      <c r="I557" s="314"/>
      <c r="J557" s="103" t="s">
        <v>1166</v>
      </c>
      <c r="K557" s="315"/>
      <c r="L557" s="315"/>
      <c r="M557" s="106" t="s">
        <v>1822</v>
      </c>
      <c r="N557" s="155" t="s">
        <v>1729</v>
      </c>
      <c r="O557" s="155" t="s">
        <v>22</v>
      </c>
      <c r="P557" s="155" t="s">
        <v>943</v>
      </c>
      <c r="Q557" s="155" t="s">
        <v>944</v>
      </c>
      <c r="R557" s="155" t="s">
        <v>945</v>
      </c>
      <c r="S557" s="169"/>
      <c r="T557" s="169"/>
      <c r="U557" s="169"/>
      <c r="V557" s="169"/>
    </row>
    <row r="558" spans="2:22" ht="47.25">
      <c r="B558" s="342"/>
      <c r="C558" s="344"/>
      <c r="D558" s="344"/>
      <c r="E558" s="344"/>
      <c r="F558" s="344"/>
      <c r="G558" s="314"/>
      <c r="H558" s="314"/>
      <c r="I558" s="314"/>
      <c r="J558" s="76" t="s">
        <v>871</v>
      </c>
      <c r="K558" s="106" t="s">
        <v>1700</v>
      </c>
      <c r="L558" s="106" t="s">
        <v>1837</v>
      </c>
      <c r="M558" s="106"/>
      <c r="N558" s="155" t="s">
        <v>1729</v>
      </c>
      <c r="O558" s="155" t="s">
        <v>22</v>
      </c>
      <c r="P558" s="155" t="s">
        <v>943</v>
      </c>
      <c r="Q558" s="155" t="s">
        <v>944</v>
      </c>
      <c r="R558" s="106" t="s">
        <v>945</v>
      </c>
      <c r="S558" s="169"/>
      <c r="T558" s="169"/>
      <c r="U558" s="169"/>
      <c r="V558" s="169"/>
    </row>
    <row r="559" spans="2:22" ht="47.25">
      <c r="B559" s="342"/>
      <c r="C559" s="344"/>
      <c r="D559" s="344"/>
      <c r="E559" s="344"/>
      <c r="F559" s="344"/>
      <c r="G559" s="314"/>
      <c r="H559" s="314"/>
      <c r="I559" s="314"/>
      <c r="J559" s="76" t="s">
        <v>872</v>
      </c>
      <c r="K559" s="106" t="s">
        <v>1700</v>
      </c>
      <c r="L559" s="106" t="s">
        <v>1838</v>
      </c>
      <c r="M559" s="106"/>
      <c r="N559" s="155" t="s">
        <v>1729</v>
      </c>
      <c r="O559" s="155" t="s">
        <v>22</v>
      </c>
      <c r="P559" s="155" t="s">
        <v>943</v>
      </c>
      <c r="Q559" s="155" t="s">
        <v>944</v>
      </c>
      <c r="R559" s="106" t="s">
        <v>945</v>
      </c>
      <c r="S559" s="169"/>
      <c r="T559" s="169"/>
      <c r="U559" s="169"/>
      <c r="V559" s="169"/>
    </row>
    <row r="560" spans="2:22" ht="63">
      <c r="B560" s="342"/>
      <c r="C560" s="344"/>
      <c r="D560" s="344"/>
      <c r="E560" s="344"/>
      <c r="F560" s="344"/>
      <c r="G560" s="314"/>
      <c r="H560" s="314"/>
      <c r="I560" s="314"/>
      <c r="J560" s="103" t="s">
        <v>1167</v>
      </c>
      <c r="K560" s="313" t="s">
        <v>1700</v>
      </c>
      <c r="L560" s="313" t="s">
        <v>411</v>
      </c>
      <c r="M560" s="106" t="s">
        <v>1823</v>
      </c>
      <c r="N560" s="155" t="s">
        <v>1729</v>
      </c>
      <c r="O560" s="155" t="s">
        <v>22</v>
      </c>
      <c r="P560" s="155" t="s">
        <v>943</v>
      </c>
      <c r="Q560" s="155" t="s">
        <v>944</v>
      </c>
      <c r="R560" s="106" t="s">
        <v>1017</v>
      </c>
      <c r="S560" s="169"/>
      <c r="T560" s="169"/>
      <c r="U560" s="169"/>
      <c r="V560" s="169"/>
    </row>
    <row r="561" spans="2:22" ht="47.25">
      <c r="B561" s="342"/>
      <c r="C561" s="344"/>
      <c r="D561" s="344"/>
      <c r="E561" s="344"/>
      <c r="F561" s="344"/>
      <c r="G561" s="314"/>
      <c r="H561" s="314"/>
      <c r="I561" s="314"/>
      <c r="J561" s="103" t="s">
        <v>1168</v>
      </c>
      <c r="K561" s="315"/>
      <c r="L561" s="315"/>
      <c r="M561" s="106" t="s">
        <v>1822</v>
      </c>
      <c r="N561" s="155" t="s">
        <v>1729</v>
      </c>
      <c r="O561" s="155" t="s">
        <v>22</v>
      </c>
      <c r="P561" s="155" t="s">
        <v>943</v>
      </c>
      <c r="Q561" s="155" t="s">
        <v>944</v>
      </c>
      <c r="R561" s="155" t="s">
        <v>945</v>
      </c>
      <c r="S561" s="169"/>
      <c r="T561" s="169"/>
      <c r="U561" s="169"/>
      <c r="V561" s="169"/>
    </row>
    <row r="562" spans="2:22" ht="47.25">
      <c r="B562" s="342"/>
      <c r="C562" s="344"/>
      <c r="D562" s="344"/>
      <c r="E562" s="344"/>
      <c r="F562" s="344"/>
      <c r="G562" s="314"/>
      <c r="H562" s="314"/>
      <c r="I562" s="314"/>
      <c r="J562" s="76" t="s">
        <v>873</v>
      </c>
      <c r="K562" s="106" t="s">
        <v>1700</v>
      </c>
      <c r="L562" s="106" t="s">
        <v>1837</v>
      </c>
      <c r="M562" s="106"/>
      <c r="N562" s="155" t="s">
        <v>1729</v>
      </c>
      <c r="O562" s="155" t="s">
        <v>22</v>
      </c>
      <c r="P562" s="155" t="s">
        <v>943</v>
      </c>
      <c r="Q562" s="155" t="s">
        <v>944</v>
      </c>
      <c r="R562" s="106" t="s">
        <v>945</v>
      </c>
      <c r="S562" s="169"/>
      <c r="T562" s="169"/>
      <c r="U562" s="169"/>
      <c r="V562" s="169"/>
    </row>
    <row r="563" spans="2:22" ht="47.25">
      <c r="B563" s="352"/>
      <c r="C563" s="347"/>
      <c r="D563" s="347"/>
      <c r="E563" s="347"/>
      <c r="F563" s="347"/>
      <c r="G563" s="315"/>
      <c r="H563" s="315"/>
      <c r="I563" s="315"/>
      <c r="J563" s="76" t="s">
        <v>874</v>
      </c>
      <c r="K563" s="106" t="s">
        <v>1700</v>
      </c>
      <c r="L563" s="106" t="s">
        <v>1838</v>
      </c>
      <c r="M563" s="106"/>
      <c r="N563" s="155" t="s">
        <v>1729</v>
      </c>
      <c r="O563" s="155" t="s">
        <v>22</v>
      </c>
      <c r="P563" s="155" t="s">
        <v>943</v>
      </c>
      <c r="Q563" s="155" t="s">
        <v>944</v>
      </c>
      <c r="R563" s="106" t="s">
        <v>945</v>
      </c>
      <c r="S563" s="169"/>
      <c r="T563" s="169"/>
      <c r="U563" s="169"/>
      <c r="V563" s="169"/>
    </row>
    <row r="564" spans="2:22" ht="47.25" customHeight="1">
      <c r="B564" s="341" t="s">
        <v>875</v>
      </c>
      <c r="C564" s="343" t="s">
        <v>876</v>
      </c>
      <c r="D564" s="343" t="s">
        <v>877</v>
      </c>
      <c r="E564" s="343" t="s">
        <v>1668</v>
      </c>
      <c r="F564" s="343" t="s">
        <v>415</v>
      </c>
      <c r="G564" s="313" t="s">
        <v>1993</v>
      </c>
      <c r="H564" s="343"/>
      <c r="I564" s="343"/>
      <c r="J564" s="119" t="s">
        <v>1169</v>
      </c>
      <c r="K564" s="343" t="s">
        <v>1700</v>
      </c>
      <c r="L564" s="313" t="s">
        <v>1701</v>
      </c>
      <c r="M564" s="106"/>
      <c r="N564" s="155" t="s">
        <v>1729</v>
      </c>
      <c r="O564" s="155" t="s">
        <v>22</v>
      </c>
      <c r="P564" s="155" t="s">
        <v>943</v>
      </c>
      <c r="Q564" s="155" t="s">
        <v>944</v>
      </c>
      <c r="R564" s="106" t="s">
        <v>945</v>
      </c>
      <c r="S564" s="169"/>
      <c r="T564" s="169"/>
      <c r="U564" s="169"/>
      <c r="V564" s="169"/>
    </row>
    <row r="565" spans="2:22" ht="47.25">
      <c r="B565" s="342"/>
      <c r="C565" s="344"/>
      <c r="D565" s="344"/>
      <c r="E565" s="344"/>
      <c r="F565" s="344"/>
      <c r="G565" s="314"/>
      <c r="H565" s="344"/>
      <c r="I565" s="344"/>
      <c r="J565" s="119" t="s">
        <v>1170</v>
      </c>
      <c r="K565" s="347"/>
      <c r="L565" s="315"/>
      <c r="M565" s="106" t="s">
        <v>1840</v>
      </c>
      <c r="N565" s="155" t="s">
        <v>1729</v>
      </c>
      <c r="O565" s="155" t="s">
        <v>22</v>
      </c>
      <c r="P565" s="155" t="s">
        <v>943</v>
      </c>
      <c r="Q565" s="155" t="s">
        <v>944</v>
      </c>
      <c r="R565" s="155" t="s">
        <v>945</v>
      </c>
      <c r="S565" s="169"/>
      <c r="T565" s="169"/>
      <c r="U565" s="169"/>
      <c r="V565" s="169"/>
    </row>
    <row r="566" spans="2:22" ht="47.25">
      <c r="B566" s="342"/>
      <c r="C566" s="344"/>
      <c r="D566" s="344"/>
      <c r="E566" s="344"/>
      <c r="F566" s="344"/>
      <c r="G566" s="314"/>
      <c r="H566" s="344"/>
      <c r="I566" s="344"/>
      <c r="J566" s="97" t="s">
        <v>919</v>
      </c>
      <c r="K566" s="95" t="s">
        <v>1700</v>
      </c>
      <c r="L566" s="106" t="s">
        <v>1837</v>
      </c>
      <c r="M566" s="106"/>
      <c r="N566" s="155" t="s">
        <v>1729</v>
      </c>
      <c r="O566" s="155" t="s">
        <v>22</v>
      </c>
      <c r="P566" s="155" t="s">
        <v>943</v>
      </c>
      <c r="Q566" s="155" t="s">
        <v>944</v>
      </c>
      <c r="R566" s="106" t="s">
        <v>945</v>
      </c>
      <c r="S566" s="169"/>
      <c r="T566" s="169"/>
      <c r="U566" s="169"/>
      <c r="V566" s="169"/>
    </row>
    <row r="567" spans="2:22" ht="47.25">
      <c r="B567" s="342"/>
      <c r="C567" s="344"/>
      <c r="D567" s="344"/>
      <c r="E567" s="344"/>
      <c r="F567" s="344"/>
      <c r="G567" s="314"/>
      <c r="H567" s="344"/>
      <c r="I567" s="344"/>
      <c r="J567" s="97" t="s">
        <v>920</v>
      </c>
      <c r="K567" s="95" t="s">
        <v>1700</v>
      </c>
      <c r="L567" s="106" t="s">
        <v>1931</v>
      </c>
      <c r="M567" s="106"/>
      <c r="N567" s="155" t="s">
        <v>1729</v>
      </c>
      <c r="O567" s="155" t="s">
        <v>22</v>
      </c>
      <c r="P567" s="155" t="s">
        <v>943</v>
      </c>
      <c r="Q567" s="155" t="s">
        <v>944</v>
      </c>
      <c r="R567" s="106" t="s">
        <v>945</v>
      </c>
      <c r="S567" s="169"/>
      <c r="T567" s="169"/>
      <c r="U567" s="169"/>
      <c r="V567" s="169"/>
    </row>
    <row r="568" spans="2:22" ht="47.25" customHeight="1">
      <c r="B568" s="342"/>
      <c r="C568" s="344"/>
      <c r="D568" s="344"/>
      <c r="E568" s="344"/>
      <c r="F568" s="344"/>
      <c r="G568" s="314"/>
      <c r="H568" s="344"/>
      <c r="I568" s="344"/>
      <c r="J568" s="119" t="s">
        <v>1171</v>
      </c>
      <c r="K568" s="343" t="s">
        <v>1700</v>
      </c>
      <c r="L568" s="313" t="s">
        <v>1702</v>
      </c>
      <c r="M568" s="106"/>
      <c r="N568" s="155" t="s">
        <v>1729</v>
      </c>
      <c r="O568" s="155" t="s">
        <v>22</v>
      </c>
      <c r="P568" s="155" t="s">
        <v>943</v>
      </c>
      <c r="Q568" s="155" t="s">
        <v>944</v>
      </c>
      <c r="R568" s="106" t="s">
        <v>945</v>
      </c>
      <c r="S568" s="169"/>
      <c r="T568" s="169"/>
      <c r="U568" s="169"/>
      <c r="V568" s="169"/>
    </row>
    <row r="569" spans="2:22" ht="47.25">
      <c r="B569" s="342"/>
      <c r="C569" s="344"/>
      <c r="D569" s="344"/>
      <c r="E569" s="344"/>
      <c r="F569" s="344"/>
      <c r="G569" s="314"/>
      <c r="H569" s="344"/>
      <c r="I569" s="344"/>
      <c r="J569" s="119" t="s">
        <v>1172</v>
      </c>
      <c r="K569" s="347"/>
      <c r="L569" s="315"/>
      <c r="M569" s="106" t="s">
        <v>1840</v>
      </c>
      <c r="N569" s="155" t="s">
        <v>1729</v>
      </c>
      <c r="O569" s="155" t="s">
        <v>22</v>
      </c>
      <c r="P569" s="155" t="s">
        <v>943</v>
      </c>
      <c r="Q569" s="155" t="s">
        <v>944</v>
      </c>
      <c r="R569" s="106" t="s">
        <v>945</v>
      </c>
      <c r="S569" s="169"/>
      <c r="T569" s="169"/>
      <c r="U569" s="169"/>
      <c r="V569" s="169"/>
    </row>
    <row r="570" spans="2:22" ht="47.25">
      <c r="B570" s="342"/>
      <c r="C570" s="344"/>
      <c r="D570" s="344"/>
      <c r="E570" s="344"/>
      <c r="F570" s="344"/>
      <c r="G570" s="314"/>
      <c r="H570" s="344"/>
      <c r="I570" s="344"/>
      <c r="J570" s="97" t="s">
        <v>921</v>
      </c>
      <c r="K570" s="95" t="s">
        <v>1700</v>
      </c>
      <c r="L570" s="106" t="s">
        <v>1837</v>
      </c>
      <c r="M570" s="106"/>
      <c r="N570" s="155" t="s">
        <v>1729</v>
      </c>
      <c r="O570" s="155" t="s">
        <v>22</v>
      </c>
      <c r="P570" s="155" t="s">
        <v>943</v>
      </c>
      <c r="Q570" s="155" t="s">
        <v>944</v>
      </c>
      <c r="R570" s="106" t="s">
        <v>945</v>
      </c>
      <c r="S570" s="169"/>
      <c r="T570" s="169"/>
      <c r="U570" s="169"/>
      <c r="V570" s="169"/>
    </row>
    <row r="571" spans="2:22" ht="47.25">
      <c r="B571" s="342"/>
      <c r="C571" s="344"/>
      <c r="D571" s="344"/>
      <c r="E571" s="344"/>
      <c r="F571" s="344"/>
      <c r="G571" s="314"/>
      <c r="H571" s="344"/>
      <c r="I571" s="344"/>
      <c r="J571" s="97" t="s">
        <v>922</v>
      </c>
      <c r="K571" s="95" t="s">
        <v>1700</v>
      </c>
      <c r="L571" s="106" t="s">
        <v>1931</v>
      </c>
      <c r="M571" s="106"/>
      <c r="N571" s="155" t="s">
        <v>1729</v>
      </c>
      <c r="O571" s="155" t="s">
        <v>22</v>
      </c>
      <c r="P571" s="155" t="s">
        <v>943</v>
      </c>
      <c r="Q571" s="155" t="s">
        <v>944</v>
      </c>
      <c r="R571" s="106" t="s">
        <v>945</v>
      </c>
      <c r="S571" s="169"/>
      <c r="T571" s="169"/>
      <c r="U571" s="169"/>
      <c r="V571" s="169"/>
    </row>
    <row r="572" spans="2:22" ht="47.25" customHeight="1">
      <c r="B572" s="342"/>
      <c r="C572" s="344"/>
      <c r="D572" s="344"/>
      <c r="E572" s="344"/>
      <c r="F572" s="344"/>
      <c r="G572" s="314"/>
      <c r="H572" s="344"/>
      <c r="I572" s="344"/>
      <c r="J572" s="119" t="s">
        <v>1173</v>
      </c>
      <c r="K572" s="343" t="s">
        <v>1700</v>
      </c>
      <c r="L572" s="313" t="s">
        <v>1703</v>
      </c>
      <c r="M572" s="106"/>
      <c r="N572" s="155" t="s">
        <v>1729</v>
      </c>
      <c r="O572" s="155" t="s">
        <v>22</v>
      </c>
      <c r="P572" s="155" t="s">
        <v>943</v>
      </c>
      <c r="Q572" s="155" t="s">
        <v>944</v>
      </c>
      <c r="R572" s="106" t="s">
        <v>945</v>
      </c>
      <c r="S572" s="169"/>
      <c r="T572" s="169"/>
      <c r="U572" s="169"/>
      <c r="V572" s="169"/>
    </row>
    <row r="573" spans="2:22" ht="47.25">
      <c r="B573" s="342"/>
      <c r="C573" s="344"/>
      <c r="D573" s="344"/>
      <c r="E573" s="344"/>
      <c r="F573" s="344"/>
      <c r="G573" s="314"/>
      <c r="H573" s="344"/>
      <c r="I573" s="344"/>
      <c r="J573" s="119" t="s">
        <v>1174</v>
      </c>
      <c r="K573" s="347"/>
      <c r="L573" s="315"/>
      <c r="M573" s="106" t="s">
        <v>1840</v>
      </c>
      <c r="N573" s="155" t="s">
        <v>1729</v>
      </c>
      <c r="O573" s="155" t="s">
        <v>22</v>
      </c>
      <c r="P573" s="155" t="s">
        <v>943</v>
      </c>
      <c r="Q573" s="155" t="s">
        <v>944</v>
      </c>
      <c r="R573" s="106" t="s">
        <v>945</v>
      </c>
      <c r="S573" s="169"/>
      <c r="T573" s="169"/>
      <c r="U573" s="169"/>
      <c r="V573" s="169"/>
    </row>
    <row r="574" spans="2:22" ht="47.25">
      <c r="B574" s="342"/>
      <c r="C574" s="344"/>
      <c r="D574" s="344"/>
      <c r="E574" s="344"/>
      <c r="F574" s="344"/>
      <c r="G574" s="314"/>
      <c r="H574" s="344"/>
      <c r="I574" s="344"/>
      <c r="J574" s="97" t="s">
        <v>923</v>
      </c>
      <c r="K574" s="95" t="s">
        <v>1700</v>
      </c>
      <c r="L574" s="106" t="s">
        <v>1842</v>
      </c>
      <c r="M574" s="106"/>
      <c r="N574" s="155" t="s">
        <v>1729</v>
      </c>
      <c r="O574" s="155" t="s">
        <v>22</v>
      </c>
      <c r="P574" s="155" t="s">
        <v>943</v>
      </c>
      <c r="Q574" s="155" t="s">
        <v>944</v>
      </c>
      <c r="R574" s="106" t="s">
        <v>945</v>
      </c>
      <c r="S574" s="169"/>
      <c r="T574" s="169"/>
      <c r="U574" s="169"/>
      <c r="V574" s="169"/>
    </row>
    <row r="575" spans="2:22" ht="47.25">
      <c r="B575" s="342"/>
      <c r="C575" s="344"/>
      <c r="D575" s="344"/>
      <c r="E575" s="344"/>
      <c r="F575" s="344"/>
      <c r="G575" s="314"/>
      <c r="H575" s="344"/>
      <c r="I575" s="344"/>
      <c r="J575" s="97" t="s">
        <v>924</v>
      </c>
      <c r="K575" s="95" t="s">
        <v>1700</v>
      </c>
      <c r="L575" s="106" t="s">
        <v>1843</v>
      </c>
      <c r="M575" s="106"/>
      <c r="N575" s="155" t="s">
        <v>1729</v>
      </c>
      <c r="O575" s="155" t="s">
        <v>22</v>
      </c>
      <c r="P575" s="155" t="s">
        <v>943</v>
      </c>
      <c r="Q575" s="155" t="s">
        <v>944</v>
      </c>
      <c r="R575" s="106" t="s">
        <v>945</v>
      </c>
      <c r="S575" s="169"/>
      <c r="T575" s="169"/>
      <c r="U575" s="169"/>
      <c r="V575" s="169"/>
    </row>
    <row r="576" spans="2:22" ht="31.5" customHeight="1">
      <c r="B576" s="342"/>
      <c r="C576" s="344"/>
      <c r="D576" s="344"/>
      <c r="E576" s="344"/>
      <c r="F576" s="344"/>
      <c r="G576" s="314"/>
      <c r="H576" s="344"/>
      <c r="I576" s="344"/>
      <c r="J576" s="119" t="s">
        <v>1175</v>
      </c>
      <c r="K576" s="343" t="s">
        <v>1700</v>
      </c>
      <c r="L576" s="313" t="s">
        <v>1704</v>
      </c>
      <c r="M576" s="106"/>
      <c r="N576" s="155" t="s">
        <v>1729</v>
      </c>
      <c r="O576" s="155" t="s">
        <v>22</v>
      </c>
      <c r="P576" s="155" t="s">
        <v>943</v>
      </c>
      <c r="Q576" s="155" t="s">
        <v>944</v>
      </c>
      <c r="R576" s="106" t="s">
        <v>945</v>
      </c>
      <c r="S576" s="169"/>
      <c r="T576" s="169"/>
      <c r="U576" s="169"/>
      <c r="V576" s="169"/>
    </row>
    <row r="577" spans="2:22" ht="47.25">
      <c r="B577" s="342"/>
      <c r="C577" s="344"/>
      <c r="D577" s="344"/>
      <c r="E577" s="344"/>
      <c r="F577" s="344"/>
      <c r="G577" s="314"/>
      <c r="H577" s="344"/>
      <c r="I577" s="344"/>
      <c r="J577" s="119" t="s">
        <v>1176</v>
      </c>
      <c r="K577" s="347"/>
      <c r="L577" s="315"/>
      <c r="M577" s="106" t="s">
        <v>1840</v>
      </c>
      <c r="N577" s="155" t="s">
        <v>1729</v>
      </c>
      <c r="O577" s="155" t="s">
        <v>22</v>
      </c>
      <c r="P577" s="155" t="s">
        <v>943</v>
      </c>
      <c r="Q577" s="155" t="s">
        <v>944</v>
      </c>
      <c r="R577" s="106" t="s">
        <v>945</v>
      </c>
      <c r="S577" s="169"/>
      <c r="T577" s="169"/>
      <c r="U577" s="169"/>
      <c r="V577" s="169"/>
    </row>
    <row r="578" spans="2:22" ht="47.25">
      <c r="B578" s="342"/>
      <c r="C578" s="344"/>
      <c r="D578" s="344"/>
      <c r="E578" s="344"/>
      <c r="F578" s="344"/>
      <c r="G578" s="314"/>
      <c r="H578" s="344"/>
      <c r="I578" s="344"/>
      <c r="J578" s="97" t="s">
        <v>925</v>
      </c>
      <c r="K578" s="95" t="s">
        <v>1700</v>
      </c>
      <c r="L578" s="106" t="s">
        <v>1844</v>
      </c>
      <c r="M578" s="106"/>
      <c r="N578" s="155" t="s">
        <v>1729</v>
      </c>
      <c r="O578" s="155" t="s">
        <v>22</v>
      </c>
      <c r="P578" s="155" t="s">
        <v>943</v>
      </c>
      <c r="Q578" s="155" t="s">
        <v>944</v>
      </c>
      <c r="R578" s="106" t="s">
        <v>945</v>
      </c>
      <c r="S578" s="169"/>
      <c r="T578" s="169"/>
      <c r="U578" s="169"/>
      <c r="V578" s="169"/>
    </row>
    <row r="579" spans="2:22" ht="47.25">
      <c r="B579" s="342"/>
      <c r="C579" s="344"/>
      <c r="D579" s="344"/>
      <c r="E579" s="344"/>
      <c r="F579" s="344"/>
      <c r="G579" s="314"/>
      <c r="H579" s="344"/>
      <c r="I579" s="344"/>
      <c r="J579" s="97" t="s">
        <v>926</v>
      </c>
      <c r="K579" s="95" t="s">
        <v>1700</v>
      </c>
      <c r="L579" s="106" t="s">
        <v>1845</v>
      </c>
      <c r="M579" s="106"/>
      <c r="N579" s="155" t="s">
        <v>1729</v>
      </c>
      <c r="O579" s="155" t="s">
        <v>22</v>
      </c>
      <c r="P579" s="155" t="s">
        <v>943</v>
      </c>
      <c r="Q579" s="155" t="s">
        <v>944</v>
      </c>
      <c r="R579" s="106" t="s">
        <v>945</v>
      </c>
      <c r="S579" s="169"/>
      <c r="T579" s="169"/>
      <c r="U579" s="169"/>
      <c r="V579" s="169"/>
    </row>
    <row r="580" spans="2:22" ht="47.25" customHeight="1">
      <c r="B580" s="342"/>
      <c r="C580" s="344"/>
      <c r="D580" s="344"/>
      <c r="E580" s="344"/>
      <c r="F580" s="344"/>
      <c r="G580" s="314"/>
      <c r="H580" s="344"/>
      <c r="I580" s="344"/>
      <c r="J580" s="119" t="s">
        <v>1177</v>
      </c>
      <c r="K580" s="343" t="s">
        <v>1700</v>
      </c>
      <c r="L580" s="313" t="s">
        <v>1794</v>
      </c>
      <c r="M580" s="106"/>
      <c r="N580" s="155" t="s">
        <v>1729</v>
      </c>
      <c r="O580" s="155" t="s">
        <v>22</v>
      </c>
      <c r="P580" s="155" t="s">
        <v>943</v>
      </c>
      <c r="Q580" s="155" t="s">
        <v>944</v>
      </c>
      <c r="R580" s="106" t="s">
        <v>945</v>
      </c>
      <c r="S580" s="169"/>
      <c r="T580" s="169"/>
      <c r="U580" s="169"/>
      <c r="V580" s="169"/>
    </row>
    <row r="581" spans="2:22" ht="47.25">
      <c r="B581" s="342"/>
      <c r="C581" s="344"/>
      <c r="D581" s="344"/>
      <c r="E581" s="344"/>
      <c r="F581" s="344"/>
      <c r="G581" s="314"/>
      <c r="H581" s="344"/>
      <c r="I581" s="344"/>
      <c r="J581" s="119" t="s">
        <v>1178</v>
      </c>
      <c r="K581" s="347"/>
      <c r="L581" s="315"/>
      <c r="M581" s="106" t="s">
        <v>1840</v>
      </c>
      <c r="N581" s="155" t="s">
        <v>1729</v>
      </c>
      <c r="O581" s="155" t="s">
        <v>22</v>
      </c>
      <c r="P581" s="155" t="s">
        <v>943</v>
      </c>
      <c r="Q581" s="155" t="s">
        <v>944</v>
      </c>
      <c r="R581" s="106" t="s">
        <v>945</v>
      </c>
      <c r="S581" s="169"/>
      <c r="T581" s="169"/>
      <c r="U581" s="169"/>
      <c r="V581" s="169"/>
    </row>
    <row r="582" spans="2:22" ht="47.25">
      <c r="B582" s="342"/>
      <c r="C582" s="344"/>
      <c r="D582" s="344"/>
      <c r="E582" s="344"/>
      <c r="F582" s="344"/>
      <c r="G582" s="314"/>
      <c r="H582" s="344"/>
      <c r="I582" s="344"/>
      <c r="J582" s="97" t="s">
        <v>927</v>
      </c>
      <c r="K582" s="95" t="s">
        <v>1700</v>
      </c>
      <c r="L582" s="106" t="s">
        <v>1959</v>
      </c>
      <c r="M582" s="106"/>
      <c r="N582" s="155" t="s">
        <v>1729</v>
      </c>
      <c r="O582" s="155" t="s">
        <v>22</v>
      </c>
      <c r="P582" s="155" t="s">
        <v>943</v>
      </c>
      <c r="Q582" s="155" t="s">
        <v>944</v>
      </c>
      <c r="R582" s="106" t="s">
        <v>945</v>
      </c>
      <c r="S582" s="169"/>
      <c r="T582" s="169"/>
      <c r="U582" s="169"/>
      <c r="V582" s="169"/>
    </row>
    <row r="583" spans="2:22" ht="47.25">
      <c r="B583" s="342"/>
      <c r="C583" s="344"/>
      <c r="D583" s="344"/>
      <c r="E583" s="344"/>
      <c r="F583" s="344"/>
      <c r="G583" s="314"/>
      <c r="H583" s="344"/>
      <c r="I583" s="344"/>
      <c r="J583" s="97" t="s">
        <v>928</v>
      </c>
      <c r="K583" s="95" t="s">
        <v>1700</v>
      </c>
      <c r="L583" s="106" t="s">
        <v>1960</v>
      </c>
      <c r="M583" s="106"/>
      <c r="N583" s="155" t="s">
        <v>1729</v>
      </c>
      <c r="O583" s="155" t="s">
        <v>22</v>
      </c>
      <c r="P583" s="155" t="s">
        <v>943</v>
      </c>
      <c r="Q583" s="155" t="s">
        <v>944</v>
      </c>
      <c r="R583" s="106" t="s">
        <v>945</v>
      </c>
      <c r="S583" s="169"/>
      <c r="T583" s="169"/>
      <c r="U583" s="169"/>
      <c r="V583" s="169"/>
    </row>
    <row r="584" spans="2:22" ht="47.25" customHeight="1">
      <c r="B584" s="342"/>
      <c r="C584" s="344"/>
      <c r="D584" s="344"/>
      <c r="E584" s="344"/>
      <c r="F584" s="344"/>
      <c r="G584" s="314"/>
      <c r="H584" s="344"/>
      <c r="I584" s="344"/>
      <c r="J584" s="119" t="s">
        <v>1179</v>
      </c>
      <c r="K584" s="343" t="s">
        <v>1700</v>
      </c>
      <c r="L584" s="313" t="s">
        <v>1994</v>
      </c>
      <c r="M584" s="106"/>
      <c r="N584" s="155" t="s">
        <v>1729</v>
      </c>
      <c r="O584" s="155" t="s">
        <v>22</v>
      </c>
      <c r="P584" s="155" t="s">
        <v>943</v>
      </c>
      <c r="Q584" s="155" t="s">
        <v>944</v>
      </c>
      <c r="R584" s="106" t="s">
        <v>945</v>
      </c>
      <c r="S584" s="169"/>
      <c r="T584" s="169"/>
      <c r="U584" s="169"/>
      <c r="V584" s="169"/>
    </row>
    <row r="585" spans="2:22" ht="47.25">
      <c r="B585" s="342"/>
      <c r="C585" s="344"/>
      <c r="D585" s="344"/>
      <c r="E585" s="344"/>
      <c r="F585" s="344"/>
      <c r="G585" s="314"/>
      <c r="H585" s="344"/>
      <c r="I585" s="344"/>
      <c r="J585" s="119" t="s">
        <v>1180</v>
      </c>
      <c r="K585" s="347"/>
      <c r="L585" s="315"/>
      <c r="M585" s="106" t="s">
        <v>1840</v>
      </c>
      <c r="N585" s="155" t="s">
        <v>1729</v>
      </c>
      <c r="O585" s="155" t="s">
        <v>22</v>
      </c>
      <c r="P585" s="155" t="s">
        <v>943</v>
      </c>
      <c r="Q585" s="155" t="s">
        <v>944</v>
      </c>
      <c r="R585" s="106" t="s">
        <v>945</v>
      </c>
      <c r="S585" s="169"/>
      <c r="T585" s="169"/>
      <c r="U585" s="169"/>
      <c r="V585" s="169"/>
    </row>
    <row r="586" spans="2:22" ht="47.25">
      <c r="B586" s="342"/>
      <c r="C586" s="344"/>
      <c r="D586" s="344"/>
      <c r="E586" s="344"/>
      <c r="F586" s="344"/>
      <c r="G586" s="314"/>
      <c r="H586" s="344"/>
      <c r="I586" s="344"/>
      <c r="J586" s="97" t="s">
        <v>929</v>
      </c>
      <c r="K586" s="95" t="s">
        <v>1700</v>
      </c>
      <c r="L586" s="106" t="s">
        <v>1959</v>
      </c>
      <c r="M586" s="106"/>
      <c r="N586" s="155" t="s">
        <v>1729</v>
      </c>
      <c r="O586" s="155" t="s">
        <v>22</v>
      </c>
      <c r="P586" s="155" t="s">
        <v>943</v>
      </c>
      <c r="Q586" s="155" t="s">
        <v>944</v>
      </c>
      <c r="R586" s="106" t="s">
        <v>945</v>
      </c>
      <c r="S586" s="169"/>
      <c r="T586" s="169"/>
      <c r="U586" s="169"/>
      <c r="V586" s="169"/>
    </row>
    <row r="587" spans="2:22" ht="47.25">
      <c r="B587" s="342"/>
      <c r="C587" s="344"/>
      <c r="D587" s="344"/>
      <c r="E587" s="344"/>
      <c r="F587" s="344"/>
      <c r="G587" s="314"/>
      <c r="H587" s="344"/>
      <c r="I587" s="344"/>
      <c r="J587" s="97" t="s">
        <v>930</v>
      </c>
      <c r="K587" s="95" t="s">
        <v>1700</v>
      </c>
      <c r="L587" s="106" t="s">
        <v>1960</v>
      </c>
      <c r="M587" s="106"/>
      <c r="N587" s="155" t="s">
        <v>1729</v>
      </c>
      <c r="O587" s="155" t="s">
        <v>22</v>
      </c>
      <c r="P587" s="155" t="s">
        <v>943</v>
      </c>
      <c r="Q587" s="155" t="s">
        <v>944</v>
      </c>
      <c r="R587" s="106" t="s">
        <v>945</v>
      </c>
      <c r="S587" s="169"/>
      <c r="T587" s="169"/>
      <c r="U587" s="169"/>
      <c r="V587" s="169"/>
    </row>
    <row r="588" spans="2:22" ht="47.25" customHeight="1">
      <c r="B588" s="342"/>
      <c r="C588" s="344"/>
      <c r="D588" s="344"/>
      <c r="E588" s="344"/>
      <c r="F588" s="344"/>
      <c r="G588" s="314"/>
      <c r="H588" s="344"/>
      <c r="I588" s="344"/>
      <c r="J588" s="119" t="s">
        <v>1181</v>
      </c>
      <c r="K588" s="343" t="s">
        <v>1700</v>
      </c>
      <c r="L588" s="313" t="s">
        <v>1795</v>
      </c>
      <c r="M588" s="106"/>
      <c r="N588" s="155" t="s">
        <v>1729</v>
      </c>
      <c r="O588" s="155" t="s">
        <v>22</v>
      </c>
      <c r="P588" s="155" t="s">
        <v>943</v>
      </c>
      <c r="Q588" s="155" t="s">
        <v>944</v>
      </c>
      <c r="R588" s="106" t="s">
        <v>945</v>
      </c>
      <c r="S588" s="169"/>
      <c r="T588" s="169"/>
      <c r="U588" s="169"/>
      <c r="V588" s="169"/>
    </row>
    <row r="589" spans="2:22" ht="47.25">
      <c r="B589" s="342"/>
      <c r="C589" s="344"/>
      <c r="D589" s="344"/>
      <c r="E589" s="344"/>
      <c r="F589" s="344"/>
      <c r="G589" s="314"/>
      <c r="H589" s="344"/>
      <c r="I589" s="344"/>
      <c r="J589" s="119" t="s">
        <v>1182</v>
      </c>
      <c r="K589" s="347"/>
      <c r="L589" s="315"/>
      <c r="M589" s="106" t="s">
        <v>1840</v>
      </c>
      <c r="N589" s="155" t="s">
        <v>1729</v>
      </c>
      <c r="O589" s="155" t="s">
        <v>22</v>
      </c>
      <c r="P589" s="155" t="s">
        <v>943</v>
      </c>
      <c r="Q589" s="155" t="s">
        <v>944</v>
      </c>
      <c r="R589" s="106" t="s">
        <v>945</v>
      </c>
      <c r="S589" s="169"/>
      <c r="T589" s="169"/>
      <c r="U589" s="169"/>
      <c r="V589" s="169"/>
    </row>
    <row r="590" spans="2:22" ht="47.25">
      <c r="B590" s="342"/>
      <c r="C590" s="344"/>
      <c r="D590" s="344"/>
      <c r="E590" s="344"/>
      <c r="F590" s="344"/>
      <c r="G590" s="314"/>
      <c r="H590" s="344"/>
      <c r="I590" s="344"/>
      <c r="J590" s="97" t="s">
        <v>931</v>
      </c>
      <c r="K590" s="95" t="s">
        <v>1700</v>
      </c>
      <c r="L590" s="106" t="s">
        <v>1959</v>
      </c>
      <c r="M590" s="106"/>
      <c r="N590" s="155" t="s">
        <v>1729</v>
      </c>
      <c r="O590" s="155" t="s">
        <v>22</v>
      </c>
      <c r="P590" s="155" t="s">
        <v>943</v>
      </c>
      <c r="Q590" s="155" t="s">
        <v>944</v>
      </c>
      <c r="R590" s="106" t="s">
        <v>945</v>
      </c>
      <c r="S590" s="169"/>
      <c r="T590" s="169"/>
      <c r="U590" s="169"/>
      <c r="V590" s="169"/>
    </row>
    <row r="591" spans="2:22" ht="47.25">
      <c r="B591" s="342"/>
      <c r="C591" s="344"/>
      <c r="D591" s="344"/>
      <c r="E591" s="344"/>
      <c r="F591" s="344"/>
      <c r="G591" s="314"/>
      <c r="H591" s="344"/>
      <c r="I591" s="344"/>
      <c r="J591" s="97" t="s">
        <v>932</v>
      </c>
      <c r="K591" s="95" t="s">
        <v>1700</v>
      </c>
      <c r="L591" s="106" t="s">
        <v>1960</v>
      </c>
      <c r="M591" s="106"/>
      <c r="N591" s="155" t="s">
        <v>1729</v>
      </c>
      <c r="O591" s="155" t="s">
        <v>22</v>
      </c>
      <c r="P591" s="155" t="s">
        <v>943</v>
      </c>
      <c r="Q591" s="155" t="s">
        <v>944</v>
      </c>
      <c r="R591" s="106" t="s">
        <v>945</v>
      </c>
      <c r="S591" s="169"/>
      <c r="T591" s="169"/>
      <c r="U591" s="169"/>
      <c r="V591" s="169"/>
    </row>
    <row r="592" spans="2:22" ht="47.25" customHeight="1">
      <c r="B592" s="342"/>
      <c r="C592" s="344"/>
      <c r="D592" s="344"/>
      <c r="E592" s="344"/>
      <c r="F592" s="344"/>
      <c r="G592" s="314"/>
      <c r="H592" s="344"/>
      <c r="I592" s="344"/>
      <c r="J592" s="103" t="s">
        <v>1183</v>
      </c>
      <c r="K592" s="313" t="s">
        <v>1700</v>
      </c>
      <c r="L592" s="313" t="s">
        <v>1995</v>
      </c>
      <c r="M592" s="106"/>
      <c r="N592" s="155" t="s">
        <v>1729</v>
      </c>
      <c r="O592" s="155" t="s">
        <v>22</v>
      </c>
      <c r="P592" s="155" t="s">
        <v>943</v>
      </c>
      <c r="Q592" s="155" t="s">
        <v>944</v>
      </c>
      <c r="R592" s="106" t="s">
        <v>945</v>
      </c>
      <c r="S592" s="169"/>
      <c r="T592" s="169"/>
      <c r="U592" s="169"/>
      <c r="V592" s="169"/>
    </row>
    <row r="593" spans="2:22" ht="47.25">
      <c r="B593" s="342"/>
      <c r="C593" s="344"/>
      <c r="D593" s="344"/>
      <c r="E593" s="344"/>
      <c r="F593" s="344"/>
      <c r="G593" s="314"/>
      <c r="H593" s="344"/>
      <c r="I593" s="344"/>
      <c r="J593" s="103" t="s">
        <v>1184</v>
      </c>
      <c r="K593" s="315"/>
      <c r="L593" s="315"/>
      <c r="M593" s="106" t="s">
        <v>1840</v>
      </c>
      <c r="N593" s="155" t="s">
        <v>1729</v>
      </c>
      <c r="O593" s="155" t="s">
        <v>22</v>
      </c>
      <c r="P593" s="155" t="s">
        <v>943</v>
      </c>
      <c r="Q593" s="155" t="s">
        <v>944</v>
      </c>
      <c r="R593" s="106" t="s">
        <v>945</v>
      </c>
      <c r="S593" s="169"/>
      <c r="T593" s="169"/>
      <c r="U593" s="169"/>
      <c r="V593" s="169"/>
    </row>
    <row r="594" spans="2:22" ht="47.25">
      <c r="B594" s="342"/>
      <c r="C594" s="344"/>
      <c r="D594" s="344"/>
      <c r="E594" s="344"/>
      <c r="F594" s="344"/>
      <c r="G594" s="314"/>
      <c r="H594" s="344"/>
      <c r="I594" s="344"/>
      <c r="J594" s="76" t="s">
        <v>1996</v>
      </c>
      <c r="K594" s="106" t="s">
        <v>1700</v>
      </c>
      <c r="L594" s="106" t="s">
        <v>1964</v>
      </c>
      <c r="M594" s="106"/>
      <c r="N594" s="155" t="s">
        <v>1729</v>
      </c>
      <c r="O594" s="155" t="s">
        <v>22</v>
      </c>
      <c r="P594" s="155" t="s">
        <v>943</v>
      </c>
      <c r="Q594" s="155" t="s">
        <v>944</v>
      </c>
      <c r="R594" s="106" t="s">
        <v>945</v>
      </c>
      <c r="S594" s="169"/>
      <c r="T594" s="169"/>
      <c r="U594" s="169"/>
      <c r="V594" s="169"/>
    </row>
    <row r="595" spans="2:22" ht="47.25">
      <c r="B595" s="342"/>
      <c r="C595" s="344"/>
      <c r="D595" s="344"/>
      <c r="E595" s="344"/>
      <c r="F595" s="344"/>
      <c r="G595" s="314"/>
      <c r="H595" s="344"/>
      <c r="I595" s="344"/>
      <c r="J595" s="76" t="s">
        <v>1997</v>
      </c>
      <c r="K595" s="106" t="s">
        <v>1700</v>
      </c>
      <c r="L595" s="106" t="s">
        <v>1966</v>
      </c>
      <c r="M595" s="106"/>
      <c r="N595" s="155" t="s">
        <v>1729</v>
      </c>
      <c r="O595" s="155" t="s">
        <v>22</v>
      </c>
      <c r="P595" s="155" t="s">
        <v>943</v>
      </c>
      <c r="Q595" s="155" t="s">
        <v>944</v>
      </c>
      <c r="R595" s="106" t="s">
        <v>945</v>
      </c>
      <c r="S595" s="169"/>
      <c r="T595" s="169"/>
      <c r="U595" s="169"/>
      <c r="V595" s="169"/>
    </row>
    <row r="596" spans="2:22" ht="47.25" customHeight="1">
      <c r="B596" s="342"/>
      <c r="C596" s="344"/>
      <c r="D596" s="344"/>
      <c r="E596" s="344"/>
      <c r="F596" s="344"/>
      <c r="G596" s="314"/>
      <c r="H596" s="344"/>
      <c r="I596" s="344"/>
      <c r="J596" s="103" t="s">
        <v>1998</v>
      </c>
      <c r="K596" s="313" t="s">
        <v>1700</v>
      </c>
      <c r="L596" s="313" t="s">
        <v>1999</v>
      </c>
      <c r="M596" s="106"/>
      <c r="N596" s="155" t="s">
        <v>1729</v>
      </c>
      <c r="O596" s="155" t="s">
        <v>22</v>
      </c>
      <c r="P596" s="155" t="s">
        <v>943</v>
      </c>
      <c r="Q596" s="155" t="s">
        <v>944</v>
      </c>
      <c r="R596" s="106" t="s">
        <v>945</v>
      </c>
      <c r="S596" s="169"/>
      <c r="T596" s="169"/>
      <c r="U596" s="169"/>
      <c r="V596" s="169"/>
    </row>
    <row r="597" spans="2:22" ht="47.25">
      <c r="B597" s="342"/>
      <c r="C597" s="344"/>
      <c r="D597" s="344"/>
      <c r="E597" s="344"/>
      <c r="F597" s="344"/>
      <c r="G597" s="314"/>
      <c r="H597" s="344"/>
      <c r="I597" s="344"/>
      <c r="J597" s="103" t="s">
        <v>2000</v>
      </c>
      <c r="K597" s="315"/>
      <c r="L597" s="315"/>
      <c r="M597" s="106" t="s">
        <v>1840</v>
      </c>
      <c r="N597" s="155" t="s">
        <v>1729</v>
      </c>
      <c r="O597" s="155" t="s">
        <v>22</v>
      </c>
      <c r="P597" s="155" t="s">
        <v>943</v>
      </c>
      <c r="Q597" s="155" t="s">
        <v>944</v>
      </c>
      <c r="R597" s="106" t="s">
        <v>945</v>
      </c>
      <c r="S597" s="169"/>
      <c r="T597" s="169"/>
      <c r="U597" s="169"/>
      <c r="V597" s="169"/>
    </row>
    <row r="598" spans="2:22" ht="47.25">
      <c r="B598" s="342"/>
      <c r="C598" s="344"/>
      <c r="D598" s="344"/>
      <c r="E598" s="344"/>
      <c r="F598" s="344"/>
      <c r="G598" s="314"/>
      <c r="H598" s="344"/>
      <c r="I598" s="344"/>
      <c r="J598" s="76" t="s">
        <v>2001</v>
      </c>
      <c r="K598" s="106" t="s">
        <v>1700</v>
      </c>
      <c r="L598" s="106" t="s">
        <v>1964</v>
      </c>
      <c r="M598" s="106"/>
      <c r="N598" s="155" t="s">
        <v>1729</v>
      </c>
      <c r="O598" s="155" t="s">
        <v>22</v>
      </c>
      <c r="P598" s="155" t="s">
        <v>943</v>
      </c>
      <c r="Q598" s="155" t="s">
        <v>944</v>
      </c>
      <c r="R598" s="106" t="s">
        <v>945</v>
      </c>
      <c r="S598" s="169"/>
      <c r="T598" s="169"/>
      <c r="U598" s="169"/>
      <c r="V598" s="169"/>
    </row>
    <row r="599" spans="2:22" ht="47.25">
      <c r="B599" s="342"/>
      <c r="C599" s="344"/>
      <c r="D599" s="344"/>
      <c r="E599" s="344"/>
      <c r="F599" s="344"/>
      <c r="G599" s="314"/>
      <c r="H599" s="344"/>
      <c r="I599" s="344"/>
      <c r="J599" s="76" t="s">
        <v>2002</v>
      </c>
      <c r="K599" s="106" t="s">
        <v>1700</v>
      </c>
      <c r="L599" s="106" t="s">
        <v>1966</v>
      </c>
      <c r="M599" s="106"/>
      <c r="N599" s="155" t="s">
        <v>1729</v>
      </c>
      <c r="O599" s="155" t="s">
        <v>22</v>
      </c>
      <c r="P599" s="155" t="s">
        <v>943</v>
      </c>
      <c r="Q599" s="155" t="s">
        <v>944</v>
      </c>
      <c r="R599" s="106" t="s">
        <v>945</v>
      </c>
      <c r="S599" s="169"/>
      <c r="T599" s="169"/>
      <c r="U599" s="169"/>
      <c r="V599" s="169"/>
    </row>
    <row r="600" spans="2:22" ht="47.25" customHeight="1">
      <c r="B600" s="342"/>
      <c r="C600" s="344"/>
      <c r="D600" s="344"/>
      <c r="E600" s="344"/>
      <c r="F600" s="344"/>
      <c r="G600" s="314"/>
      <c r="H600" s="344"/>
      <c r="I600" s="344"/>
      <c r="J600" s="103" t="s">
        <v>2003</v>
      </c>
      <c r="K600" s="313" t="s">
        <v>1700</v>
      </c>
      <c r="L600" s="313" t="s">
        <v>2004</v>
      </c>
      <c r="M600" s="106"/>
      <c r="N600" s="155" t="s">
        <v>1729</v>
      </c>
      <c r="O600" s="155" t="s">
        <v>22</v>
      </c>
      <c r="P600" s="155" t="s">
        <v>943</v>
      </c>
      <c r="Q600" s="155" t="s">
        <v>944</v>
      </c>
      <c r="R600" s="106" t="s">
        <v>945</v>
      </c>
      <c r="S600" s="169"/>
      <c r="T600" s="169"/>
      <c r="U600" s="169"/>
      <c r="V600" s="169"/>
    </row>
    <row r="601" spans="2:22" ht="47.25">
      <c r="B601" s="342"/>
      <c r="C601" s="344"/>
      <c r="D601" s="344"/>
      <c r="E601" s="344"/>
      <c r="F601" s="344"/>
      <c r="G601" s="314"/>
      <c r="H601" s="344"/>
      <c r="I601" s="344"/>
      <c r="J601" s="103" t="s">
        <v>2005</v>
      </c>
      <c r="K601" s="315"/>
      <c r="L601" s="315"/>
      <c r="M601" s="106" t="s">
        <v>1840</v>
      </c>
      <c r="N601" s="155" t="s">
        <v>1729</v>
      </c>
      <c r="O601" s="155" t="s">
        <v>22</v>
      </c>
      <c r="P601" s="155" t="s">
        <v>943</v>
      </c>
      <c r="Q601" s="155" t="s">
        <v>944</v>
      </c>
      <c r="R601" s="106" t="s">
        <v>945</v>
      </c>
      <c r="S601" s="169"/>
      <c r="T601" s="169"/>
      <c r="U601" s="169"/>
      <c r="V601" s="169"/>
    </row>
    <row r="602" spans="2:22" ht="47.25">
      <c r="B602" s="342"/>
      <c r="C602" s="344"/>
      <c r="D602" s="344"/>
      <c r="E602" s="344"/>
      <c r="F602" s="344"/>
      <c r="G602" s="314"/>
      <c r="H602" s="344"/>
      <c r="I602" s="344"/>
      <c r="J602" s="76" t="s">
        <v>2006</v>
      </c>
      <c r="K602" s="106" t="s">
        <v>1700</v>
      </c>
      <c r="L602" s="106" t="s">
        <v>1964</v>
      </c>
      <c r="M602" s="106"/>
      <c r="N602" s="155" t="s">
        <v>1729</v>
      </c>
      <c r="O602" s="155" t="s">
        <v>22</v>
      </c>
      <c r="P602" s="155" t="s">
        <v>943</v>
      </c>
      <c r="Q602" s="155" t="s">
        <v>944</v>
      </c>
      <c r="R602" s="106" t="s">
        <v>945</v>
      </c>
      <c r="S602" s="169"/>
      <c r="T602" s="169"/>
      <c r="U602" s="169"/>
      <c r="V602" s="169"/>
    </row>
    <row r="603" spans="2:22" ht="47.25">
      <c r="B603" s="342"/>
      <c r="C603" s="344"/>
      <c r="D603" s="344"/>
      <c r="E603" s="344"/>
      <c r="F603" s="344"/>
      <c r="G603" s="314"/>
      <c r="H603" s="344"/>
      <c r="I603" s="344"/>
      <c r="J603" s="76" t="s">
        <v>2007</v>
      </c>
      <c r="K603" s="106" t="s">
        <v>1700</v>
      </c>
      <c r="L603" s="106" t="s">
        <v>1966</v>
      </c>
      <c r="M603" s="106"/>
      <c r="N603" s="155" t="s">
        <v>1729</v>
      </c>
      <c r="O603" s="155" t="s">
        <v>22</v>
      </c>
      <c r="P603" s="155" t="s">
        <v>943</v>
      </c>
      <c r="Q603" s="155" t="s">
        <v>944</v>
      </c>
      <c r="R603" s="106" t="s">
        <v>945</v>
      </c>
      <c r="S603" s="169"/>
      <c r="T603" s="169"/>
      <c r="U603" s="169"/>
      <c r="V603" s="169"/>
    </row>
    <row r="604" spans="2:22" ht="31.5">
      <c r="B604" s="341" t="s">
        <v>878</v>
      </c>
      <c r="C604" s="343" t="s">
        <v>365</v>
      </c>
      <c r="D604" s="343" t="s">
        <v>439</v>
      </c>
      <c r="E604" s="343" t="s">
        <v>1675</v>
      </c>
      <c r="F604" s="343" t="s">
        <v>1676</v>
      </c>
      <c r="G604" s="313" t="s">
        <v>440</v>
      </c>
      <c r="H604" s="313"/>
      <c r="I604" s="313"/>
      <c r="J604" s="76" t="s">
        <v>879</v>
      </c>
      <c r="K604" s="106" t="s">
        <v>1700</v>
      </c>
      <c r="L604" s="106" t="s">
        <v>880</v>
      </c>
      <c r="M604" s="106"/>
      <c r="N604" s="155" t="s">
        <v>1729</v>
      </c>
      <c r="O604" s="155" t="s">
        <v>22</v>
      </c>
      <c r="P604" s="155" t="s">
        <v>943</v>
      </c>
      <c r="Q604" s="155" t="s">
        <v>944</v>
      </c>
      <c r="R604" s="106" t="s">
        <v>1017</v>
      </c>
      <c r="S604" s="169"/>
      <c r="T604" s="169"/>
      <c r="U604" s="169"/>
      <c r="V604" s="169"/>
    </row>
    <row r="605" spans="2:22" ht="47.25">
      <c r="B605" s="342"/>
      <c r="C605" s="344"/>
      <c r="D605" s="344"/>
      <c r="E605" s="344"/>
      <c r="F605" s="344"/>
      <c r="G605" s="314"/>
      <c r="H605" s="314"/>
      <c r="I605" s="314"/>
      <c r="J605" s="76" t="s">
        <v>881</v>
      </c>
      <c r="K605" s="106" t="s">
        <v>1700</v>
      </c>
      <c r="L605" s="106" t="s">
        <v>1859</v>
      </c>
      <c r="M605" s="106"/>
      <c r="N605" s="155" t="s">
        <v>1729</v>
      </c>
      <c r="O605" s="155" t="s">
        <v>22</v>
      </c>
      <c r="P605" s="155" t="s">
        <v>943</v>
      </c>
      <c r="Q605" s="155" t="s">
        <v>944</v>
      </c>
      <c r="R605" s="106" t="s">
        <v>945</v>
      </c>
      <c r="S605" s="169"/>
      <c r="T605" s="169"/>
      <c r="U605" s="169"/>
      <c r="V605" s="169"/>
    </row>
    <row r="606" spans="2:22" ht="47.25">
      <c r="B606" s="352"/>
      <c r="C606" s="347"/>
      <c r="D606" s="347"/>
      <c r="E606" s="347"/>
      <c r="F606" s="347"/>
      <c r="G606" s="315"/>
      <c r="H606" s="315"/>
      <c r="I606" s="315"/>
      <c r="J606" s="76" t="s">
        <v>882</v>
      </c>
      <c r="K606" s="106" t="s">
        <v>1700</v>
      </c>
      <c r="L606" s="106" t="s">
        <v>1858</v>
      </c>
      <c r="M606" s="106"/>
      <c r="N606" s="155" t="s">
        <v>1729</v>
      </c>
      <c r="O606" s="155" t="s">
        <v>22</v>
      </c>
      <c r="P606" s="155" t="s">
        <v>943</v>
      </c>
      <c r="Q606" s="155" t="s">
        <v>944</v>
      </c>
      <c r="R606" s="106" t="s">
        <v>945</v>
      </c>
      <c r="S606" s="169"/>
      <c r="T606" s="169"/>
      <c r="U606" s="169"/>
      <c r="V606" s="169"/>
    </row>
    <row r="607" spans="2:22" ht="47.25" customHeight="1">
      <c r="B607" s="341" t="s">
        <v>883</v>
      </c>
      <c r="C607" s="343" t="s">
        <v>365</v>
      </c>
      <c r="D607" s="343" t="s">
        <v>13</v>
      </c>
      <c r="E607" s="343" t="s">
        <v>448</v>
      </c>
      <c r="F607" s="343" t="s">
        <v>1677</v>
      </c>
      <c r="G607" s="313" t="s">
        <v>449</v>
      </c>
      <c r="H607" s="313"/>
      <c r="I607" s="313"/>
      <c r="J607" s="103" t="s">
        <v>1185</v>
      </c>
      <c r="K607" s="313" t="s">
        <v>1700</v>
      </c>
      <c r="L607" s="313" t="s">
        <v>450</v>
      </c>
      <c r="M607" s="106" t="s">
        <v>1034</v>
      </c>
      <c r="N607" s="155" t="s">
        <v>1729</v>
      </c>
      <c r="O607" s="155" t="s">
        <v>22</v>
      </c>
      <c r="P607" s="155" t="s">
        <v>943</v>
      </c>
      <c r="Q607" s="155" t="s">
        <v>944</v>
      </c>
      <c r="R607" s="106" t="s">
        <v>1017</v>
      </c>
      <c r="S607" s="169"/>
      <c r="T607" s="169"/>
      <c r="U607" s="169"/>
      <c r="V607" s="169"/>
    </row>
    <row r="608" spans="2:22" ht="47.25">
      <c r="B608" s="342"/>
      <c r="C608" s="344"/>
      <c r="D608" s="344"/>
      <c r="E608" s="344"/>
      <c r="F608" s="344"/>
      <c r="G608" s="314"/>
      <c r="H608" s="314"/>
      <c r="I608" s="314"/>
      <c r="J608" s="103" t="s">
        <v>1186</v>
      </c>
      <c r="K608" s="315"/>
      <c r="L608" s="315"/>
      <c r="M608" s="106" t="s">
        <v>1822</v>
      </c>
      <c r="N608" s="155" t="s">
        <v>1729</v>
      </c>
      <c r="O608" s="155" t="s">
        <v>22</v>
      </c>
      <c r="P608" s="155" t="s">
        <v>943</v>
      </c>
      <c r="Q608" s="155" t="s">
        <v>944</v>
      </c>
      <c r="R608" s="106" t="s">
        <v>945</v>
      </c>
      <c r="S608" s="169"/>
      <c r="T608" s="169"/>
      <c r="U608" s="169"/>
      <c r="V608" s="169"/>
    </row>
    <row r="609" spans="2:22" ht="47.25">
      <c r="B609" s="342"/>
      <c r="C609" s="344"/>
      <c r="D609" s="344"/>
      <c r="E609" s="344"/>
      <c r="F609" s="344"/>
      <c r="G609" s="314"/>
      <c r="H609" s="314"/>
      <c r="I609" s="314"/>
      <c r="J609" s="76" t="s">
        <v>884</v>
      </c>
      <c r="K609" s="106" t="s">
        <v>1700</v>
      </c>
      <c r="L609" s="106" t="s">
        <v>1857</v>
      </c>
      <c r="M609" s="106"/>
      <c r="N609" s="155" t="s">
        <v>1729</v>
      </c>
      <c r="O609" s="155" t="s">
        <v>22</v>
      </c>
      <c r="P609" s="155" t="s">
        <v>943</v>
      </c>
      <c r="Q609" s="155" t="s">
        <v>944</v>
      </c>
      <c r="R609" s="106" t="s">
        <v>945</v>
      </c>
      <c r="S609" s="169"/>
      <c r="T609" s="169"/>
      <c r="U609" s="169"/>
      <c r="V609" s="169"/>
    </row>
    <row r="610" spans="2:22" ht="47.25">
      <c r="B610" s="342"/>
      <c r="C610" s="344"/>
      <c r="D610" s="344"/>
      <c r="E610" s="344"/>
      <c r="F610" s="344"/>
      <c r="G610" s="314"/>
      <c r="H610" s="314"/>
      <c r="I610" s="314"/>
      <c r="J610" s="76" t="s">
        <v>885</v>
      </c>
      <c r="K610" s="106" t="s">
        <v>1700</v>
      </c>
      <c r="L610" s="106" t="s">
        <v>1856</v>
      </c>
      <c r="M610" s="106"/>
      <c r="N610" s="155" t="s">
        <v>1729</v>
      </c>
      <c r="O610" s="155" t="s">
        <v>22</v>
      </c>
      <c r="P610" s="155" t="s">
        <v>943</v>
      </c>
      <c r="Q610" s="155" t="s">
        <v>944</v>
      </c>
      <c r="R610" s="106" t="s">
        <v>945</v>
      </c>
      <c r="S610" s="169"/>
      <c r="T610" s="169"/>
      <c r="U610" s="169"/>
      <c r="V610" s="169"/>
    </row>
    <row r="611" spans="2:22" ht="63">
      <c r="B611" s="342"/>
      <c r="C611" s="344"/>
      <c r="D611" s="344"/>
      <c r="E611" s="344"/>
      <c r="F611" s="344"/>
      <c r="G611" s="314"/>
      <c r="H611" s="314"/>
      <c r="I611" s="314"/>
      <c r="J611" s="103" t="s">
        <v>1187</v>
      </c>
      <c r="K611" s="313" t="s">
        <v>1700</v>
      </c>
      <c r="L611" s="313" t="s">
        <v>453</v>
      </c>
      <c r="M611" s="106" t="s">
        <v>1823</v>
      </c>
      <c r="N611" s="155" t="s">
        <v>1729</v>
      </c>
      <c r="O611" s="155" t="s">
        <v>22</v>
      </c>
      <c r="P611" s="155" t="s">
        <v>943</v>
      </c>
      <c r="Q611" s="155" t="s">
        <v>944</v>
      </c>
      <c r="R611" s="106" t="s">
        <v>1017</v>
      </c>
      <c r="S611" s="169"/>
      <c r="T611" s="169"/>
      <c r="U611" s="169"/>
      <c r="V611" s="169"/>
    </row>
    <row r="612" spans="2:22" ht="47.25">
      <c r="B612" s="342"/>
      <c r="C612" s="344"/>
      <c r="D612" s="344"/>
      <c r="E612" s="344"/>
      <c r="F612" s="344"/>
      <c r="G612" s="314"/>
      <c r="H612" s="314"/>
      <c r="I612" s="314"/>
      <c r="J612" s="103" t="s">
        <v>1188</v>
      </c>
      <c r="K612" s="315"/>
      <c r="L612" s="315"/>
      <c r="M612" s="106" t="s">
        <v>1822</v>
      </c>
      <c r="N612" s="155" t="s">
        <v>1729</v>
      </c>
      <c r="O612" s="155" t="s">
        <v>22</v>
      </c>
      <c r="P612" s="155" t="s">
        <v>943</v>
      </c>
      <c r="Q612" s="155" t="s">
        <v>944</v>
      </c>
      <c r="R612" s="106" t="s">
        <v>945</v>
      </c>
      <c r="S612" s="169"/>
      <c r="T612" s="169"/>
      <c r="U612" s="169"/>
      <c r="V612" s="169"/>
    </row>
    <row r="613" spans="2:22" ht="47.25">
      <c r="B613" s="342"/>
      <c r="C613" s="344"/>
      <c r="D613" s="344"/>
      <c r="E613" s="344"/>
      <c r="F613" s="344"/>
      <c r="G613" s="314"/>
      <c r="H613" s="314"/>
      <c r="I613" s="314"/>
      <c r="J613" s="76" t="s">
        <v>886</v>
      </c>
      <c r="K613" s="106" t="s">
        <v>1700</v>
      </c>
      <c r="L613" s="106" t="s">
        <v>1855</v>
      </c>
      <c r="M613" s="106"/>
      <c r="N613" s="155" t="s">
        <v>1729</v>
      </c>
      <c r="O613" s="155" t="s">
        <v>22</v>
      </c>
      <c r="P613" s="155" t="s">
        <v>943</v>
      </c>
      <c r="Q613" s="155" t="s">
        <v>944</v>
      </c>
      <c r="R613" s="106" t="s">
        <v>945</v>
      </c>
      <c r="S613" s="169"/>
      <c r="T613" s="169"/>
      <c r="U613" s="169"/>
      <c r="V613" s="169"/>
    </row>
    <row r="614" spans="2:22" ht="47.25">
      <c r="B614" s="352"/>
      <c r="C614" s="347"/>
      <c r="D614" s="347"/>
      <c r="E614" s="347"/>
      <c r="F614" s="347"/>
      <c r="G614" s="315"/>
      <c r="H614" s="315"/>
      <c r="I614" s="315"/>
      <c r="J614" s="76" t="s">
        <v>887</v>
      </c>
      <c r="K614" s="106" t="s">
        <v>1700</v>
      </c>
      <c r="L614" s="106" t="s">
        <v>1854</v>
      </c>
      <c r="M614" s="106"/>
      <c r="N614" s="155" t="s">
        <v>1729</v>
      </c>
      <c r="O614" s="155" t="s">
        <v>22</v>
      </c>
      <c r="P614" s="155" t="s">
        <v>943</v>
      </c>
      <c r="Q614" s="155" t="s">
        <v>944</v>
      </c>
      <c r="R614" s="106" t="s">
        <v>945</v>
      </c>
      <c r="S614" s="169"/>
      <c r="T614" s="169"/>
      <c r="U614" s="169"/>
      <c r="V614" s="169"/>
    </row>
    <row r="615" spans="2:22" ht="63">
      <c r="B615" s="341" t="s">
        <v>888</v>
      </c>
      <c r="C615" s="343" t="s">
        <v>365</v>
      </c>
      <c r="D615" s="343" t="s">
        <v>457</v>
      </c>
      <c r="E615" s="343" t="s">
        <v>458</v>
      </c>
      <c r="F615" s="343" t="s">
        <v>1677</v>
      </c>
      <c r="G615" s="313" t="s">
        <v>459</v>
      </c>
      <c r="H615" s="313"/>
      <c r="I615" s="313"/>
      <c r="J615" s="103" t="s">
        <v>1189</v>
      </c>
      <c r="K615" s="313" t="s">
        <v>1700</v>
      </c>
      <c r="L615" s="313" t="s">
        <v>460</v>
      </c>
      <c r="M615" s="106" t="s">
        <v>1823</v>
      </c>
      <c r="N615" s="155" t="s">
        <v>1729</v>
      </c>
      <c r="O615" s="155" t="s">
        <v>22</v>
      </c>
      <c r="P615" s="155" t="s">
        <v>943</v>
      </c>
      <c r="Q615" s="155" t="s">
        <v>944</v>
      </c>
      <c r="R615" s="106" t="s">
        <v>1017</v>
      </c>
      <c r="S615" s="169"/>
      <c r="T615" s="169"/>
      <c r="U615" s="169"/>
      <c r="V615" s="169"/>
    </row>
    <row r="616" spans="2:22" ht="47.25">
      <c r="B616" s="342"/>
      <c r="C616" s="344"/>
      <c r="D616" s="344"/>
      <c r="E616" s="344"/>
      <c r="F616" s="344"/>
      <c r="G616" s="314"/>
      <c r="H616" s="314"/>
      <c r="I616" s="314"/>
      <c r="J616" s="103" t="s">
        <v>1190</v>
      </c>
      <c r="K616" s="315"/>
      <c r="L616" s="315"/>
      <c r="M616" s="106" t="s">
        <v>1822</v>
      </c>
      <c r="N616" s="155" t="s">
        <v>1729</v>
      </c>
      <c r="O616" s="155" t="s">
        <v>22</v>
      </c>
      <c r="P616" s="155" t="s">
        <v>943</v>
      </c>
      <c r="Q616" s="155" t="s">
        <v>944</v>
      </c>
      <c r="R616" s="106" t="s">
        <v>945</v>
      </c>
      <c r="S616" s="169"/>
      <c r="T616" s="169"/>
      <c r="U616" s="169"/>
      <c r="V616" s="169"/>
    </row>
    <row r="617" spans="2:22" ht="47.25">
      <c r="B617" s="342"/>
      <c r="C617" s="344"/>
      <c r="D617" s="344"/>
      <c r="E617" s="344"/>
      <c r="F617" s="344"/>
      <c r="G617" s="314"/>
      <c r="H617" s="314"/>
      <c r="I617" s="314"/>
      <c r="J617" s="76" t="s">
        <v>889</v>
      </c>
      <c r="K617" s="106" t="s">
        <v>1700</v>
      </c>
      <c r="L617" s="106" t="s">
        <v>1853</v>
      </c>
      <c r="M617" s="106"/>
      <c r="N617" s="155" t="s">
        <v>1729</v>
      </c>
      <c r="O617" s="155" t="s">
        <v>22</v>
      </c>
      <c r="P617" s="155" t="s">
        <v>943</v>
      </c>
      <c r="Q617" s="155" t="s">
        <v>944</v>
      </c>
      <c r="R617" s="106" t="s">
        <v>945</v>
      </c>
      <c r="S617" s="169"/>
      <c r="T617" s="169"/>
      <c r="U617" s="169"/>
      <c r="V617" s="169"/>
    </row>
    <row r="618" spans="2:22" ht="47.25">
      <c r="B618" s="342"/>
      <c r="C618" s="344"/>
      <c r="D618" s="344"/>
      <c r="E618" s="344"/>
      <c r="F618" s="344"/>
      <c r="G618" s="314"/>
      <c r="H618" s="314"/>
      <c r="I618" s="314"/>
      <c r="J618" s="76" t="s">
        <v>890</v>
      </c>
      <c r="K618" s="106" t="s">
        <v>1700</v>
      </c>
      <c r="L618" s="106" t="s">
        <v>1852</v>
      </c>
      <c r="M618" s="106"/>
      <c r="N618" s="155" t="s">
        <v>1729</v>
      </c>
      <c r="O618" s="155" t="s">
        <v>22</v>
      </c>
      <c r="P618" s="155" t="s">
        <v>943</v>
      </c>
      <c r="Q618" s="155" t="s">
        <v>944</v>
      </c>
      <c r="R618" s="106" t="s">
        <v>945</v>
      </c>
      <c r="S618" s="169"/>
      <c r="T618" s="169"/>
      <c r="U618" s="169"/>
      <c r="V618" s="169"/>
    </row>
    <row r="619" spans="2:22" ht="63">
      <c r="B619" s="342"/>
      <c r="C619" s="344"/>
      <c r="D619" s="344"/>
      <c r="E619" s="344"/>
      <c r="F619" s="344"/>
      <c r="G619" s="314"/>
      <c r="H619" s="314"/>
      <c r="I619" s="314"/>
      <c r="J619" s="103" t="s">
        <v>1191</v>
      </c>
      <c r="K619" s="313" t="s">
        <v>1700</v>
      </c>
      <c r="L619" s="313" t="s">
        <v>463</v>
      </c>
      <c r="M619" s="106" t="s">
        <v>1823</v>
      </c>
      <c r="N619" s="155" t="s">
        <v>1729</v>
      </c>
      <c r="O619" s="155" t="s">
        <v>22</v>
      </c>
      <c r="P619" s="155" t="s">
        <v>943</v>
      </c>
      <c r="Q619" s="155" t="s">
        <v>944</v>
      </c>
      <c r="R619" s="106" t="s">
        <v>1017</v>
      </c>
      <c r="S619" s="169"/>
      <c r="T619" s="169"/>
      <c r="U619" s="169"/>
      <c r="V619" s="169"/>
    </row>
    <row r="620" spans="2:22" ht="47.25">
      <c r="B620" s="342"/>
      <c r="C620" s="344"/>
      <c r="D620" s="344"/>
      <c r="E620" s="344"/>
      <c r="F620" s="344"/>
      <c r="G620" s="314"/>
      <c r="H620" s="314"/>
      <c r="I620" s="314"/>
      <c r="J620" s="103" t="s">
        <v>1192</v>
      </c>
      <c r="K620" s="315"/>
      <c r="L620" s="315"/>
      <c r="M620" s="106" t="s">
        <v>1822</v>
      </c>
      <c r="N620" s="155" t="s">
        <v>1729</v>
      </c>
      <c r="O620" s="155" t="s">
        <v>22</v>
      </c>
      <c r="P620" s="155" t="s">
        <v>943</v>
      </c>
      <c r="Q620" s="155" t="s">
        <v>944</v>
      </c>
      <c r="R620" s="106" t="s">
        <v>945</v>
      </c>
      <c r="S620" s="169"/>
      <c r="T620" s="169"/>
      <c r="U620" s="169"/>
      <c r="V620" s="169"/>
    </row>
    <row r="621" spans="2:22" ht="31.5">
      <c r="B621" s="342"/>
      <c r="C621" s="344"/>
      <c r="D621" s="344"/>
      <c r="E621" s="344"/>
      <c r="F621" s="344"/>
      <c r="G621" s="314"/>
      <c r="H621" s="314"/>
      <c r="I621" s="314"/>
      <c r="J621" s="76" t="s">
        <v>891</v>
      </c>
      <c r="K621" s="106" t="s">
        <v>1700</v>
      </c>
      <c r="L621" s="106" t="s">
        <v>465</v>
      </c>
      <c r="M621" s="106"/>
      <c r="N621" s="155" t="s">
        <v>1729</v>
      </c>
      <c r="O621" s="155" t="s">
        <v>22</v>
      </c>
      <c r="P621" s="155" t="s">
        <v>943</v>
      </c>
      <c r="Q621" s="155" t="s">
        <v>944</v>
      </c>
      <c r="R621" s="106" t="s">
        <v>945</v>
      </c>
      <c r="S621" s="169"/>
      <c r="T621" s="169"/>
      <c r="U621" s="169"/>
      <c r="V621" s="169"/>
    </row>
    <row r="622" spans="2:22" ht="47.25">
      <c r="B622" s="342"/>
      <c r="C622" s="344"/>
      <c r="D622" s="344"/>
      <c r="E622" s="344"/>
      <c r="F622" s="344"/>
      <c r="G622" s="314"/>
      <c r="H622" s="314"/>
      <c r="I622" s="314"/>
      <c r="J622" s="76" t="s">
        <v>892</v>
      </c>
      <c r="K622" s="106" t="s">
        <v>1700</v>
      </c>
      <c r="L622" s="106" t="s">
        <v>1851</v>
      </c>
      <c r="M622" s="106"/>
      <c r="N622" s="155" t="s">
        <v>1729</v>
      </c>
      <c r="O622" s="155" t="s">
        <v>22</v>
      </c>
      <c r="P622" s="155" t="s">
        <v>943</v>
      </c>
      <c r="Q622" s="155" t="s">
        <v>944</v>
      </c>
      <c r="R622" s="106" t="s">
        <v>945</v>
      </c>
      <c r="S622" s="169"/>
      <c r="T622" s="169"/>
      <c r="U622" s="169"/>
      <c r="V622" s="169"/>
    </row>
    <row r="623" spans="2:22" ht="63">
      <c r="B623" s="342"/>
      <c r="C623" s="344"/>
      <c r="D623" s="344"/>
      <c r="E623" s="344"/>
      <c r="F623" s="344"/>
      <c r="G623" s="314"/>
      <c r="H623" s="314"/>
      <c r="I623" s="314"/>
      <c r="J623" s="103" t="s">
        <v>1193</v>
      </c>
      <c r="K623" s="313" t="s">
        <v>1700</v>
      </c>
      <c r="L623" s="313" t="s">
        <v>467</v>
      </c>
      <c r="M623" s="106" t="s">
        <v>1823</v>
      </c>
      <c r="N623" s="155" t="s">
        <v>1729</v>
      </c>
      <c r="O623" s="155" t="s">
        <v>22</v>
      </c>
      <c r="P623" s="155" t="s">
        <v>943</v>
      </c>
      <c r="Q623" s="155" t="s">
        <v>944</v>
      </c>
      <c r="R623" s="106" t="s">
        <v>1017</v>
      </c>
      <c r="S623" s="169"/>
      <c r="T623" s="169"/>
      <c r="U623" s="169"/>
      <c r="V623" s="169"/>
    </row>
    <row r="624" spans="2:22" ht="47.25">
      <c r="B624" s="342"/>
      <c r="C624" s="344"/>
      <c r="D624" s="344"/>
      <c r="E624" s="344"/>
      <c r="F624" s="344"/>
      <c r="G624" s="314"/>
      <c r="H624" s="314"/>
      <c r="I624" s="314"/>
      <c r="J624" s="103" t="s">
        <v>1194</v>
      </c>
      <c r="K624" s="315"/>
      <c r="L624" s="315"/>
      <c r="M624" s="106" t="s">
        <v>1822</v>
      </c>
      <c r="N624" s="155" t="s">
        <v>1729</v>
      </c>
      <c r="O624" s="155" t="s">
        <v>22</v>
      </c>
      <c r="P624" s="155" t="s">
        <v>943</v>
      </c>
      <c r="Q624" s="155" t="s">
        <v>944</v>
      </c>
      <c r="R624" s="106" t="s">
        <v>945</v>
      </c>
      <c r="S624" s="169"/>
      <c r="T624" s="169"/>
      <c r="U624" s="169"/>
      <c r="V624" s="169"/>
    </row>
    <row r="625" spans="2:22" ht="47.25">
      <c r="B625" s="342"/>
      <c r="C625" s="344"/>
      <c r="D625" s="344"/>
      <c r="E625" s="344"/>
      <c r="F625" s="344"/>
      <c r="G625" s="314"/>
      <c r="H625" s="314"/>
      <c r="I625" s="314"/>
      <c r="J625" s="76" t="s">
        <v>893</v>
      </c>
      <c r="K625" s="106" t="s">
        <v>1700</v>
      </c>
      <c r="L625" s="106" t="s">
        <v>1850</v>
      </c>
      <c r="M625" s="106"/>
      <c r="N625" s="155" t="s">
        <v>1729</v>
      </c>
      <c r="O625" s="155" t="s">
        <v>22</v>
      </c>
      <c r="P625" s="155" t="s">
        <v>943</v>
      </c>
      <c r="Q625" s="155" t="s">
        <v>944</v>
      </c>
      <c r="R625" s="106" t="s">
        <v>945</v>
      </c>
      <c r="S625" s="169"/>
      <c r="T625" s="169"/>
      <c r="U625" s="169"/>
      <c r="V625" s="169"/>
    </row>
    <row r="626" spans="2:22" ht="47.25">
      <c r="B626" s="342"/>
      <c r="C626" s="344"/>
      <c r="D626" s="344"/>
      <c r="E626" s="344"/>
      <c r="F626" s="344"/>
      <c r="G626" s="314"/>
      <c r="H626" s="314"/>
      <c r="I626" s="314"/>
      <c r="J626" s="76" t="s">
        <v>894</v>
      </c>
      <c r="K626" s="106" t="s">
        <v>1700</v>
      </c>
      <c r="L626" s="106" t="s">
        <v>1849</v>
      </c>
      <c r="M626" s="106"/>
      <c r="N626" s="155" t="s">
        <v>1729</v>
      </c>
      <c r="O626" s="155" t="s">
        <v>22</v>
      </c>
      <c r="P626" s="155" t="s">
        <v>943</v>
      </c>
      <c r="Q626" s="155" t="s">
        <v>944</v>
      </c>
      <c r="R626" s="106" t="s">
        <v>945</v>
      </c>
      <c r="S626" s="169"/>
      <c r="T626" s="169"/>
      <c r="U626" s="169"/>
      <c r="V626" s="169"/>
    </row>
    <row r="627" spans="2:22" ht="31.5" customHeight="1">
      <c r="B627" s="342"/>
      <c r="C627" s="344"/>
      <c r="D627" s="344"/>
      <c r="E627" s="344"/>
      <c r="F627" s="344"/>
      <c r="G627" s="314"/>
      <c r="H627" s="314"/>
      <c r="I627" s="314"/>
      <c r="J627" s="103" t="s">
        <v>1195</v>
      </c>
      <c r="K627" s="313" t="s">
        <v>1700</v>
      </c>
      <c r="L627" s="313" t="s">
        <v>470</v>
      </c>
      <c r="M627" s="106" t="s">
        <v>1823</v>
      </c>
      <c r="N627" s="155" t="s">
        <v>1729</v>
      </c>
      <c r="O627" s="155" t="s">
        <v>22</v>
      </c>
      <c r="P627" s="155" t="s">
        <v>943</v>
      </c>
      <c r="Q627" s="155" t="s">
        <v>944</v>
      </c>
      <c r="R627" s="106" t="s">
        <v>1017</v>
      </c>
      <c r="S627" s="169"/>
      <c r="T627" s="169"/>
      <c r="U627" s="169"/>
      <c r="V627" s="169"/>
    </row>
    <row r="628" spans="2:22" ht="47.25">
      <c r="B628" s="342"/>
      <c r="C628" s="344"/>
      <c r="D628" s="344"/>
      <c r="E628" s="344"/>
      <c r="F628" s="344"/>
      <c r="G628" s="314"/>
      <c r="H628" s="314"/>
      <c r="I628" s="314"/>
      <c r="J628" s="103" t="s">
        <v>1196</v>
      </c>
      <c r="K628" s="315"/>
      <c r="L628" s="315"/>
      <c r="M628" s="106" t="s">
        <v>1822</v>
      </c>
      <c r="N628" s="155" t="s">
        <v>1729</v>
      </c>
      <c r="O628" s="155" t="s">
        <v>22</v>
      </c>
      <c r="P628" s="155" t="s">
        <v>943</v>
      </c>
      <c r="Q628" s="155" t="s">
        <v>944</v>
      </c>
      <c r="R628" s="106" t="s">
        <v>945</v>
      </c>
      <c r="S628" s="169"/>
      <c r="T628" s="169"/>
      <c r="U628" s="169"/>
      <c r="V628" s="169"/>
    </row>
    <row r="629" spans="2:22" ht="47.25">
      <c r="B629" s="342"/>
      <c r="C629" s="344"/>
      <c r="D629" s="344"/>
      <c r="E629" s="344"/>
      <c r="F629" s="344"/>
      <c r="G629" s="314"/>
      <c r="H629" s="314"/>
      <c r="I629" s="314"/>
      <c r="J629" s="76" t="s">
        <v>895</v>
      </c>
      <c r="K629" s="106" t="s">
        <v>1700</v>
      </c>
      <c r="L629" s="106" t="s">
        <v>1848</v>
      </c>
      <c r="M629" s="106"/>
      <c r="N629" s="155" t="s">
        <v>1729</v>
      </c>
      <c r="O629" s="155" t="s">
        <v>22</v>
      </c>
      <c r="P629" s="155" t="s">
        <v>943</v>
      </c>
      <c r="Q629" s="155" t="s">
        <v>944</v>
      </c>
      <c r="R629" s="106" t="s">
        <v>945</v>
      </c>
      <c r="S629" s="169"/>
      <c r="T629" s="169"/>
      <c r="U629" s="169"/>
      <c r="V629" s="169"/>
    </row>
    <row r="630" spans="2:22" ht="47.25">
      <c r="B630" s="342"/>
      <c r="C630" s="344"/>
      <c r="D630" s="344"/>
      <c r="E630" s="344"/>
      <c r="F630" s="344"/>
      <c r="G630" s="314"/>
      <c r="H630" s="314"/>
      <c r="I630" s="314"/>
      <c r="J630" s="76" t="s">
        <v>896</v>
      </c>
      <c r="K630" s="106" t="s">
        <v>1700</v>
      </c>
      <c r="L630" s="106" t="s">
        <v>1847</v>
      </c>
      <c r="M630" s="106"/>
      <c r="N630" s="155" t="s">
        <v>1729</v>
      </c>
      <c r="O630" s="155" t="s">
        <v>22</v>
      </c>
      <c r="P630" s="155" t="s">
        <v>943</v>
      </c>
      <c r="Q630" s="155" t="s">
        <v>944</v>
      </c>
      <c r="R630" s="106" t="s">
        <v>945</v>
      </c>
      <c r="S630" s="169"/>
      <c r="T630" s="169"/>
      <c r="U630" s="169"/>
      <c r="V630" s="169"/>
    </row>
    <row r="631" spans="2:22" ht="63">
      <c r="B631" s="342"/>
      <c r="C631" s="344"/>
      <c r="D631" s="344"/>
      <c r="E631" s="344"/>
      <c r="F631" s="344"/>
      <c r="G631" s="314"/>
      <c r="H631" s="314"/>
      <c r="I631" s="314"/>
      <c r="J631" s="103" t="s">
        <v>1197</v>
      </c>
      <c r="K631" s="313" t="s">
        <v>1700</v>
      </c>
      <c r="L631" s="313" t="s">
        <v>473</v>
      </c>
      <c r="M631" s="106" t="s">
        <v>1823</v>
      </c>
      <c r="N631" s="155" t="s">
        <v>1729</v>
      </c>
      <c r="O631" s="155" t="s">
        <v>22</v>
      </c>
      <c r="P631" s="155" t="s">
        <v>943</v>
      </c>
      <c r="Q631" s="155" t="s">
        <v>944</v>
      </c>
      <c r="R631" s="106" t="s">
        <v>1017</v>
      </c>
      <c r="S631" s="169"/>
      <c r="T631" s="169"/>
      <c r="U631" s="169"/>
      <c r="V631" s="169"/>
    </row>
    <row r="632" spans="2:22" ht="47.25">
      <c r="B632" s="342"/>
      <c r="C632" s="344"/>
      <c r="D632" s="344"/>
      <c r="E632" s="344"/>
      <c r="F632" s="344"/>
      <c r="G632" s="314"/>
      <c r="H632" s="314"/>
      <c r="I632" s="314"/>
      <c r="J632" s="103" t="s">
        <v>1198</v>
      </c>
      <c r="K632" s="315"/>
      <c r="L632" s="315"/>
      <c r="M632" s="106" t="s">
        <v>1822</v>
      </c>
      <c r="N632" s="155" t="s">
        <v>1729</v>
      </c>
      <c r="O632" s="155" t="s">
        <v>22</v>
      </c>
      <c r="P632" s="155" t="s">
        <v>943</v>
      </c>
      <c r="Q632" s="155" t="s">
        <v>944</v>
      </c>
      <c r="R632" s="106" t="s">
        <v>945</v>
      </c>
      <c r="S632" s="169"/>
      <c r="T632" s="169"/>
      <c r="U632" s="169"/>
      <c r="V632" s="169"/>
    </row>
    <row r="633" spans="2:22" ht="47.25">
      <c r="B633" s="342"/>
      <c r="C633" s="344"/>
      <c r="D633" s="344"/>
      <c r="E633" s="344"/>
      <c r="F633" s="344"/>
      <c r="G633" s="314"/>
      <c r="H633" s="314"/>
      <c r="I633" s="314"/>
      <c r="J633" s="76" t="s">
        <v>897</v>
      </c>
      <c r="K633" s="106" t="s">
        <v>1700</v>
      </c>
      <c r="L633" s="106" t="s">
        <v>1818</v>
      </c>
      <c r="M633" s="106"/>
      <c r="N633" s="155" t="s">
        <v>1729</v>
      </c>
      <c r="O633" s="155" t="s">
        <v>22</v>
      </c>
      <c r="P633" s="155" t="s">
        <v>943</v>
      </c>
      <c r="Q633" s="155" t="s">
        <v>944</v>
      </c>
      <c r="R633" s="106" t="s">
        <v>945</v>
      </c>
      <c r="S633" s="169"/>
      <c r="T633" s="169"/>
      <c r="U633" s="169"/>
      <c r="V633" s="169"/>
    </row>
    <row r="634" spans="2:22" ht="47.25">
      <c r="B634" s="352"/>
      <c r="C634" s="347"/>
      <c r="D634" s="347"/>
      <c r="E634" s="347"/>
      <c r="F634" s="347"/>
      <c r="G634" s="315"/>
      <c r="H634" s="315"/>
      <c r="I634" s="315"/>
      <c r="J634" s="76" t="s">
        <v>898</v>
      </c>
      <c r="K634" s="106" t="s">
        <v>1700</v>
      </c>
      <c r="L634" s="106" t="s">
        <v>1817</v>
      </c>
      <c r="M634" s="106"/>
      <c r="N634" s="155" t="s">
        <v>1729</v>
      </c>
      <c r="O634" s="155" t="s">
        <v>22</v>
      </c>
      <c r="P634" s="155" t="s">
        <v>943</v>
      </c>
      <c r="Q634" s="155" t="s">
        <v>944</v>
      </c>
      <c r="R634" s="106" t="s">
        <v>945</v>
      </c>
      <c r="S634" s="169"/>
      <c r="T634" s="169"/>
      <c r="U634" s="169"/>
      <c r="V634" s="169"/>
    </row>
    <row r="635" spans="2:22" ht="141.75">
      <c r="B635" s="94" t="s">
        <v>899</v>
      </c>
      <c r="C635" s="95" t="s">
        <v>365</v>
      </c>
      <c r="D635" s="96" t="s">
        <v>14</v>
      </c>
      <c r="E635" s="95" t="s">
        <v>477</v>
      </c>
      <c r="F635" s="95" t="s">
        <v>22</v>
      </c>
      <c r="G635" s="106" t="s">
        <v>1831</v>
      </c>
      <c r="H635" s="106"/>
      <c r="I635" s="106"/>
      <c r="J635" s="76" t="s">
        <v>900</v>
      </c>
      <c r="K635" s="106" t="s">
        <v>1700</v>
      </c>
      <c r="L635" s="106" t="s">
        <v>1705</v>
      </c>
      <c r="M635" s="106"/>
      <c r="N635" s="155" t="s">
        <v>1729</v>
      </c>
      <c r="O635" s="155" t="s">
        <v>22</v>
      </c>
      <c r="P635" s="155" t="s">
        <v>943</v>
      </c>
      <c r="Q635" s="155" t="s">
        <v>944</v>
      </c>
      <c r="R635" s="106" t="s">
        <v>945</v>
      </c>
      <c r="S635" s="169"/>
      <c r="T635" s="169"/>
      <c r="U635" s="169"/>
      <c r="V635" s="169"/>
    </row>
    <row r="636" spans="2:22" ht="47.25" customHeight="1">
      <c r="B636" s="341" t="s">
        <v>901</v>
      </c>
      <c r="C636" s="343" t="s">
        <v>365</v>
      </c>
      <c r="D636" s="343" t="s">
        <v>15</v>
      </c>
      <c r="E636" s="343" t="s">
        <v>1678</v>
      </c>
      <c r="F636" s="343" t="s">
        <v>1677</v>
      </c>
      <c r="G636" s="313" t="s">
        <v>1793</v>
      </c>
      <c r="H636" s="313"/>
      <c r="I636" s="313"/>
      <c r="J636" s="103" t="s">
        <v>1199</v>
      </c>
      <c r="K636" s="313" t="s">
        <v>1700</v>
      </c>
      <c r="L636" s="313" t="s">
        <v>481</v>
      </c>
      <c r="M636" s="106" t="s">
        <v>1823</v>
      </c>
      <c r="N636" s="155" t="s">
        <v>1729</v>
      </c>
      <c r="O636" s="155" t="s">
        <v>22</v>
      </c>
      <c r="P636" s="155" t="s">
        <v>943</v>
      </c>
      <c r="Q636" s="155" t="s">
        <v>944</v>
      </c>
      <c r="R636" s="106" t="s">
        <v>1017</v>
      </c>
      <c r="S636" s="169"/>
      <c r="T636" s="169"/>
      <c r="U636" s="169"/>
      <c r="V636" s="169"/>
    </row>
    <row r="637" spans="2:22" ht="47.25">
      <c r="B637" s="342"/>
      <c r="C637" s="344"/>
      <c r="D637" s="344"/>
      <c r="E637" s="344"/>
      <c r="F637" s="344"/>
      <c r="G637" s="314"/>
      <c r="H637" s="314"/>
      <c r="I637" s="314"/>
      <c r="J637" s="103" t="s">
        <v>1200</v>
      </c>
      <c r="K637" s="315"/>
      <c r="L637" s="315"/>
      <c r="M637" s="106" t="s">
        <v>1822</v>
      </c>
      <c r="N637" s="155" t="s">
        <v>1729</v>
      </c>
      <c r="O637" s="155" t="s">
        <v>22</v>
      </c>
      <c r="P637" s="155" t="s">
        <v>943</v>
      </c>
      <c r="Q637" s="155" t="s">
        <v>944</v>
      </c>
      <c r="R637" s="106" t="s">
        <v>945</v>
      </c>
      <c r="S637" s="169"/>
      <c r="T637" s="169"/>
      <c r="U637" s="169"/>
      <c r="V637" s="169"/>
    </row>
    <row r="638" spans="2:22" ht="31.5">
      <c r="B638" s="342"/>
      <c r="C638" s="344"/>
      <c r="D638" s="344"/>
      <c r="E638" s="344"/>
      <c r="F638" s="344"/>
      <c r="G638" s="314"/>
      <c r="H638" s="314"/>
      <c r="I638" s="314"/>
      <c r="J638" s="76" t="s">
        <v>902</v>
      </c>
      <c r="K638" s="106" t="s">
        <v>1700</v>
      </c>
      <c r="L638" s="106" t="s">
        <v>483</v>
      </c>
      <c r="M638" s="106"/>
      <c r="N638" s="155" t="s">
        <v>1729</v>
      </c>
      <c r="O638" s="155" t="s">
        <v>22</v>
      </c>
      <c r="P638" s="155" t="s">
        <v>943</v>
      </c>
      <c r="Q638" s="155" t="s">
        <v>944</v>
      </c>
      <c r="R638" s="106" t="s">
        <v>945</v>
      </c>
      <c r="S638" s="169"/>
      <c r="T638" s="169"/>
      <c r="U638" s="169"/>
      <c r="V638" s="169"/>
    </row>
    <row r="639" spans="2:22" ht="63">
      <c r="B639" s="342"/>
      <c r="C639" s="344"/>
      <c r="D639" s="344"/>
      <c r="E639" s="344"/>
      <c r="F639" s="344"/>
      <c r="G639" s="314"/>
      <c r="H639" s="314"/>
      <c r="I639" s="314"/>
      <c r="J639" s="76" t="s">
        <v>903</v>
      </c>
      <c r="K639" s="106" t="s">
        <v>1700</v>
      </c>
      <c r="L639" s="106" t="s">
        <v>1846</v>
      </c>
      <c r="M639" s="106"/>
      <c r="N639" s="155" t="s">
        <v>1729</v>
      </c>
      <c r="O639" s="155" t="s">
        <v>22</v>
      </c>
      <c r="P639" s="155" t="s">
        <v>943</v>
      </c>
      <c r="Q639" s="155" t="s">
        <v>944</v>
      </c>
      <c r="R639" s="106" t="s">
        <v>945</v>
      </c>
      <c r="S639" s="169"/>
      <c r="T639" s="169"/>
      <c r="U639" s="169"/>
      <c r="V639" s="169"/>
    </row>
    <row r="640" spans="2:22" ht="63">
      <c r="B640" s="342"/>
      <c r="C640" s="344"/>
      <c r="D640" s="344"/>
      <c r="E640" s="344"/>
      <c r="F640" s="344"/>
      <c r="G640" s="314"/>
      <c r="H640" s="314"/>
      <c r="I640" s="314"/>
      <c r="J640" s="103" t="s">
        <v>1201</v>
      </c>
      <c r="K640" s="313" t="s">
        <v>1700</v>
      </c>
      <c r="L640" s="313" t="s">
        <v>486</v>
      </c>
      <c r="M640" s="106" t="s">
        <v>1823</v>
      </c>
      <c r="N640" s="155" t="s">
        <v>1729</v>
      </c>
      <c r="O640" s="155" t="s">
        <v>22</v>
      </c>
      <c r="P640" s="155" t="s">
        <v>943</v>
      </c>
      <c r="Q640" s="155" t="s">
        <v>944</v>
      </c>
      <c r="R640" s="106" t="s">
        <v>1017</v>
      </c>
      <c r="S640" s="169"/>
      <c r="T640" s="169"/>
      <c r="U640" s="169"/>
      <c r="V640" s="169"/>
    </row>
    <row r="641" spans="2:22" ht="47.25">
      <c r="B641" s="342"/>
      <c r="C641" s="344"/>
      <c r="D641" s="344"/>
      <c r="E641" s="344"/>
      <c r="F641" s="344"/>
      <c r="G641" s="314"/>
      <c r="H641" s="314"/>
      <c r="I641" s="314"/>
      <c r="J641" s="103" t="s">
        <v>1202</v>
      </c>
      <c r="K641" s="315"/>
      <c r="L641" s="315"/>
      <c r="M641" s="106" t="s">
        <v>1822</v>
      </c>
      <c r="N641" s="155" t="s">
        <v>1729</v>
      </c>
      <c r="O641" s="155" t="s">
        <v>22</v>
      </c>
      <c r="P641" s="155" t="s">
        <v>943</v>
      </c>
      <c r="Q641" s="155" t="s">
        <v>944</v>
      </c>
      <c r="R641" s="106" t="s">
        <v>945</v>
      </c>
      <c r="S641" s="169"/>
      <c r="T641" s="169"/>
      <c r="U641" s="169"/>
      <c r="V641" s="169"/>
    </row>
    <row r="642" spans="2:22" ht="31.5">
      <c r="B642" s="342"/>
      <c r="C642" s="344"/>
      <c r="D642" s="344"/>
      <c r="E642" s="344"/>
      <c r="F642" s="344"/>
      <c r="G642" s="314"/>
      <c r="H642" s="314"/>
      <c r="I642" s="314"/>
      <c r="J642" s="76" t="s">
        <v>904</v>
      </c>
      <c r="K642" s="106" t="s">
        <v>1700</v>
      </c>
      <c r="L642" s="106" t="s">
        <v>487</v>
      </c>
      <c r="M642" s="106"/>
      <c r="N642" s="155" t="s">
        <v>1729</v>
      </c>
      <c r="O642" s="155" t="s">
        <v>22</v>
      </c>
      <c r="P642" s="155" t="s">
        <v>943</v>
      </c>
      <c r="Q642" s="155" t="s">
        <v>944</v>
      </c>
      <c r="R642" s="106" t="s">
        <v>945</v>
      </c>
      <c r="S642" s="169"/>
      <c r="T642" s="169"/>
      <c r="U642" s="169"/>
      <c r="V642" s="169"/>
    </row>
    <row r="643" spans="2:22" ht="63">
      <c r="B643" s="342"/>
      <c r="C643" s="344"/>
      <c r="D643" s="344"/>
      <c r="E643" s="344"/>
      <c r="F643" s="344"/>
      <c r="G643" s="314"/>
      <c r="H643" s="314"/>
      <c r="I643" s="314"/>
      <c r="J643" s="103" t="s">
        <v>1203</v>
      </c>
      <c r="K643" s="313" t="s">
        <v>1700</v>
      </c>
      <c r="L643" s="313" t="s">
        <v>488</v>
      </c>
      <c r="M643" s="106" t="s">
        <v>1823</v>
      </c>
      <c r="N643" s="155" t="s">
        <v>1729</v>
      </c>
      <c r="O643" s="155" t="s">
        <v>22</v>
      </c>
      <c r="P643" s="155" t="s">
        <v>943</v>
      </c>
      <c r="Q643" s="155" t="s">
        <v>944</v>
      </c>
      <c r="R643" s="106" t="s">
        <v>1017</v>
      </c>
      <c r="S643" s="169"/>
      <c r="T643" s="169"/>
      <c r="U643" s="169"/>
      <c r="V643" s="169"/>
    </row>
    <row r="644" spans="2:22" ht="47.25">
      <c r="B644" s="342"/>
      <c r="C644" s="344"/>
      <c r="D644" s="344"/>
      <c r="E644" s="344"/>
      <c r="F644" s="344"/>
      <c r="G644" s="314"/>
      <c r="H644" s="314"/>
      <c r="I644" s="314"/>
      <c r="J644" s="103" t="s">
        <v>1204</v>
      </c>
      <c r="K644" s="315"/>
      <c r="L644" s="315"/>
      <c r="M644" s="106" t="s">
        <v>1822</v>
      </c>
      <c r="N644" s="155" t="s">
        <v>1729</v>
      </c>
      <c r="O644" s="155" t="s">
        <v>22</v>
      </c>
      <c r="P644" s="155" t="s">
        <v>943</v>
      </c>
      <c r="Q644" s="155" t="s">
        <v>944</v>
      </c>
      <c r="R644" s="106" t="s">
        <v>945</v>
      </c>
      <c r="S644" s="169"/>
      <c r="T644" s="169"/>
      <c r="U644" s="169"/>
      <c r="V644" s="169"/>
    </row>
    <row r="645" spans="2:22" ht="31.5">
      <c r="B645" s="342"/>
      <c r="C645" s="344"/>
      <c r="D645" s="344"/>
      <c r="E645" s="344"/>
      <c r="F645" s="344"/>
      <c r="G645" s="314"/>
      <c r="H645" s="314"/>
      <c r="I645" s="314"/>
      <c r="J645" s="76" t="s">
        <v>1205</v>
      </c>
      <c r="K645" s="106" t="s">
        <v>1700</v>
      </c>
      <c r="L645" s="106" t="s">
        <v>489</v>
      </c>
      <c r="M645" s="106"/>
      <c r="N645" s="155" t="s">
        <v>1729</v>
      </c>
      <c r="O645" s="155" t="s">
        <v>22</v>
      </c>
      <c r="P645" s="155" t="s">
        <v>943</v>
      </c>
      <c r="Q645" s="155" t="s">
        <v>944</v>
      </c>
      <c r="R645" s="106" t="s">
        <v>945</v>
      </c>
      <c r="S645" s="169"/>
      <c r="T645" s="169"/>
      <c r="U645" s="169"/>
      <c r="V645" s="169"/>
    </row>
    <row r="646" spans="2:22" ht="63">
      <c r="B646" s="342"/>
      <c r="C646" s="344"/>
      <c r="D646" s="344"/>
      <c r="E646" s="344"/>
      <c r="F646" s="344"/>
      <c r="G646" s="314"/>
      <c r="H646" s="314"/>
      <c r="I646" s="314"/>
      <c r="J646" s="103" t="s">
        <v>1206</v>
      </c>
      <c r="K646" s="313" t="s">
        <v>1700</v>
      </c>
      <c r="L646" s="313" t="s">
        <v>1209</v>
      </c>
      <c r="M646" s="106" t="s">
        <v>1823</v>
      </c>
      <c r="N646" s="155" t="s">
        <v>1729</v>
      </c>
      <c r="O646" s="155" t="s">
        <v>22</v>
      </c>
      <c r="P646" s="155" t="s">
        <v>943</v>
      </c>
      <c r="Q646" s="155" t="s">
        <v>944</v>
      </c>
      <c r="R646" s="106" t="s">
        <v>1017</v>
      </c>
      <c r="S646" s="169"/>
      <c r="T646" s="169"/>
      <c r="U646" s="169"/>
      <c r="V646" s="169"/>
    </row>
    <row r="647" spans="2:22" ht="47.25">
      <c r="B647" s="342"/>
      <c r="C647" s="344"/>
      <c r="D647" s="344"/>
      <c r="E647" s="344"/>
      <c r="F647" s="344"/>
      <c r="G647" s="314"/>
      <c r="H647" s="314"/>
      <c r="I647" s="314"/>
      <c r="J647" s="103" t="s">
        <v>1207</v>
      </c>
      <c r="K647" s="315"/>
      <c r="L647" s="315"/>
      <c r="M647" s="106" t="s">
        <v>1822</v>
      </c>
      <c r="N647" s="155" t="s">
        <v>1729</v>
      </c>
      <c r="O647" s="155" t="s">
        <v>22</v>
      </c>
      <c r="P647" s="155" t="s">
        <v>943</v>
      </c>
      <c r="Q647" s="155" t="s">
        <v>944</v>
      </c>
      <c r="R647" s="106" t="s">
        <v>945</v>
      </c>
      <c r="S647" s="169"/>
      <c r="T647" s="169"/>
      <c r="U647" s="169"/>
      <c r="V647" s="169"/>
    </row>
    <row r="648" spans="2:22" ht="31.5">
      <c r="B648" s="352"/>
      <c r="C648" s="347"/>
      <c r="D648" s="347"/>
      <c r="E648" s="347"/>
      <c r="F648" s="347"/>
      <c r="G648" s="315"/>
      <c r="H648" s="315"/>
      <c r="I648" s="315"/>
      <c r="J648" s="76" t="s">
        <v>1208</v>
      </c>
      <c r="K648" s="106" t="s">
        <v>1700</v>
      </c>
      <c r="L648" s="106" t="s">
        <v>1024</v>
      </c>
      <c r="M648" s="106"/>
      <c r="N648" s="155" t="s">
        <v>1729</v>
      </c>
      <c r="O648" s="155" t="s">
        <v>22</v>
      </c>
      <c r="P648" s="155" t="s">
        <v>943</v>
      </c>
      <c r="Q648" s="155" t="s">
        <v>944</v>
      </c>
      <c r="R648" s="106" t="s">
        <v>945</v>
      </c>
      <c r="S648" s="169"/>
      <c r="T648" s="169"/>
      <c r="U648" s="169"/>
      <c r="V648" s="169"/>
    </row>
    <row r="649" spans="2:22" ht="47.25" customHeight="1">
      <c r="B649" s="341" t="s">
        <v>905</v>
      </c>
      <c r="C649" s="343" t="s">
        <v>365</v>
      </c>
      <c r="D649" s="343" t="s">
        <v>10</v>
      </c>
      <c r="E649" s="343" t="s">
        <v>1680</v>
      </c>
      <c r="F649" s="343" t="s">
        <v>1677</v>
      </c>
      <c r="G649" s="313" t="s">
        <v>1710</v>
      </c>
      <c r="H649" s="313"/>
      <c r="I649" s="313"/>
      <c r="J649" s="103" t="s">
        <v>1210</v>
      </c>
      <c r="K649" s="313" t="s">
        <v>1700</v>
      </c>
      <c r="L649" s="313" t="s">
        <v>491</v>
      </c>
      <c r="M649" s="106" t="s">
        <v>1823</v>
      </c>
      <c r="N649" s="155" t="s">
        <v>1729</v>
      </c>
      <c r="O649" s="155" t="s">
        <v>944</v>
      </c>
      <c r="P649" s="155" t="s">
        <v>943</v>
      </c>
      <c r="Q649" s="155" t="s">
        <v>944</v>
      </c>
      <c r="R649" s="106" t="s">
        <v>1017</v>
      </c>
      <c r="S649" s="169"/>
      <c r="T649" s="169"/>
      <c r="U649" s="169"/>
      <c r="V649" s="169"/>
    </row>
    <row r="650" spans="2:22" ht="47.25">
      <c r="B650" s="342"/>
      <c r="C650" s="344"/>
      <c r="D650" s="344"/>
      <c r="E650" s="344"/>
      <c r="F650" s="344"/>
      <c r="G650" s="314"/>
      <c r="H650" s="314"/>
      <c r="I650" s="314"/>
      <c r="J650" s="103" t="s">
        <v>1211</v>
      </c>
      <c r="K650" s="315"/>
      <c r="L650" s="315"/>
      <c r="M650" s="106" t="s">
        <v>1822</v>
      </c>
      <c r="N650" s="155" t="s">
        <v>1729</v>
      </c>
      <c r="O650" s="155" t="s">
        <v>944</v>
      </c>
      <c r="P650" s="155" t="s">
        <v>943</v>
      </c>
      <c r="Q650" s="155" t="s">
        <v>944</v>
      </c>
      <c r="R650" s="106" t="s">
        <v>945</v>
      </c>
      <c r="S650" s="169"/>
      <c r="T650" s="169"/>
      <c r="U650" s="169"/>
      <c r="V650" s="169"/>
    </row>
    <row r="651" spans="2:22" ht="31.5">
      <c r="B651" s="342"/>
      <c r="C651" s="344"/>
      <c r="D651" s="344"/>
      <c r="E651" s="344"/>
      <c r="F651" s="344"/>
      <c r="G651" s="314"/>
      <c r="H651" s="314"/>
      <c r="I651" s="314"/>
      <c r="J651" s="76" t="s">
        <v>906</v>
      </c>
      <c r="K651" s="106" t="s">
        <v>1700</v>
      </c>
      <c r="L651" s="106" t="s">
        <v>483</v>
      </c>
      <c r="M651" s="106"/>
      <c r="N651" s="155" t="s">
        <v>1729</v>
      </c>
      <c r="O651" s="155" t="s">
        <v>22</v>
      </c>
      <c r="P651" s="155" t="s">
        <v>943</v>
      </c>
      <c r="Q651" s="155" t="s">
        <v>944</v>
      </c>
      <c r="R651" s="106" t="s">
        <v>945</v>
      </c>
      <c r="S651" s="169"/>
      <c r="T651" s="169"/>
      <c r="U651" s="169"/>
      <c r="V651" s="169"/>
    </row>
    <row r="652" spans="2:22" ht="31.5">
      <c r="B652" s="342"/>
      <c r="C652" s="344"/>
      <c r="D652" s="344"/>
      <c r="E652" s="344"/>
      <c r="F652" s="344"/>
      <c r="G652" s="314"/>
      <c r="H652" s="314"/>
      <c r="I652" s="314"/>
      <c r="J652" s="76" t="s">
        <v>907</v>
      </c>
      <c r="K652" s="106" t="s">
        <v>1700</v>
      </c>
      <c r="L652" s="106" t="s">
        <v>494</v>
      </c>
      <c r="M652" s="106"/>
      <c r="N652" s="155" t="s">
        <v>1729</v>
      </c>
      <c r="O652" s="155" t="s">
        <v>22</v>
      </c>
      <c r="P652" s="155" t="s">
        <v>943</v>
      </c>
      <c r="Q652" s="155" t="s">
        <v>944</v>
      </c>
      <c r="R652" s="106" t="s">
        <v>945</v>
      </c>
      <c r="S652" s="169"/>
      <c r="T652" s="169"/>
      <c r="U652" s="169"/>
      <c r="V652" s="169"/>
    </row>
    <row r="653" spans="2:22" ht="47.25" customHeight="1">
      <c r="B653" s="342"/>
      <c r="C653" s="344"/>
      <c r="D653" s="344"/>
      <c r="E653" s="344"/>
      <c r="F653" s="344"/>
      <c r="G653" s="314"/>
      <c r="H653" s="314"/>
      <c r="I653" s="314"/>
      <c r="J653" s="103" t="s">
        <v>1212</v>
      </c>
      <c r="K653" s="313" t="s">
        <v>1700</v>
      </c>
      <c r="L653" s="313" t="s">
        <v>495</v>
      </c>
      <c r="M653" s="106" t="s">
        <v>1823</v>
      </c>
      <c r="N653" s="155" t="s">
        <v>1729</v>
      </c>
      <c r="O653" s="155" t="s">
        <v>944</v>
      </c>
      <c r="P653" s="155" t="s">
        <v>943</v>
      </c>
      <c r="Q653" s="155" t="s">
        <v>944</v>
      </c>
      <c r="R653" s="106" t="s">
        <v>1017</v>
      </c>
      <c r="S653" s="169"/>
      <c r="T653" s="169"/>
      <c r="U653" s="169"/>
      <c r="V653" s="169"/>
    </row>
    <row r="654" spans="2:22" ht="47.25">
      <c r="B654" s="342"/>
      <c r="C654" s="344"/>
      <c r="D654" s="344"/>
      <c r="E654" s="344"/>
      <c r="F654" s="344"/>
      <c r="G654" s="314"/>
      <c r="H654" s="314"/>
      <c r="I654" s="314"/>
      <c r="J654" s="103" t="s">
        <v>1213</v>
      </c>
      <c r="K654" s="315"/>
      <c r="L654" s="315"/>
      <c r="M654" s="106" t="s">
        <v>1822</v>
      </c>
      <c r="N654" s="155" t="s">
        <v>1729</v>
      </c>
      <c r="O654" s="155" t="s">
        <v>944</v>
      </c>
      <c r="P654" s="155" t="s">
        <v>943</v>
      </c>
      <c r="Q654" s="155" t="s">
        <v>944</v>
      </c>
      <c r="R654" s="106" t="s">
        <v>945</v>
      </c>
      <c r="S654" s="169"/>
      <c r="T654" s="169"/>
      <c r="U654" s="169"/>
      <c r="V654" s="169"/>
    </row>
    <row r="655" spans="2:22" ht="31.5">
      <c r="B655" s="342"/>
      <c r="C655" s="344"/>
      <c r="D655" s="344"/>
      <c r="E655" s="344"/>
      <c r="F655" s="344"/>
      <c r="G655" s="314"/>
      <c r="H655" s="314"/>
      <c r="I655" s="314"/>
      <c r="J655" s="76" t="s">
        <v>908</v>
      </c>
      <c r="K655" s="106" t="s">
        <v>1700</v>
      </c>
      <c r="L655" s="106" t="s">
        <v>487</v>
      </c>
      <c r="M655" s="106"/>
      <c r="N655" s="155" t="s">
        <v>1729</v>
      </c>
      <c r="O655" s="155" t="s">
        <v>22</v>
      </c>
      <c r="P655" s="155" t="s">
        <v>943</v>
      </c>
      <c r="Q655" s="155" t="s">
        <v>944</v>
      </c>
      <c r="R655" s="106" t="s">
        <v>945</v>
      </c>
      <c r="S655" s="169"/>
      <c r="T655" s="169"/>
      <c r="U655" s="169"/>
      <c r="V655" s="169"/>
    </row>
    <row r="656" spans="2:22" ht="31.5">
      <c r="B656" s="342"/>
      <c r="C656" s="344"/>
      <c r="D656" s="344"/>
      <c r="E656" s="344"/>
      <c r="F656" s="344"/>
      <c r="G656" s="314"/>
      <c r="H656" s="314"/>
      <c r="I656" s="314"/>
      <c r="J656" s="76" t="s">
        <v>909</v>
      </c>
      <c r="K656" s="106" t="s">
        <v>1700</v>
      </c>
      <c r="L656" s="106" t="s">
        <v>498</v>
      </c>
      <c r="M656" s="106"/>
      <c r="N656" s="155" t="s">
        <v>1729</v>
      </c>
      <c r="O656" s="155" t="s">
        <v>22</v>
      </c>
      <c r="P656" s="155" t="s">
        <v>943</v>
      </c>
      <c r="Q656" s="155" t="s">
        <v>944</v>
      </c>
      <c r="R656" s="106" t="s">
        <v>945</v>
      </c>
      <c r="S656" s="169"/>
      <c r="T656" s="169"/>
      <c r="U656" s="169"/>
      <c r="V656" s="169"/>
    </row>
    <row r="657" spans="2:22" ht="47.25" customHeight="1">
      <c r="B657" s="342"/>
      <c r="C657" s="344"/>
      <c r="D657" s="344"/>
      <c r="E657" s="344"/>
      <c r="F657" s="344"/>
      <c r="G657" s="314"/>
      <c r="H657" s="314"/>
      <c r="I657" s="314"/>
      <c r="J657" s="103" t="s">
        <v>1214</v>
      </c>
      <c r="K657" s="313" t="s">
        <v>1700</v>
      </c>
      <c r="L657" s="313" t="s">
        <v>499</v>
      </c>
      <c r="M657" s="106" t="s">
        <v>1823</v>
      </c>
      <c r="N657" s="155" t="s">
        <v>1729</v>
      </c>
      <c r="O657" s="155" t="s">
        <v>944</v>
      </c>
      <c r="P657" s="155" t="s">
        <v>943</v>
      </c>
      <c r="Q657" s="155" t="s">
        <v>944</v>
      </c>
      <c r="R657" s="106" t="s">
        <v>1017</v>
      </c>
      <c r="S657" s="169"/>
      <c r="T657" s="169"/>
      <c r="U657" s="169"/>
      <c r="V657" s="169"/>
    </row>
    <row r="658" spans="2:22" ht="47.25">
      <c r="B658" s="342"/>
      <c r="C658" s="344"/>
      <c r="D658" s="344"/>
      <c r="E658" s="344"/>
      <c r="F658" s="344"/>
      <c r="G658" s="314"/>
      <c r="H658" s="314"/>
      <c r="I658" s="314"/>
      <c r="J658" s="103" t="s">
        <v>1215</v>
      </c>
      <c r="K658" s="315"/>
      <c r="L658" s="315"/>
      <c r="M658" s="106" t="s">
        <v>1822</v>
      </c>
      <c r="N658" s="155" t="s">
        <v>1729</v>
      </c>
      <c r="O658" s="155" t="s">
        <v>944</v>
      </c>
      <c r="P658" s="155" t="s">
        <v>943</v>
      </c>
      <c r="Q658" s="155" t="s">
        <v>944</v>
      </c>
      <c r="R658" s="106" t="s">
        <v>945</v>
      </c>
      <c r="S658" s="169"/>
      <c r="T658" s="169"/>
      <c r="U658" s="169"/>
      <c r="V658" s="169"/>
    </row>
    <row r="659" spans="2:22" ht="31.5">
      <c r="B659" s="342"/>
      <c r="C659" s="344"/>
      <c r="D659" s="344"/>
      <c r="E659" s="344"/>
      <c r="F659" s="344"/>
      <c r="G659" s="314"/>
      <c r="H659" s="314"/>
      <c r="I659" s="314"/>
      <c r="J659" s="76" t="s">
        <v>910</v>
      </c>
      <c r="K659" s="106" t="s">
        <v>1700</v>
      </c>
      <c r="L659" s="106" t="s">
        <v>489</v>
      </c>
      <c r="M659" s="106"/>
      <c r="N659" s="155" t="s">
        <v>1729</v>
      </c>
      <c r="O659" s="155" t="s">
        <v>22</v>
      </c>
      <c r="P659" s="155" t="s">
        <v>943</v>
      </c>
      <c r="Q659" s="155" t="s">
        <v>944</v>
      </c>
      <c r="R659" s="106" t="s">
        <v>945</v>
      </c>
      <c r="S659" s="169"/>
      <c r="T659" s="169"/>
      <c r="U659" s="169"/>
      <c r="V659" s="169"/>
    </row>
    <row r="660" spans="2:22" ht="31.5">
      <c r="B660" s="342"/>
      <c r="C660" s="344"/>
      <c r="D660" s="344"/>
      <c r="E660" s="344"/>
      <c r="F660" s="344"/>
      <c r="G660" s="314"/>
      <c r="H660" s="314"/>
      <c r="I660" s="314"/>
      <c r="J660" s="76" t="s">
        <v>911</v>
      </c>
      <c r="K660" s="106" t="s">
        <v>1700</v>
      </c>
      <c r="L660" s="106" t="s">
        <v>502</v>
      </c>
      <c r="M660" s="106"/>
      <c r="N660" s="155" t="s">
        <v>1729</v>
      </c>
      <c r="O660" s="155" t="s">
        <v>22</v>
      </c>
      <c r="P660" s="155" t="s">
        <v>943</v>
      </c>
      <c r="Q660" s="155" t="s">
        <v>944</v>
      </c>
      <c r="R660" s="106" t="s">
        <v>945</v>
      </c>
      <c r="S660" s="169"/>
      <c r="T660" s="169"/>
      <c r="U660" s="169"/>
      <c r="V660" s="169"/>
    </row>
    <row r="661" spans="2:22" ht="63">
      <c r="B661" s="342"/>
      <c r="C661" s="344"/>
      <c r="D661" s="344"/>
      <c r="E661" s="344"/>
      <c r="F661" s="344"/>
      <c r="G661" s="314"/>
      <c r="H661" s="314"/>
      <c r="I661" s="314"/>
      <c r="J661" s="103" t="s">
        <v>1216</v>
      </c>
      <c r="K661" s="313" t="s">
        <v>1700</v>
      </c>
      <c r="L661" s="313" t="s">
        <v>1028</v>
      </c>
      <c r="M661" s="106" t="s">
        <v>1823</v>
      </c>
      <c r="N661" s="155" t="s">
        <v>1729</v>
      </c>
      <c r="O661" s="155" t="s">
        <v>944</v>
      </c>
      <c r="P661" s="155" t="s">
        <v>943</v>
      </c>
      <c r="Q661" s="155" t="s">
        <v>944</v>
      </c>
      <c r="R661" s="106" t="s">
        <v>1017</v>
      </c>
      <c r="S661" s="169"/>
      <c r="T661" s="169"/>
      <c r="U661" s="169"/>
      <c r="V661" s="169"/>
    </row>
    <row r="662" spans="2:22" ht="47.25">
      <c r="B662" s="342"/>
      <c r="C662" s="344"/>
      <c r="D662" s="344"/>
      <c r="E662" s="344"/>
      <c r="F662" s="344"/>
      <c r="G662" s="314"/>
      <c r="H662" s="314"/>
      <c r="I662" s="314"/>
      <c r="J662" s="103" t="s">
        <v>1217</v>
      </c>
      <c r="K662" s="315"/>
      <c r="L662" s="315"/>
      <c r="M662" s="106" t="s">
        <v>1822</v>
      </c>
      <c r="N662" s="155" t="s">
        <v>1729</v>
      </c>
      <c r="O662" s="155" t="s">
        <v>944</v>
      </c>
      <c r="P662" s="155" t="s">
        <v>943</v>
      </c>
      <c r="Q662" s="155" t="s">
        <v>944</v>
      </c>
      <c r="R662" s="106" t="s">
        <v>945</v>
      </c>
      <c r="S662" s="169"/>
      <c r="T662" s="169"/>
      <c r="U662" s="169"/>
      <c r="V662" s="169"/>
    </row>
    <row r="663" spans="2:22" ht="31.5">
      <c r="B663" s="342"/>
      <c r="C663" s="344"/>
      <c r="D663" s="344"/>
      <c r="E663" s="344"/>
      <c r="F663" s="344"/>
      <c r="G663" s="314"/>
      <c r="H663" s="314"/>
      <c r="I663" s="314"/>
      <c r="J663" s="76" t="s">
        <v>1218</v>
      </c>
      <c r="K663" s="106" t="s">
        <v>1700</v>
      </c>
      <c r="L663" s="106" t="s">
        <v>1024</v>
      </c>
      <c r="M663" s="106"/>
      <c r="N663" s="155" t="s">
        <v>1729</v>
      </c>
      <c r="O663" s="155" t="s">
        <v>22</v>
      </c>
      <c r="P663" s="155" t="s">
        <v>943</v>
      </c>
      <c r="Q663" s="155" t="s">
        <v>944</v>
      </c>
      <c r="R663" s="106" t="s">
        <v>945</v>
      </c>
      <c r="S663" s="169"/>
      <c r="T663" s="169"/>
      <c r="U663" s="169"/>
      <c r="V663" s="169"/>
    </row>
    <row r="664" spans="2:22" ht="31.5">
      <c r="B664" s="352"/>
      <c r="C664" s="347"/>
      <c r="D664" s="347"/>
      <c r="E664" s="347"/>
      <c r="F664" s="347"/>
      <c r="G664" s="315"/>
      <c r="H664" s="315"/>
      <c r="I664" s="315"/>
      <c r="J664" s="76" t="s">
        <v>1219</v>
      </c>
      <c r="K664" s="106" t="s">
        <v>1700</v>
      </c>
      <c r="L664" s="106" t="s">
        <v>1220</v>
      </c>
      <c r="M664" s="106"/>
      <c r="N664" s="155" t="s">
        <v>1729</v>
      </c>
      <c r="O664" s="155" t="s">
        <v>22</v>
      </c>
      <c r="P664" s="155" t="s">
        <v>943</v>
      </c>
      <c r="Q664" s="155" t="s">
        <v>944</v>
      </c>
      <c r="R664" s="106" t="s">
        <v>945</v>
      </c>
      <c r="S664" s="169"/>
      <c r="T664" s="169"/>
      <c r="U664" s="169"/>
      <c r="V664" s="169"/>
    </row>
    <row r="665" spans="2:22" ht="31.5" customHeight="1">
      <c r="B665" s="341" t="s">
        <v>912</v>
      </c>
      <c r="C665" s="343" t="s">
        <v>365</v>
      </c>
      <c r="D665" s="343" t="s">
        <v>504</v>
      </c>
      <c r="E665" s="343" t="s">
        <v>505</v>
      </c>
      <c r="F665" s="343" t="s">
        <v>1676</v>
      </c>
      <c r="G665" s="313" t="s">
        <v>2008</v>
      </c>
      <c r="H665" s="313"/>
      <c r="I665" s="313"/>
      <c r="J665" s="76" t="s">
        <v>913</v>
      </c>
      <c r="K665" s="106" t="s">
        <v>1700</v>
      </c>
      <c r="L665" s="106" t="s">
        <v>1681</v>
      </c>
      <c r="M665" s="106"/>
      <c r="N665" s="155" t="s">
        <v>1729</v>
      </c>
      <c r="O665" s="155" t="s">
        <v>22</v>
      </c>
      <c r="P665" s="155" t="s">
        <v>943</v>
      </c>
      <c r="Q665" s="155" t="s">
        <v>944</v>
      </c>
      <c r="R665" s="106" t="s">
        <v>1017</v>
      </c>
      <c r="S665" s="169"/>
      <c r="T665" s="169"/>
      <c r="U665" s="169"/>
      <c r="V665" s="169"/>
    </row>
    <row r="666" spans="2:22" ht="47.25">
      <c r="B666" s="342"/>
      <c r="C666" s="344"/>
      <c r="D666" s="344"/>
      <c r="E666" s="344"/>
      <c r="F666" s="344"/>
      <c r="G666" s="314"/>
      <c r="H666" s="314"/>
      <c r="I666" s="314"/>
      <c r="J666" s="76" t="s">
        <v>914</v>
      </c>
      <c r="K666" s="106" t="s">
        <v>1700</v>
      </c>
      <c r="L666" s="106" t="s">
        <v>1819</v>
      </c>
      <c r="M666" s="106"/>
      <c r="N666" s="155" t="s">
        <v>1729</v>
      </c>
      <c r="O666" s="155" t="s">
        <v>22</v>
      </c>
      <c r="P666" s="155" t="s">
        <v>943</v>
      </c>
      <c r="Q666" s="155" t="s">
        <v>944</v>
      </c>
      <c r="R666" s="106" t="s">
        <v>1017</v>
      </c>
      <c r="S666" s="169"/>
      <c r="T666" s="169"/>
      <c r="U666" s="169"/>
      <c r="V666" s="169"/>
    </row>
    <row r="667" spans="2:22" ht="31.5">
      <c r="B667" s="342"/>
      <c r="C667" s="344"/>
      <c r="D667" s="344"/>
      <c r="E667" s="344"/>
      <c r="F667" s="344"/>
      <c r="G667" s="314"/>
      <c r="H667" s="314"/>
      <c r="I667" s="314"/>
      <c r="J667" s="76" t="s">
        <v>915</v>
      </c>
      <c r="K667" s="106" t="s">
        <v>1700</v>
      </c>
      <c r="L667" s="106" t="s">
        <v>511</v>
      </c>
      <c r="M667" s="106"/>
      <c r="N667" s="155" t="s">
        <v>1729</v>
      </c>
      <c r="O667" s="155" t="s">
        <v>22</v>
      </c>
      <c r="P667" s="155" t="s">
        <v>943</v>
      </c>
      <c r="Q667" s="155" t="s">
        <v>944</v>
      </c>
      <c r="R667" s="106" t="s">
        <v>1017</v>
      </c>
      <c r="S667" s="169"/>
      <c r="T667" s="169"/>
      <c r="U667" s="169"/>
      <c r="V667" s="169"/>
    </row>
    <row r="668" spans="2:22" ht="94.5">
      <c r="B668" s="342"/>
      <c r="C668" s="344"/>
      <c r="D668" s="344"/>
      <c r="E668" s="344"/>
      <c r="F668" s="344"/>
      <c r="G668" s="314"/>
      <c r="H668" s="314"/>
      <c r="I668" s="314"/>
      <c r="J668" s="76" t="s">
        <v>916</v>
      </c>
      <c r="K668" s="106" t="s">
        <v>1700</v>
      </c>
      <c r="L668" s="106" t="s">
        <v>1978</v>
      </c>
      <c r="M668" s="106"/>
      <c r="N668" s="155" t="s">
        <v>1729</v>
      </c>
      <c r="O668" s="155" t="s">
        <v>22</v>
      </c>
      <c r="P668" s="155" t="s">
        <v>943</v>
      </c>
      <c r="Q668" s="155" t="s">
        <v>944</v>
      </c>
      <c r="R668" s="106" t="s">
        <v>1017</v>
      </c>
      <c r="S668" s="169"/>
      <c r="T668" s="169"/>
      <c r="U668" s="169"/>
      <c r="V668" s="169"/>
    </row>
    <row r="669" spans="2:22" ht="31.5">
      <c r="B669" s="342"/>
      <c r="C669" s="344"/>
      <c r="D669" s="344"/>
      <c r="E669" s="344"/>
      <c r="F669" s="344"/>
      <c r="G669" s="314"/>
      <c r="H669" s="314"/>
      <c r="I669" s="314"/>
      <c r="J669" s="76" t="s">
        <v>917</v>
      </c>
      <c r="K669" s="106" t="s">
        <v>1700</v>
      </c>
      <c r="L669" s="106" t="s">
        <v>1777</v>
      </c>
      <c r="M669" s="106"/>
      <c r="N669" s="155" t="s">
        <v>1729</v>
      </c>
      <c r="O669" s="155" t="s">
        <v>22</v>
      </c>
      <c r="P669" s="155" t="s">
        <v>943</v>
      </c>
      <c r="Q669" s="155" t="s">
        <v>944</v>
      </c>
      <c r="R669" s="106" t="s">
        <v>1017</v>
      </c>
      <c r="S669" s="169"/>
      <c r="T669" s="169"/>
      <c r="U669" s="169"/>
      <c r="V669" s="169"/>
    </row>
    <row r="670" spans="2:22" ht="47.25">
      <c r="B670" s="342"/>
      <c r="C670" s="344"/>
      <c r="D670" s="344"/>
      <c r="E670" s="344"/>
      <c r="F670" s="344"/>
      <c r="G670" s="314"/>
      <c r="H670" s="314"/>
      <c r="I670" s="314"/>
      <c r="J670" s="76" t="s">
        <v>1537</v>
      </c>
      <c r="K670" s="106" t="s">
        <v>1700</v>
      </c>
      <c r="L670" s="106" t="s">
        <v>1821</v>
      </c>
      <c r="M670" s="106"/>
      <c r="N670" s="155" t="s">
        <v>1729</v>
      </c>
      <c r="O670" s="155" t="s">
        <v>22</v>
      </c>
      <c r="P670" s="155" t="s">
        <v>943</v>
      </c>
      <c r="Q670" s="155" t="s">
        <v>22</v>
      </c>
      <c r="R670" s="106" t="s">
        <v>1017</v>
      </c>
      <c r="S670" s="169"/>
      <c r="T670" s="169"/>
      <c r="U670" s="169"/>
      <c r="V670" s="169"/>
    </row>
    <row r="671" spans="2:22" ht="63">
      <c r="B671" s="342"/>
      <c r="C671" s="344"/>
      <c r="D671" s="344"/>
      <c r="E671" s="344"/>
      <c r="F671" s="344"/>
      <c r="G671" s="314"/>
      <c r="H671" s="314"/>
      <c r="I671" s="314"/>
      <c r="J671" s="76" t="s">
        <v>1538</v>
      </c>
      <c r="K671" s="106" t="s">
        <v>1700</v>
      </c>
      <c r="L671" s="106" t="s">
        <v>1815</v>
      </c>
      <c r="M671" s="106"/>
      <c r="N671" s="155" t="s">
        <v>1729</v>
      </c>
      <c r="O671" s="155" t="s">
        <v>22</v>
      </c>
      <c r="P671" s="155" t="s">
        <v>943</v>
      </c>
      <c r="Q671" s="155" t="s">
        <v>22</v>
      </c>
      <c r="R671" s="106" t="s">
        <v>1017</v>
      </c>
      <c r="S671" s="169"/>
      <c r="T671" s="169"/>
      <c r="U671" s="169"/>
      <c r="V671" s="169"/>
    </row>
    <row r="672" spans="2:22" ht="63">
      <c r="B672" s="342"/>
      <c r="C672" s="344"/>
      <c r="D672" s="344"/>
      <c r="E672" s="344"/>
      <c r="F672" s="344"/>
      <c r="G672" s="314"/>
      <c r="H672" s="314"/>
      <c r="I672" s="314"/>
      <c r="J672" s="76" t="s">
        <v>1539</v>
      </c>
      <c r="K672" s="106" t="s">
        <v>1700</v>
      </c>
      <c r="L672" s="106" t="s">
        <v>1816</v>
      </c>
      <c r="M672" s="106"/>
      <c r="N672" s="155" t="s">
        <v>1729</v>
      </c>
      <c r="O672" s="155" t="s">
        <v>22</v>
      </c>
      <c r="P672" s="155" t="s">
        <v>943</v>
      </c>
      <c r="Q672" s="155" t="s">
        <v>22</v>
      </c>
      <c r="R672" s="106" t="s">
        <v>1017</v>
      </c>
      <c r="S672" s="169"/>
      <c r="T672" s="169"/>
      <c r="U672" s="169"/>
      <c r="V672" s="169"/>
    </row>
    <row r="673" spans="2:22" ht="63">
      <c r="B673" s="352"/>
      <c r="C673" s="347"/>
      <c r="D673" s="347"/>
      <c r="E673" s="347"/>
      <c r="F673" s="347"/>
      <c r="G673" s="315"/>
      <c r="H673" s="315"/>
      <c r="I673" s="315"/>
      <c r="J673" s="76" t="s">
        <v>1540</v>
      </c>
      <c r="K673" s="106" t="s">
        <v>1700</v>
      </c>
      <c r="L673" s="106" t="s">
        <v>1820</v>
      </c>
      <c r="M673" s="106"/>
      <c r="N673" s="155" t="s">
        <v>1729</v>
      </c>
      <c r="O673" s="155" t="s">
        <v>22</v>
      </c>
      <c r="P673" s="155" t="s">
        <v>943</v>
      </c>
      <c r="Q673" s="155" t="s">
        <v>22</v>
      </c>
      <c r="R673" s="106" t="s">
        <v>1017</v>
      </c>
      <c r="S673" s="169"/>
      <c r="T673" s="169"/>
      <c r="U673" s="169"/>
      <c r="V673" s="169"/>
    </row>
    <row r="674" spans="2:22" ht="41.45" customHeight="1">
      <c r="B674" s="311" t="s">
        <v>933</v>
      </c>
      <c r="C674" s="313" t="s">
        <v>16</v>
      </c>
      <c r="D674" s="313" t="s">
        <v>792</v>
      </c>
      <c r="E674" s="313" t="s">
        <v>1706</v>
      </c>
      <c r="F674" s="313" t="s">
        <v>940</v>
      </c>
      <c r="G674" s="313" t="s">
        <v>936</v>
      </c>
      <c r="H674" s="313"/>
      <c r="I674" s="313"/>
      <c r="J674" s="76" t="s">
        <v>938</v>
      </c>
      <c r="K674" s="106" t="s">
        <v>1698</v>
      </c>
      <c r="L674" s="106" t="s">
        <v>937</v>
      </c>
      <c r="M674" s="106"/>
      <c r="N674" s="155" t="s">
        <v>30</v>
      </c>
      <c r="O674" s="155" t="s">
        <v>22</v>
      </c>
      <c r="P674" s="155" t="s">
        <v>943</v>
      </c>
      <c r="Q674" s="155" t="s">
        <v>22</v>
      </c>
      <c r="R674" s="106" t="s">
        <v>1017</v>
      </c>
      <c r="S674" s="169"/>
      <c r="T674" s="169"/>
      <c r="U674" s="169"/>
      <c r="V674" s="169"/>
    </row>
    <row r="675" spans="2:22" ht="41.45" customHeight="1">
      <c r="B675" s="316"/>
      <c r="C675" s="315"/>
      <c r="D675" s="315"/>
      <c r="E675" s="315"/>
      <c r="F675" s="315"/>
      <c r="G675" s="315"/>
      <c r="H675" s="315"/>
      <c r="I675" s="315"/>
      <c r="J675" s="76" t="s">
        <v>939</v>
      </c>
      <c r="K675" s="106" t="s">
        <v>1700</v>
      </c>
      <c r="L675" s="106" t="s">
        <v>937</v>
      </c>
      <c r="M675" s="106"/>
      <c r="N675" s="155" t="s">
        <v>1735</v>
      </c>
      <c r="O675" s="155" t="s">
        <v>22</v>
      </c>
      <c r="P675" s="155" t="s">
        <v>943</v>
      </c>
      <c r="Q675" s="155" t="s">
        <v>22</v>
      </c>
      <c r="R675" s="106" t="s">
        <v>1017</v>
      </c>
      <c r="S675" s="169"/>
      <c r="T675" s="169"/>
      <c r="U675" s="169"/>
      <c r="V675" s="169"/>
    </row>
  </sheetData>
  <autoFilter ref="A8:S675" xr:uid="{00000000-0009-0000-0000-000007000000}"/>
  <mergeCells count="623">
    <mergeCell ref="L649:L650"/>
    <mergeCell ref="K653:K654"/>
    <mergeCell ref="L653:L654"/>
    <mergeCell ref="K657:K658"/>
    <mergeCell ref="L657:L658"/>
    <mergeCell ref="K661:K662"/>
    <mergeCell ref="L661:L662"/>
    <mergeCell ref="B636:B648"/>
    <mergeCell ref="G674:G675"/>
    <mergeCell ref="H674:H675"/>
    <mergeCell ref="I674:I675"/>
    <mergeCell ref="G665:G673"/>
    <mergeCell ref="H665:H673"/>
    <mergeCell ref="I665:I673"/>
    <mergeCell ref="B665:B673"/>
    <mergeCell ref="C665:C673"/>
    <mergeCell ref="D665:D673"/>
    <mergeCell ref="E665:E673"/>
    <mergeCell ref="F665:F673"/>
    <mergeCell ref="B674:B675"/>
    <mergeCell ref="C674:C675"/>
    <mergeCell ref="D674:D675"/>
    <mergeCell ref="E674:E675"/>
    <mergeCell ref="F674:F675"/>
    <mergeCell ref="B649:B664"/>
    <mergeCell ref="C649:C664"/>
    <mergeCell ref="D649:D664"/>
    <mergeCell ref="E649:E664"/>
    <mergeCell ref="F649:F664"/>
    <mergeCell ref="G649:G664"/>
    <mergeCell ref="H649:H664"/>
    <mergeCell ref="I649:I664"/>
    <mergeCell ref="K649:K650"/>
    <mergeCell ref="C636:C648"/>
    <mergeCell ref="D636:D648"/>
    <mergeCell ref="E636:E648"/>
    <mergeCell ref="F636:F648"/>
    <mergeCell ref="G636:G648"/>
    <mergeCell ref="H636:H648"/>
    <mergeCell ref="I636:I648"/>
    <mergeCell ref="K636:K637"/>
    <mergeCell ref="L607:L608"/>
    <mergeCell ref="K611:K612"/>
    <mergeCell ref="L611:L612"/>
    <mergeCell ref="L615:L616"/>
    <mergeCell ref="L619:L620"/>
    <mergeCell ref="L623:L624"/>
    <mergeCell ref="L627:L628"/>
    <mergeCell ref="L631:L632"/>
    <mergeCell ref="L636:L637"/>
    <mergeCell ref="K640:K641"/>
    <mergeCell ref="L640:L641"/>
    <mergeCell ref="K643:K644"/>
    <mergeCell ref="L643:L644"/>
    <mergeCell ref="K646:K647"/>
    <mergeCell ref="L646:L647"/>
    <mergeCell ref="B615:B634"/>
    <mergeCell ref="C615:C634"/>
    <mergeCell ref="D615:D634"/>
    <mergeCell ref="E615:E634"/>
    <mergeCell ref="F615:F634"/>
    <mergeCell ref="G615:G634"/>
    <mergeCell ref="H615:H634"/>
    <mergeCell ref="I615:I634"/>
    <mergeCell ref="K615:K616"/>
    <mergeCell ref="K619:K620"/>
    <mergeCell ref="K623:K624"/>
    <mergeCell ref="K627:K628"/>
    <mergeCell ref="K631:K632"/>
    <mergeCell ref="B607:B614"/>
    <mergeCell ref="C607:C614"/>
    <mergeCell ref="D607:D614"/>
    <mergeCell ref="E607:E614"/>
    <mergeCell ref="F607:F614"/>
    <mergeCell ref="G607:G614"/>
    <mergeCell ref="H607:H614"/>
    <mergeCell ref="I607:I614"/>
    <mergeCell ref="K607:K608"/>
    <mergeCell ref="K600:K601"/>
    <mergeCell ref="L600:L601"/>
    <mergeCell ref="B604:B606"/>
    <mergeCell ref="C604:C606"/>
    <mergeCell ref="D604:D606"/>
    <mergeCell ref="E604:E606"/>
    <mergeCell ref="F604:F606"/>
    <mergeCell ref="G604:G606"/>
    <mergeCell ref="H604:H606"/>
    <mergeCell ref="I604:I606"/>
    <mergeCell ref="K580:K581"/>
    <mergeCell ref="L580:L581"/>
    <mergeCell ref="K584:K585"/>
    <mergeCell ref="L584:L585"/>
    <mergeCell ref="K588:K589"/>
    <mergeCell ref="L588:L589"/>
    <mergeCell ref="K592:K593"/>
    <mergeCell ref="L592:L593"/>
    <mergeCell ref="K596:K597"/>
    <mergeCell ref="L596:L597"/>
    <mergeCell ref="K548:K549"/>
    <mergeCell ref="L548:L549"/>
    <mergeCell ref="K552:K553"/>
    <mergeCell ref="L552:L553"/>
    <mergeCell ref="K556:K557"/>
    <mergeCell ref="L556:L557"/>
    <mergeCell ref="K560:K561"/>
    <mergeCell ref="L560:L561"/>
    <mergeCell ref="B564:B603"/>
    <mergeCell ref="C564:C603"/>
    <mergeCell ref="D564:D603"/>
    <mergeCell ref="E564:E603"/>
    <mergeCell ref="F564:F603"/>
    <mergeCell ref="G564:G603"/>
    <mergeCell ref="H564:H603"/>
    <mergeCell ref="I564:I603"/>
    <mergeCell ref="K564:K565"/>
    <mergeCell ref="L564:L565"/>
    <mergeCell ref="K568:K569"/>
    <mergeCell ref="L568:L569"/>
    <mergeCell ref="K572:K573"/>
    <mergeCell ref="L572:L573"/>
    <mergeCell ref="K576:K577"/>
    <mergeCell ref="L576:L577"/>
    <mergeCell ref="L528:L529"/>
    <mergeCell ref="K532:K533"/>
    <mergeCell ref="L532:L533"/>
    <mergeCell ref="K536:K537"/>
    <mergeCell ref="L536:L537"/>
    <mergeCell ref="K540:K541"/>
    <mergeCell ref="L540:L541"/>
    <mergeCell ref="K544:K545"/>
    <mergeCell ref="L544:L545"/>
    <mergeCell ref="L500:L501"/>
    <mergeCell ref="K502:K503"/>
    <mergeCell ref="L502:L503"/>
    <mergeCell ref="B504:B563"/>
    <mergeCell ref="C504:C563"/>
    <mergeCell ref="D504:D563"/>
    <mergeCell ref="E504:E563"/>
    <mergeCell ref="F504:F563"/>
    <mergeCell ref="G504:G563"/>
    <mergeCell ref="H504:H563"/>
    <mergeCell ref="I504:I563"/>
    <mergeCell ref="K504:K505"/>
    <mergeCell ref="L504:L505"/>
    <mergeCell ref="K508:K509"/>
    <mergeCell ref="L508:L509"/>
    <mergeCell ref="K512:K513"/>
    <mergeCell ref="L512:L513"/>
    <mergeCell ref="K516:K517"/>
    <mergeCell ref="L516:L517"/>
    <mergeCell ref="K520:K521"/>
    <mergeCell ref="L520:L521"/>
    <mergeCell ref="K524:K525"/>
    <mergeCell ref="L524:L525"/>
    <mergeCell ref="K528:K529"/>
    <mergeCell ref="B500:B503"/>
    <mergeCell ref="C500:C503"/>
    <mergeCell ref="D500:D503"/>
    <mergeCell ref="E500:E503"/>
    <mergeCell ref="F500:F503"/>
    <mergeCell ref="G500:G503"/>
    <mergeCell ref="H500:H503"/>
    <mergeCell ref="I500:I503"/>
    <mergeCell ref="K500:K501"/>
    <mergeCell ref="I495:I499"/>
    <mergeCell ref="K495:K496"/>
    <mergeCell ref="L495:L496"/>
    <mergeCell ref="K497:K498"/>
    <mergeCell ref="L497:L498"/>
    <mergeCell ref="B491:B494"/>
    <mergeCell ref="C491:C494"/>
    <mergeCell ref="D491:D494"/>
    <mergeCell ref="E491:E494"/>
    <mergeCell ref="F491:F494"/>
    <mergeCell ref="B495:B499"/>
    <mergeCell ref="C495:C499"/>
    <mergeCell ref="D495:D499"/>
    <mergeCell ref="E495:E499"/>
    <mergeCell ref="F495:F499"/>
    <mergeCell ref="G495:G499"/>
    <mergeCell ref="H495:H499"/>
    <mergeCell ref="G491:G494"/>
    <mergeCell ref="H491:H494"/>
    <mergeCell ref="I491:I494"/>
    <mergeCell ref="K491:K492"/>
    <mergeCell ref="L491:L492"/>
    <mergeCell ref="K493:K494"/>
    <mergeCell ref="L493:L494"/>
    <mergeCell ref="B483:B490"/>
    <mergeCell ref="C483:C490"/>
    <mergeCell ref="D483:D490"/>
    <mergeCell ref="E483:E490"/>
    <mergeCell ref="F483:F490"/>
    <mergeCell ref="G483:G490"/>
    <mergeCell ref="H483:H490"/>
    <mergeCell ref="I483:I490"/>
    <mergeCell ref="K483:K484"/>
    <mergeCell ref="L483:L484"/>
    <mergeCell ref="K485:K486"/>
    <mergeCell ref="L485:L486"/>
    <mergeCell ref="K487:K488"/>
    <mergeCell ref="L487:L488"/>
    <mergeCell ref="K489:K490"/>
    <mergeCell ref="L489:L490"/>
    <mergeCell ref="L476:L477"/>
    <mergeCell ref="I479:I480"/>
    <mergeCell ref="B481:B482"/>
    <mergeCell ref="C481:C482"/>
    <mergeCell ref="D481:D482"/>
    <mergeCell ref="E481:E482"/>
    <mergeCell ref="F481:F482"/>
    <mergeCell ref="G481:G482"/>
    <mergeCell ref="H481:H482"/>
    <mergeCell ref="I481:I482"/>
    <mergeCell ref="B479:B480"/>
    <mergeCell ref="C479:C480"/>
    <mergeCell ref="D479:D480"/>
    <mergeCell ref="E479:E480"/>
    <mergeCell ref="F479:F480"/>
    <mergeCell ref="G479:G480"/>
    <mergeCell ref="H479:H480"/>
    <mergeCell ref="L464:L465"/>
    <mergeCell ref="K466:K467"/>
    <mergeCell ref="L466:L467"/>
    <mergeCell ref="K468:K469"/>
    <mergeCell ref="L468:L469"/>
    <mergeCell ref="K470:K471"/>
    <mergeCell ref="L470:L471"/>
    <mergeCell ref="K473:K474"/>
    <mergeCell ref="L473:L474"/>
    <mergeCell ref="B464:B478"/>
    <mergeCell ref="C464:C478"/>
    <mergeCell ref="D464:D478"/>
    <mergeCell ref="E464:E478"/>
    <mergeCell ref="F464:F478"/>
    <mergeCell ref="G464:G478"/>
    <mergeCell ref="H464:H478"/>
    <mergeCell ref="I464:I478"/>
    <mergeCell ref="K464:K465"/>
    <mergeCell ref="K476:K477"/>
    <mergeCell ref="I431:I452"/>
    <mergeCell ref="B453:B462"/>
    <mergeCell ref="C453:C462"/>
    <mergeCell ref="D453:D462"/>
    <mergeCell ref="E453:E462"/>
    <mergeCell ref="F453:F462"/>
    <mergeCell ref="G453:G462"/>
    <mergeCell ref="H453:H462"/>
    <mergeCell ref="I453:I462"/>
    <mergeCell ref="B431:B452"/>
    <mergeCell ref="C431:C452"/>
    <mergeCell ref="D431:D452"/>
    <mergeCell ref="E431:E452"/>
    <mergeCell ref="F431:F452"/>
    <mergeCell ref="G431:G452"/>
    <mergeCell ref="H431:H452"/>
    <mergeCell ref="I363:I394"/>
    <mergeCell ref="B395:B430"/>
    <mergeCell ref="C395:C430"/>
    <mergeCell ref="D395:D430"/>
    <mergeCell ref="E395:E430"/>
    <mergeCell ref="F395:F430"/>
    <mergeCell ref="G395:G430"/>
    <mergeCell ref="H395:H430"/>
    <mergeCell ref="I395:I430"/>
    <mergeCell ref="B363:B394"/>
    <mergeCell ref="C363:C394"/>
    <mergeCell ref="D363:D394"/>
    <mergeCell ref="E363:E394"/>
    <mergeCell ref="F363:F394"/>
    <mergeCell ref="G363:G394"/>
    <mergeCell ref="H363:H394"/>
    <mergeCell ref="I335:I358"/>
    <mergeCell ref="B359:B362"/>
    <mergeCell ref="C359:C362"/>
    <mergeCell ref="D359:D362"/>
    <mergeCell ref="E359:E362"/>
    <mergeCell ref="F359:F362"/>
    <mergeCell ref="G359:G362"/>
    <mergeCell ref="H359:H362"/>
    <mergeCell ref="I359:I362"/>
    <mergeCell ref="B335:B358"/>
    <mergeCell ref="C335:C358"/>
    <mergeCell ref="D335:D358"/>
    <mergeCell ref="E335:E358"/>
    <mergeCell ref="F335:F358"/>
    <mergeCell ref="G335:G358"/>
    <mergeCell ref="H335:H358"/>
    <mergeCell ref="I295:I298"/>
    <mergeCell ref="B299:B334"/>
    <mergeCell ref="C299:C334"/>
    <mergeCell ref="D299:D334"/>
    <mergeCell ref="E299:E334"/>
    <mergeCell ref="F299:F334"/>
    <mergeCell ref="G299:G334"/>
    <mergeCell ref="H299:H334"/>
    <mergeCell ref="I299:I334"/>
    <mergeCell ref="B295:B298"/>
    <mergeCell ref="C295:C298"/>
    <mergeCell ref="D295:D298"/>
    <mergeCell ref="E295:E298"/>
    <mergeCell ref="F295:F298"/>
    <mergeCell ref="G295:G298"/>
    <mergeCell ref="H295:H298"/>
    <mergeCell ref="I263:I286"/>
    <mergeCell ref="B287:B294"/>
    <mergeCell ref="C287:C294"/>
    <mergeCell ref="D287:D294"/>
    <mergeCell ref="E287:E294"/>
    <mergeCell ref="F287:F294"/>
    <mergeCell ref="G287:G294"/>
    <mergeCell ref="H287:H294"/>
    <mergeCell ref="I287:I294"/>
    <mergeCell ref="B263:B286"/>
    <mergeCell ref="C263:C286"/>
    <mergeCell ref="D263:D286"/>
    <mergeCell ref="E263:E286"/>
    <mergeCell ref="F263:F286"/>
    <mergeCell ref="G263:G286"/>
    <mergeCell ref="H263:H286"/>
    <mergeCell ref="I250:I257"/>
    <mergeCell ref="B258:B259"/>
    <mergeCell ref="C258:C259"/>
    <mergeCell ref="D258:D259"/>
    <mergeCell ref="E258:E259"/>
    <mergeCell ref="F258:F259"/>
    <mergeCell ref="G258:G259"/>
    <mergeCell ref="H258:H259"/>
    <mergeCell ref="I258:I259"/>
    <mergeCell ref="B250:B257"/>
    <mergeCell ref="C250:C257"/>
    <mergeCell ref="D250:D257"/>
    <mergeCell ref="E250:E257"/>
    <mergeCell ref="F250:F257"/>
    <mergeCell ref="G250:G257"/>
    <mergeCell ref="H250:H257"/>
    <mergeCell ref="I246:I247"/>
    <mergeCell ref="K246:K247"/>
    <mergeCell ref="L246:L247"/>
    <mergeCell ref="B248:B249"/>
    <mergeCell ref="C248:C249"/>
    <mergeCell ref="D248:D249"/>
    <mergeCell ref="E248:E249"/>
    <mergeCell ref="F248:F249"/>
    <mergeCell ref="G248:G249"/>
    <mergeCell ref="H248:H249"/>
    <mergeCell ref="I248:I249"/>
    <mergeCell ref="B246:B247"/>
    <mergeCell ref="C246:C247"/>
    <mergeCell ref="D246:D247"/>
    <mergeCell ref="E246:E247"/>
    <mergeCell ref="F246:F247"/>
    <mergeCell ref="G246:G247"/>
    <mergeCell ref="H246:H247"/>
    <mergeCell ref="B243:B244"/>
    <mergeCell ref="C243:C244"/>
    <mergeCell ref="D243:D244"/>
    <mergeCell ref="E243:E244"/>
    <mergeCell ref="F243:F244"/>
    <mergeCell ref="G243:G244"/>
    <mergeCell ref="H243:H244"/>
    <mergeCell ref="I243:I244"/>
    <mergeCell ref="B233:B241"/>
    <mergeCell ref="C233:C241"/>
    <mergeCell ref="D233:D241"/>
    <mergeCell ref="E233:E241"/>
    <mergeCell ref="F233:F241"/>
    <mergeCell ref="G233:G241"/>
    <mergeCell ref="H233:H241"/>
    <mergeCell ref="L217:L218"/>
    <mergeCell ref="K221:K222"/>
    <mergeCell ref="L221:L222"/>
    <mergeCell ref="K225:K226"/>
    <mergeCell ref="L225:L226"/>
    <mergeCell ref="K229:K230"/>
    <mergeCell ref="L229:L230"/>
    <mergeCell ref="B204:B216"/>
    <mergeCell ref="I233:I241"/>
    <mergeCell ref="B217:B232"/>
    <mergeCell ref="C217:C232"/>
    <mergeCell ref="D217:D232"/>
    <mergeCell ref="E217:E232"/>
    <mergeCell ref="F217:F232"/>
    <mergeCell ref="G217:G232"/>
    <mergeCell ref="H217:H232"/>
    <mergeCell ref="I217:I232"/>
    <mergeCell ref="K217:K218"/>
    <mergeCell ref="C204:C216"/>
    <mergeCell ref="D204:D216"/>
    <mergeCell ref="E204:E216"/>
    <mergeCell ref="F204:F216"/>
    <mergeCell ref="G204:G216"/>
    <mergeCell ref="H204:H216"/>
    <mergeCell ref="I204:I216"/>
    <mergeCell ref="K204:K205"/>
    <mergeCell ref="L175:L176"/>
    <mergeCell ref="K179:K180"/>
    <mergeCell ref="L179:L180"/>
    <mergeCell ref="L183:L184"/>
    <mergeCell ref="L187:L188"/>
    <mergeCell ref="L191:L192"/>
    <mergeCell ref="L195:L196"/>
    <mergeCell ref="L199:L200"/>
    <mergeCell ref="L204:L205"/>
    <mergeCell ref="K208:K209"/>
    <mergeCell ref="L208:L209"/>
    <mergeCell ref="K211:K212"/>
    <mergeCell ref="L211:L212"/>
    <mergeCell ref="K214:K215"/>
    <mergeCell ref="L214:L215"/>
    <mergeCell ref="B183:B202"/>
    <mergeCell ref="C183:C202"/>
    <mergeCell ref="D183:D202"/>
    <mergeCell ref="E183:E202"/>
    <mergeCell ref="F183:F202"/>
    <mergeCell ref="G183:G202"/>
    <mergeCell ref="H183:H202"/>
    <mergeCell ref="I183:I202"/>
    <mergeCell ref="K183:K184"/>
    <mergeCell ref="K187:K188"/>
    <mergeCell ref="K191:K192"/>
    <mergeCell ref="K195:K196"/>
    <mergeCell ref="K199:K200"/>
    <mergeCell ref="B175:B182"/>
    <mergeCell ref="C175:C182"/>
    <mergeCell ref="D175:D182"/>
    <mergeCell ref="E175:E182"/>
    <mergeCell ref="F175:F182"/>
    <mergeCell ref="G175:G182"/>
    <mergeCell ref="H175:H182"/>
    <mergeCell ref="I175:I182"/>
    <mergeCell ref="K175:K176"/>
    <mergeCell ref="L160:L161"/>
    <mergeCell ref="K164:K165"/>
    <mergeCell ref="L164:L165"/>
    <mergeCell ref="K168:K169"/>
    <mergeCell ref="L168:L169"/>
    <mergeCell ref="B172:B174"/>
    <mergeCell ref="C172:C174"/>
    <mergeCell ref="D172:D174"/>
    <mergeCell ref="E172:E174"/>
    <mergeCell ref="F172:F174"/>
    <mergeCell ref="G172:G174"/>
    <mergeCell ref="H172:H174"/>
    <mergeCell ref="I172:I174"/>
    <mergeCell ref="B116:B171"/>
    <mergeCell ref="C116:C171"/>
    <mergeCell ref="D116:D171"/>
    <mergeCell ref="E116:E171"/>
    <mergeCell ref="F116:F171"/>
    <mergeCell ref="G116:G171"/>
    <mergeCell ref="H116:H171"/>
    <mergeCell ref="I116:I171"/>
    <mergeCell ref="K160:K161"/>
    <mergeCell ref="L136:L137"/>
    <mergeCell ref="K140:K141"/>
    <mergeCell ref="L140:L141"/>
    <mergeCell ref="K144:K145"/>
    <mergeCell ref="L144:L145"/>
    <mergeCell ref="L148:L149"/>
    <mergeCell ref="K152:K153"/>
    <mergeCell ref="L152:L153"/>
    <mergeCell ref="K156:K157"/>
    <mergeCell ref="L156:L157"/>
    <mergeCell ref="K136:K137"/>
    <mergeCell ref="L116:L117"/>
    <mergeCell ref="K120:K121"/>
    <mergeCell ref="L120:L121"/>
    <mergeCell ref="K124:K125"/>
    <mergeCell ref="L124:L125"/>
    <mergeCell ref="K128:K129"/>
    <mergeCell ref="L128:L129"/>
    <mergeCell ref="K132:K133"/>
    <mergeCell ref="L132:L133"/>
    <mergeCell ref="K116:K117"/>
    <mergeCell ref="L96:L97"/>
    <mergeCell ref="K100:K101"/>
    <mergeCell ref="L100:L101"/>
    <mergeCell ref="K104:K105"/>
    <mergeCell ref="L104:L105"/>
    <mergeCell ref="K108:K109"/>
    <mergeCell ref="L108:L109"/>
    <mergeCell ref="K112:K113"/>
    <mergeCell ref="L112:L113"/>
    <mergeCell ref="L76:L77"/>
    <mergeCell ref="K80:K81"/>
    <mergeCell ref="L80:L81"/>
    <mergeCell ref="K84:K85"/>
    <mergeCell ref="L84:L85"/>
    <mergeCell ref="K88:K89"/>
    <mergeCell ref="L88:L89"/>
    <mergeCell ref="K92:K93"/>
    <mergeCell ref="L92:L93"/>
    <mergeCell ref="L56:L57"/>
    <mergeCell ref="K60:K61"/>
    <mergeCell ref="L60:L61"/>
    <mergeCell ref="K64:K65"/>
    <mergeCell ref="L64:L65"/>
    <mergeCell ref="K68:K69"/>
    <mergeCell ref="L68:L69"/>
    <mergeCell ref="K72:K73"/>
    <mergeCell ref="L72:L73"/>
    <mergeCell ref="B56:B115"/>
    <mergeCell ref="C56:C115"/>
    <mergeCell ref="D56:D115"/>
    <mergeCell ref="E56:E115"/>
    <mergeCell ref="F56:F115"/>
    <mergeCell ref="G56:G115"/>
    <mergeCell ref="H56:H115"/>
    <mergeCell ref="I56:I115"/>
    <mergeCell ref="K56:K57"/>
    <mergeCell ref="K76:K77"/>
    <mergeCell ref="K96:K97"/>
    <mergeCell ref="I52:I55"/>
    <mergeCell ref="K52:K53"/>
    <mergeCell ref="L52:L53"/>
    <mergeCell ref="K54:K55"/>
    <mergeCell ref="L54:L55"/>
    <mergeCell ref="B47:B51"/>
    <mergeCell ref="C47:C51"/>
    <mergeCell ref="D47:D51"/>
    <mergeCell ref="E47:E51"/>
    <mergeCell ref="F47:F51"/>
    <mergeCell ref="B52:B55"/>
    <mergeCell ref="C52:C55"/>
    <mergeCell ref="D52:D55"/>
    <mergeCell ref="E52:E55"/>
    <mergeCell ref="F52:F55"/>
    <mergeCell ref="G52:G55"/>
    <mergeCell ref="H52:H55"/>
    <mergeCell ref="G47:G51"/>
    <mergeCell ref="H47:H51"/>
    <mergeCell ref="I47:I51"/>
    <mergeCell ref="K47:K48"/>
    <mergeCell ref="L47:L48"/>
    <mergeCell ref="K49:K50"/>
    <mergeCell ref="L49:L50"/>
    <mergeCell ref="K35:K36"/>
    <mergeCell ref="L35:L36"/>
    <mergeCell ref="K37:K38"/>
    <mergeCell ref="L37:L38"/>
    <mergeCell ref="K39:K40"/>
    <mergeCell ref="L39:L40"/>
    <mergeCell ref="K41:K42"/>
    <mergeCell ref="L41:L42"/>
    <mergeCell ref="I43:I46"/>
    <mergeCell ref="K43:K44"/>
    <mergeCell ref="L43:L44"/>
    <mergeCell ref="K45:K46"/>
    <mergeCell ref="L45:L46"/>
    <mergeCell ref="B43:B46"/>
    <mergeCell ref="C43:C46"/>
    <mergeCell ref="D43:D46"/>
    <mergeCell ref="E43:E46"/>
    <mergeCell ref="F43:F46"/>
    <mergeCell ref="G43:G46"/>
    <mergeCell ref="H43:H46"/>
    <mergeCell ref="I33:I34"/>
    <mergeCell ref="B35:B42"/>
    <mergeCell ref="C35:C42"/>
    <mergeCell ref="D35:D42"/>
    <mergeCell ref="E35:E42"/>
    <mergeCell ref="F35:F42"/>
    <mergeCell ref="G35:G42"/>
    <mergeCell ref="H35:H42"/>
    <mergeCell ref="I35:I42"/>
    <mergeCell ref="B33:B34"/>
    <mergeCell ref="C33:C34"/>
    <mergeCell ref="D33:D34"/>
    <mergeCell ref="E33:E34"/>
    <mergeCell ref="F33:F34"/>
    <mergeCell ref="G33:G34"/>
    <mergeCell ref="H33:H34"/>
    <mergeCell ref="K25:K26"/>
    <mergeCell ref="L25:L26"/>
    <mergeCell ref="K28:K29"/>
    <mergeCell ref="L28:L29"/>
    <mergeCell ref="B31:B32"/>
    <mergeCell ref="C31:C32"/>
    <mergeCell ref="D31:D32"/>
    <mergeCell ref="E31:E32"/>
    <mergeCell ref="F31:F32"/>
    <mergeCell ref="G31:G32"/>
    <mergeCell ref="H31:H32"/>
    <mergeCell ref="I31:I32"/>
    <mergeCell ref="N5:N6"/>
    <mergeCell ref="O5:Q5"/>
    <mergeCell ref="B10:B30"/>
    <mergeCell ref="C10:C30"/>
    <mergeCell ref="D10:D30"/>
    <mergeCell ref="E10:E30"/>
    <mergeCell ref="F10:F30"/>
    <mergeCell ref="G10:G30"/>
    <mergeCell ref="H10:H30"/>
    <mergeCell ref="I10:I30"/>
    <mergeCell ref="K10:K11"/>
    <mergeCell ref="L10:L11"/>
    <mergeCell ref="K12:K13"/>
    <mergeCell ref="L12:L13"/>
    <mergeCell ref="K14:K15"/>
    <mergeCell ref="L14:L15"/>
    <mergeCell ref="K16:K17"/>
    <mergeCell ref="L16:L17"/>
    <mergeCell ref="K18:K19"/>
    <mergeCell ref="L18:L19"/>
    <mergeCell ref="K20:K21"/>
    <mergeCell ref="L20:L21"/>
    <mergeCell ref="K22:K23"/>
    <mergeCell ref="L22:L23"/>
    <mergeCell ref="B4:I4"/>
    <mergeCell ref="J4:M4"/>
    <mergeCell ref="B5:B6"/>
    <mergeCell ref="C5:C6"/>
    <mergeCell ref="D5:D6"/>
    <mergeCell ref="E5:E6"/>
    <mergeCell ref="F5:F6"/>
    <mergeCell ref="G5:G6"/>
    <mergeCell ref="H5:H6"/>
    <mergeCell ref="I5:I6"/>
    <mergeCell ref="J5:J6"/>
    <mergeCell ref="K5:K6"/>
    <mergeCell ref="L5:L6"/>
    <mergeCell ref="M5:M6"/>
  </mergeCells>
  <phoneticPr fontId="1"/>
  <conditionalFormatting sqref="K1:K159 K172:K390 K395:K591 K604:K1048576">
    <cfRule type="cellIs" dxfId="33" priority="25" operator="equal">
      <formula>"プライマリ"</formula>
    </cfRule>
    <cfRule type="cellIs" dxfId="32" priority="26" operator="equal">
      <formula>"プライマリ兼受信セカンダリ"</formula>
    </cfRule>
    <cfRule type="cellIs" dxfId="31" priority="27" operator="equal">
      <formula>"プライマリ兼送信セカンダリ"</formula>
    </cfRule>
    <cfRule type="cellIs" dxfId="30" priority="28" operator="equal">
      <formula>"受信セカンダリ"</formula>
    </cfRule>
    <cfRule type="cellIs" dxfId="29" priority="29" operator="equal">
      <formula>"送信セカンダリ"</formula>
    </cfRule>
  </conditionalFormatting>
  <conditionalFormatting sqref="N1:N1048576">
    <cfRule type="cellIs" dxfId="28" priority="21" operator="equal">
      <formula>"TypeF"</formula>
    </cfRule>
    <cfRule type="cellIs" dxfId="27" priority="22" operator="equal">
      <formula>"TypeE"</formula>
    </cfRule>
    <cfRule type="cellIs" dxfId="26" priority="33" operator="equal">
      <formula>"TypeD"</formula>
    </cfRule>
    <cfRule type="cellIs" dxfId="25" priority="34" operator="equal">
      <formula>"TypeC"</formula>
    </cfRule>
    <cfRule type="cellIs" dxfId="24" priority="35" operator="equal">
      <formula>"TypeB"</formula>
    </cfRule>
    <cfRule type="cellIs" dxfId="23" priority="69" operator="equal">
      <formula>"TypeA"</formula>
    </cfRule>
  </conditionalFormatting>
  <conditionalFormatting sqref="O1:Q1048576">
    <cfRule type="cellIs" dxfId="22" priority="30" operator="equal">
      <formula>"あり"</formula>
    </cfRule>
    <cfRule type="cellIs" dxfId="21" priority="31" operator="equal">
      <formula>"なし"</formula>
    </cfRule>
    <cfRule type="cellIs" dxfId="20" priority="32" operator="equal">
      <formula>"-"</formula>
    </cfRule>
  </conditionalFormatting>
  <conditionalFormatting sqref="K160:K163">
    <cfRule type="cellIs" dxfId="19" priority="16" operator="equal">
      <formula>"プライマリ"</formula>
    </cfRule>
    <cfRule type="cellIs" dxfId="18" priority="17" operator="equal">
      <formula>"プライマリ兼受信セカンダリ"</formula>
    </cfRule>
    <cfRule type="cellIs" dxfId="17" priority="18" operator="equal">
      <formula>"プライマリ兼送信セカンダリ"</formula>
    </cfRule>
    <cfRule type="cellIs" dxfId="16" priority="19" operator="equal">
      <formula>"受信セカンダリ"</formula>
    </cfRule>
    <cfRule type="cellIs" dxfId="15" priority="20" operator="equal">
      <formula>"送信セカンダリ"</formula>
    </cfRule>
  </conditionalFormatting>
  <conditionalFormatting sqref="K164:K171">
    <cfRule type="cellIs" dxfId="14" priority="11" operator="equal">
      <formula>"プライマリ"</formula>
    </cfRule>
    <cfRule type="cellIs" dxfId="13" priority="12" operator="equal">
      <formula>"プライマリ兼受信セカンダリ"</formula>
    </cfRule>
    <cfRule type="cellIs" dxfId="12" priority="13" operator="equal">
      <formula>"プライマリ兼送信セカンダリ"</formula>
    </cfRule>
    <cfRule type="cellIs" dxfId="11" priority="14" operator="equal">
      <formula>"受信セカンダリ"</formula>
    </cfRule>
    <cfRule type="cellIs" dxfId="10" priority="15" operator="equal">
      <formula>"送信セカンダリ"</formula>
    </cfRule>
  </conditionalFormatting>
  <conditionalFormatting sqref="K391:K394">
    <cfRule type="cellIs" dxfId="9" priority="6" operator="equal">
      <formula>"プライマリ"</formula>
    </cfRule>
    <cfRule type="cellIs" dxfId="8" priority="7" operator="equal">
      <formula>"プライマリ兼受信セカンダリ"</formula>
    </cfRule>
    <cfRule type="cellIs" dxfId="7" priority="8" operator="equal">
      <formula>"プライマリ兼送信セカンダリ"</formula>
    </cfRule>
    <cfRule type="cellIs" dxfId="6" priority="9" operator="equal">
      <formula>"受信セカンダリ"</formula>
    </cfRule>
    <cfRule type="cellIs" dxfId="5" priority="10" operator="equal">
      <formula>"送信セカンダリ"</formula>
    </cfRule>
  </conditionalFormatting>
  <conditionalFormatting sqref="K592:K603">
    <cfRule type="cellIs" dxfId="4" priority="1" operator="equal">
      <formula>"プライマリ"</formula>
    </cfRule>
    <cfRule type="cellIs" dxfId="3" priority="2" operator="equal">
      <formula>"プライマリ兼受信セカンダリ"</formula>
    </cfRule>
    <cfRule type="cellIs" dxfId="2" priority="3" operator="equal">
      <formula>"プライマリ兼送信セカンダリ"</formula>
    </cfRule>
    <cfRule type="cellIs" dxfId="1" priority="4" operator="equal">
      <formula>"受信セカンダリ"</formula>
    </cfRule>
    <cfRule type="cellIs" dxfId="0" priority="5" operator="equal">
      <formula>"送信セカンダリ"</formula>
    </cfRule>
  </conditionalFormatting>
  <hyperlinks>
    <hyperlink ref="A1" location="目次!A1" display="目次" xr:uid="{00000000-0004-0000-0700-000000000000}"/>
  </hyperlinks>
  <pageMargins left="0.70866141732283472" right="0.70866141732283472" top="0.74803149606299213" bottom="0.74803149606299213" header="0.31496062992125984" footer="0.31496062992125984"/>
  <pageSetup paperSize="9" scale="38" orientation="landscape" r:id="rId1"/>
  <headerFooter>
    <oddHeader>&amp;Lメッセージ認証機能評価 単体機能評価仕様書
&amp;A&amp;R【CONFIDENTIAL】
T0100000015687</oddHeader>
  </headerFooter>
  <rowBreaks count="10" manualBreakCount="10">
    <brk id="46" max="35" man="1"/>
    <brk id="115" max="35" man="1"/>
    <brk id="141" max="35" man="1"/>
    <brk id="165" max="35" man="1"/>
    <brk id="216" max="35" man="1"/>
    <brk id="298" max="35" man="1"/>
    <brk id="362" max="35" man="1"/>
    <brk id="430" max="35" man="1"/>
    <brk id="563" max="35" man="1"/>
    <brk id="642" max="35" man="1"/>
  </rowBreaks>
  <colBreaks count="1" manualBreakCount="1">
    <brk id="9" max="70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2:L161"/>
  <sheetViews>
    <sheetView view="pageBreakPreview" zoomScaleNormal="100" zoomScaleSheetLayoutView="100" workbookViewId="0">
      <selection activeCell="G20" sqref="G20"/>
    </sheetView>
  </sheetViews>
  <sheetFormatPr defaultColWidth="9" defaultRowHeight="15.75"/>
  <cols>
    <col min="1" max="1" width="4" style="5" customWidth="1"/>
    <col min="2" max="2" width="9.28515625" style="5" bestFit="1" customWidth="1"/>
    <col min="3" max="3" width="9.28515625" style="5" customWidth="1"/>
    <col min="4" max="4" width="8.28515625" style="5" bestFit="1" customWidth="1"/>
    <col min="5" max="5" width="50.28515625" style="5" bestFit="1" customWidth="1"/>
    <col min="6" max="6" width="17.42578125" style="5" bestFit="1" customWidth="1"/>
    <col min="7" max="7" width="56" style="5" bestFit="1" customWidth="1"/>
    <col min="8" max="11" width="16.7109375" style="5" customWidth="1"/>
    <col min="12" max="12" width="5.42578125" style="5" bestFit="1" customWidth="1"/>
    <col min="13" max="16384" width="9" style="5"/>
  </cols>
  <sheetData>
    <row r="2" spans="1:12" ht="16.5">
      <c r="A2" s="12" t="s">
        <v>159</v>
      </c>
    </row>
    <row r="3" spans="1:12" ht="16.5">
      <c r="A3" s="12"/>
      <c r="B3" s="5" t="s">
        <v>1582</v>
      </c>
    </row>
    <row r="5" spans="1:12">
      <c r="B5" s="362" t="s">
        <v>161</v>
      </c>
      <c r="C5" s="360" t="s">
        <v>1471</v>
      </c>
      <c r="D5" s="363" t="s">
        <v>34</v>
      </c>
      <c r="E5" s="363"/>
      <c r="F5" s="364" t="s">
        <v>69</v>
      </c>
      <c r="G5" s="364"/>
      <c r="H5" s="364"/>
      <c r="I5" s="364"/>
      <c r="J5" s="364"/>
      <c r="K5" s="364"/>
      <c r="L5" s="363" t="s">
        <v>5</v>
      </c>
    </row>
    <row r="6" spans="1:12">
      <c r="B6" s="363"/>
      <c r="C6" s="361"/>
      <c r="D6" s="62" t="s">
        <v>57</v>
      </c>
      <c r="E6" s="62" t="s">
        <v>35</v>
      </c>
      <c r="F6" s="63" t="s">
        <v>75</v>
      </c>
      <c r="G6" s="63" t="s">
        <v>76</v>
      </c>
      <c r="H6" s="63" t="s">
        <v>77</v>
      </c>
      <c r="I6" s="63" t="s">
        <v>78</v>
      </c>
      <c r="J6" s="63" t="s">
        <v>79</v>
      </c>
      <c r="K6" s="63" t="s">
        <v>84</v>
      </c>
      <c r="L6" s="363"/>
    </row>
    <row r="7" spans="1:12">
      <c r="B7" s="359" t="s">
        <v>154</v>
      </c>
      <c r="C7" s="356" t="s">
        <v>1472</v>
      </c>
      <c r="D7" s="60">
        <v>1</v>
      </c>
      <c r="E7" s="147" t="s">
        <v>1602</v>
      </c>
      <c r="F7" s="61" t="s">
        <v>1581</v>
      </c>
      <c r="G7" s="61"/>
      <c r="H7" s="61"/>
      <c r="I7" s="61"/>
      <c r="J7" s="61"/>
      <c r="K7" s="61"/>
      <c r="L7" s="60"/>
    </row>
    <row r="8" spans="1:12">
      <c r="B8" s="359"/>
      <c r="C8" s="357"/>
      <c r="D8" s="60">
        <v>2</v>
      </c>
      <c r="E8" s="147" t="s">
        <v>1603</v>
      </c>
      <c r="F8" s="61" t="s">
        <v>87</v>
      </c>
      <c r="G8" s="61" t="s">
        <v>1601</v>
      </c>
      <c r="H8" s="61"/>
      <c r="I8" s="61"/>
      <c r="J8" s="61"/>
      <c r="K8" s="61"/>
      <c r="L8" s="60"/>
    </row>
    <row r="9" spans="1:12">
      <c r="B9" s="359"/>
      <c r="C9" s="357"/>
      <c r="D9" s="60">
        <v>3</v>
      </c>
      <c r="E9" s="60" t="s">
        <v>1585</v>
      </c>
      <c r="F9" s="61" t="s">
        <v>1566</v>
      </c>
      <c r="G9" s="61"/>
      <c r="H9" s="61"/>
      <c r="I9" s="61"/>
      <c r="J9" s="61"/>
      <c r="K9" s="61"/>
      <c r="L9" s="60"/>
    </row>
    <row r="10" spans="1:12">
      <c r="B10" s="359"/>
      <c r="C10" s="357"/>
      <c r="D10" s="60">
        <v>4</v>
      </c>
      <c r="E10" s="60" t="s">
        <v>142</v>
      </c>
      <c r="F10" s="61" t="s">
        <v>122</v>
      </c>
      <c r="G10" s="61">
        <v>60000</v>
      </c>
      <c r="H10" s="61"/>
      <c r="I10" s="61"/>
      <c r="J10" s="61"/>
      <c r="K10" s="61"/>
      <c r="L10" s="60"/>
    </row>
    <row r="11" spans="1:12">
      <c r="B11" s="359"/>
      <c r="C11" s="357"/>
      <c r="D11" s="60">
        <v>5</v>
      </c>
      <c r="E11" s="60" t="s">
        <v>67</v>
      </c>
      <c r="F11" s="61" t="s">
        <v>123</v>
      </c>
      <c r="G11" s="61"/>
      <c r="H11" s="61"/>
      <c r="I11" s="61"/>
      <c r="J11" s="61"/>
      <c r="K11" s="61"/>
      <c r="L11" s="60"/>
    </row>
    <row r="12" spans="1:12">
      <c r="B12" s="359"/>
      <c r="C12" s="358"/>
      <c r="D12" s="60"/>
      <c r="E12" s="60"/>
      <c r="F12" s="61"/>
      <c r="G12" s="61"/>
      <c r="H12" s="61"/>
      <c r="I12" s="61"/>
      <c r="J12" s="61"/>
      <c r="K12" s="61"/>
      <c r="L12" s="60"/>
    </row>
    <row r="13" spans="1:12">
      <c r="B13" s="359" t="s">
        <v>153</v>
      </c>
      <c r="C13" s="356" t="s">
        <v>815</v>
      </c>
      <c r="D13" s="60">
        <v>1</v>
      </c>
      <c r="E13" s="60" t="s">
        <v>142</v>
      </c>
      <c r="F13" s="61" t="s">
        <v>122</v>
      </c>
      <c r="G13" s="61"/>
      <c r="H13" s="61"/>
      <c r="I13" s="61"/>
      <c r="J13" s="61"/>
      <c r="K13" s="61"/>
      <c r="L13" s="60"/>
    </row>
    <row r="14" spans="1:12">
      <c r="B14" s="359"/>
      <c r="C14" s="357"/>
      <c r="D14" s="60">
        <v>2</v>
      </c>
      <c r="E14" s="148" t="s">
        <v>1603</v>
      </c>
      <c r="F14" s="61" t="s">
        <v>87</v>
      </c>
      <c r="G14" s="61" t="s">
        <v>1601</v>
      </c>
      <c r="H14" s="61"/>
      <c r="I14" s="61"/>
      <c r="J14" s="61"/>
      <c r="K14" s="61"/>
      <c r="L14" s="60"/>
    </row>
    <row r="15" spans="1:12">
      <c r="B15" s="359"/>
      <c r="C15" s="357"/>
      <c r="D15" s="60">
        <v>3</v>
      </c>
      <c r="E15" s="60" t="s">
        <v>314</v>
      </c>
      <c r="F15" s="61" t="s">
        <v>125</v>
      </c>
      <c r="G15" s="61">
        <v>10000</v>
      </c>
      <c r="H15" s="61"/>
      <c r="I15" s="61"/>
      <c r="J15" s="61"/>
      <c r="K15" s="61"/>
      <c r="L15" s="60"/>
    </row>
    <row r="16" spans="1:12">
      <c r="B16" s="359"/>
      <c r="C16" s="357"/>
      <c r="D16" s="60">
        <v>4</v>
      </c>
      <c r="E16" s="60" t="s">
        <v>146</v>
      </c>
      <c r="F16" s="61" t="s">
        <v>123</v>
      </c>
      <c r="G16" s="61"/>
      <c r="H16" s="61"/>
      <c r="I16" s="61"/>
      <c r="J16" s="61"/>
      <c r="K16" s="61"/>
      <c r="L16" s="60"/>
    </row>
    <row r="17" spans="2:12">
      <c r="B17" s="359"/>
      <c r="C17" s="358"/>
      <c r="D17" s="60"/>
      <c r="E17" s="60"/>
      <c r="F17" s="61"/>
      <c r="G17" s="61"/>
      <c r="H17" s="61"/>
      <c r="I17" s="61"/>
      <c r="J17" s="61"/>
      <c r="K17" s="61"/>
      <c r="L17" s="60"/>
    </row>
    <row r="18" spans="2:12">
      <c r="B18" s="359" t="s">
        <v>152</v>
      </c>
      <c r="C18" s="356" t="s">
        <v>815</v>
      </c>
      <c r="D18" s="60">
        <v>1</v>
      </c>
      <c r="E18" s="172" t="s">
        <v>1722</v>
      </c>
      <c r="F18" s="61" t="s">
        <v>87</v>
      </c>
      <c r="G18" s="61" t="s">
        <v>1732</v>
      </c>
      <c r="H18" s="61"/>
      <c r="I18" s="61"/>
      <c r="J18" s="61"/>
      <c r="K18" s="61"/>
      <c r="L18" s="60"/>
    </row>
    <row r="19" spans="2:12">
      <c r="B19" s="359"/>
      <c r="C19" s="357"/>
      <c r="D19" s="172">
        <v>2</v>
      </c>
      <c r="E19" s="172" t="s">
        <v>142</v>
      </c>
      <c r="F19" s="61" t="s">
        <v>122</v>
      </c>
      <c r="G19" s="61"/>
      <c r="H19" s="61"/>
      <c r="I19" s="61"/>
      <c r="J19" s="61"/>
      <c r="K19" s="61"/>
      <c r="L19" s="172"/>
    </row>
    <row r="20" spans="2:12">
      <c r="B20" s="359"/>
      <c r="C20" s="357"/>
      <c r="D20" s="173">
        <v>3</v>
      </c>
      <c r="E20" s="60" t="s">
        <v>36</v>
      </c>
      <c r="F20" s="61" t="s">
        <v>126</v>
      </c>
      <c r="G20" s="61">
        <v>1</v>
      </c>
      <c r="H20" s="61">
        <v>1</v>
      </c>
      <c r="I20" s="61"/>
      <c r="J20" s="61"/>
      <c r="K20" s="61"/>
      <c r="L20" s="60"/>
    </row>
    <row r="21" spans="2:12">
      <c r="B21" s="359"/>
      <c r="C21" s="357"/>
      <c r="D21" s="173">
        <v>4</v>
      </c>
      <c r="E21" s="173"/>
      <c r="F21" s="61" t="s">
        <v>1730</v>
      </c>
      <c r="G21" s="61" t="s">
        <v>162</v>
      </c>
      <c r="H21" s="61">
        <v>1</v>
      </c>
      <c r="I21" s="61"/>
      <c r="J21" s="61"/>
      <c r="K21" s="61"/>
      <c r="L21" s="173"/>
    </row>
    <row r="22" spans="2:12">
      <c r="B22" s="359"/>
      <c r="C22" s="357"/>
      <c r="D22" s="173">
        <v>5</v>
      </c>
      <c r="E22" s="173"/>
      <c r="F22" s="61" t="s">
        <v>135</v>
      </c>
      <c r="G22" s="61">
        <v>3</v>
      </c>
      <c r="H22" s="61" t="s">
        <v>162</v>
      </c>
      <c r="I22" s="61">
        <v>15</v>
      </c>
      <c r="J22" s="61"/>
      <c r="K22" s="61"/>
      <c r="L22" s="173"/>
    </row>
    <row r="23" spans="2:12">
      <c r="B23" s="359"/>
      <c r="C23" s="357"/>
      <c r="D23" s="173">
        <v>6</v>
      </c>
      <c r="E23" s="148" t="s">
        <v>1603</v>
      </c>
      <c r="F23" s="61" t="s">
        <v>87</v>
      </c>
      <c r="G23" s="61" t="s">
        <v>1601</v>
      </c>
      <c r="H23" s="61"/>
      <c r="I23" s="61"/>
      <c r="J23" s="61"/>
      <c r="K23" s="61"/>
      <c r="L23" s="60"/>
    </row>
    <row r="24" spans="2:12">
      <c r="B24" s="359"/>
      <c r="C24" s="357"/>
      <c r="D24" s="173">
        <v>7</v>
      </c>
      <c r="E24" s="60" t="s">
        <v>313</v>
      </c>
      <c r="F24" s="61" t="s">
        <v>125</v>
      </c>
      <c r="G24" s="61">
        <v>10000</v>
      </c>
      <c r="H24" s="61"/>
      <c r="I24" s="61"/>
      <c r="J24" s="61"/>
      <c r="K24" s="61"/>
      <c r="L24" s="60"/>
    </row>
    <row r="25" spans="2:12">
      <c r="B25" s="359"/>
      <c r="C25" s="357"/>
      <c r="D25" s="173">
        <v>8</v>
      </c>
      <c r="E25" s="60" t="s">
        <v>146</v>
      </c>
      <c r="F25" s="61" t="s">
        <v>123</v>
      </c>
      <c r="G25" s="61"/>
      <c r="H25" s="61"/>
      <c r="I25" s="61"/>
      <c r="J25" s="61"/>
      <c r="K25" s="61"/>
      <c r="L25" s="60"/>
    </row>
    <row r="26" spans="2:12">
      <c r="B26" s="359"/>
      <c r="C26" s="358"/>
      <c r="D26" s="60"/>
      <c r="E26" s="60"/>
      <c r="F26" s="61"/>
      <c r="G26" s="61"/>
      <c r="H26" s="61"/>
      <c r="I26" s="61"/>
      <c r="J26" s="61"/>
      <c r="K26" s="61"/>
      <c r="L26" s="60"/>
    </row>
    <row r="27" spans="2:12">
      <c r="B27" s="359" t="s">
        <v>151</v>
      </c>
      <c r="C27" s="356" t="s">
        <v>815</v>
      </c>
      <c r="D27" s="60">
        <v>1</v>
      </c>
      <c r="E27" s="60" t="s">
        <v>142</v>
      </c>
      <c r="F27" s="61" t="s">
        <v>122</v>
      </c>
      <c r="G27" s="61"/>
      <c r="H27" s="61"/>
      <c r="I27" s="61"/>
      <c r="J27" s="61"/>
      <c r="K27" s="61"/>
      <c r="L27" s="60"/>
    </row>
    <row r="28" spans="2:12">
      <c r="B28" s="359"/>
      <c r="C28" s="357"/>
      <c r="D28" s="60">
        <v>2</v>
      </c>
      <c r="E28" s="148" t="s">
        <v>1603</v>
      </c>
      <c r="F28" s="61" t="s">
        <v>87</v>
      </c>
      <c r="G28" s="61" t="s">
        <v>1601</v>
      </c>
      <c r="H28" s="61"/>
      <c r="I28" s="61"/>
      <c r="J28" s="61"/>
      <c r="K28" s="61"/>
      <c r="L28" s="60"/>
    </row>
    <row r="29" spans="2:12">
      <c r="B29" s="359"/>
      <c r="C29" s="357"/>
      <c r="D29" s="172">
        <v>3</v>
      </c>
      <c r="E29" s="60" t="s">
        <v>314</v>
      </c>
      <c r="F29" s="61" t="s">
        <v>125</v>
      </c>
      <c r="G29" s="61">
        <v>10000</v>
      </c>
      <c r="H29" s="61"/>
      <c r="I29" s="61"/>
      <c r="J29" s="61"/>
      <c r="K29" s="61"/>
      <c r="L29" s="60"/>
    </row>
    <row r="30" spans="2:12">
      <c r="B30" s="359"/>
      <c r="C30" s="357"/>
      <c r="D30" s="172">
        <v>4</v>
      </c>
      <c r="E30" s="60" t="s">
        <v>146</v>
      </c>
      <c r="F30" s="61" t="s">
        <v>123</v>
      </c>
      <c r="G30" s="61"/>
      <c r="H30" s="61"/>
      <c r="I30" s="61"/>
      <c r="J30" s="61"/>
      <c r="K30" s="61"/>
      <c r="L30" s="60"/>
    </row>
    <row r="31" spans="2:12">
      <c r="B31" s="359"/>
      <c r="C31" s="358"/>
      <c r="D31" s="60"/>
      <c r="E31" s="60"/>
      <c r="F31" s="61"/>
      <c r="G31" s="61"/>
      <c r="H31" s="61"/>
      <c r="I31" s="61"/>
      <c r="J31" s="61"/>
      <c r="K31" s="61"/>
      <c r="L31" s="60"/>
    </row>
    <row r="32" spans="2:12">
      <c r="B32" s="359" t="s">
        <v>150</v>
      </c>
      <c r="C32" s="356" t="s">
        <v>815</v>
      </c>
      <c r="D32" s="172">
        <v>1</v>
      </c>
      <c r="E32" s="172" t="s">
        <v>1722</v>
      </c>
      <c r="F32" s="61" t="s">
        <v>87</v>
      </c>
      <c r="G32" s="61" t="s">
        <v>1733</v>
      </c>
      <c r="H32" s="61"/>
      <c r="I32" s="61"/>
      <c r="J32" s="61"/>
      <c r="K32" s="61"/>
      <c r="L32" s="60"/>
    </row>
    <row r="33" spans="2:12">
      <c r="B33" s="359"/>
      <c r="C33" s="357"/>
      <c r="D33" s="172">
        <v>2</v>
      </c>
      <c r="E33" s="172" t="s">
        <v>142</v>
      </c>
      <c r="F33" s="61" t="s">
        <v>122</v>
      </c>
      <c r="G33" s="61"/>
      <c r="H33" s="61"/>
      <c r="I33" s="61"/>
      <c r="J33" s="61"/>
      <c r="K33" s="61"/>
      <c r="L33" s="172"/>
    </row>
    <row r="34" spans="2:12">
      <c r="B34" s="359"/>
      <c r="C34" s="357"/>
      <c r="D34" s="173">
        <v>3</v>
      </c>
      <c r="E34" s="172" t="s">
        <v>36</v>
      </c>
      <c r="F34" s="61" t="s">
        <v>126</v>
      </c>
      <c r="G34" s="61">
        <v>1</v>
      </c>
      <c r="H34" s="61">
        <v>1</v>
      </c>
      <c r="I34" s="61"/>
      <c r="J34" s="61"/>
      <c r="K34" s="61"/>
      <c r="L34" s="60"/>
    </row>
    <row r="35" spans="2:12">
      <c r="B35" s="359"/>
      <c r="C35" s="357"/>
      <c r="D35" s="173">
        <v>4</v>
      </c>
      <c r="E35" s="173"/>
      <c r="F35" s="61" t="s">
        <v>1730</v>
      </c>
      <c r="G35" s="61" t="s">
        <v>162</v>
      </c>
      <c r="H35" s="61">
        <v>1</v>
      </c>
      <c r="I35" s="61"/>
      <c r="J35" s="61"/>
      <c r="K35" s="61"/>
      <c r="L35" s="173"/>
    </row>
    <row r="36" spans="2:12">
      <c r="B36" s="359"/>
      <c r="C36" s="357"/>
      <c r="D36" s="173">
        <v>5</v>
      </c>
      <c r="E36" s="173"/>
      <c r="F36" s="61" t="s">
        <v>1731</v>
      </c>
      <c r="G36" s="61">
        <v>3</v>
      </c>
      <c r="H36" s="61" t="s">
        <v>162</v>
      </c>
      <c r="I36" s="61">
        <v>15</v>
      </c>
      <c r="J36" s="61"/>
      <c r="K36" s="61"/>
      <c r="L36" s="173"/>
    </row>
    <row r="37" spans="2:12">
      <c r="B37" s="359"/>
      <c r="C37" s="357"/>
      <c r="D37" s="173">
        <v>6</v>
      </c>
      <c r="E37" s="148" t="s">
        <v>1603</v>
      </c>
      <c r="F37" s="61" t="s">
        <v>87</v>
      </c>
      <c r="G37" s="61" t="s">
        <v>1601</v>
      </c>
      <c r="H37" s="61"/>
      <c r="I37" s="61"/>
      <c r="J37" s="61"/>
      <c r="K37" s="61"/>
      <c r="L37" s="60"/>
    </row>
    <row r="38" spans="2:12">
      <c r="B38" s="359"/>
      <c r="C38" s="357"/>
      <c r="D38" s="173">
        <v>7</v>
      </c>
      <c r="E38" s="60" t="s">
        <v>314</v>
      </c>
      <c r="F38" s="61" t="s">
        <v>125</v>
      </c>
      <c r="G38" s="61">
        <v>10000</v>
      </c>
      <c r="H38" s="61"/>
      <c r="I38" s="61"/>
      <c r="J38" s="61"/>
      <c r="K38" s="61"/>
      <c r="L38" s="60"/>
    </row>
    <row r="39" spans="2:12">
      <c r="B39" s="359"/>
      <c r="C39" s="357"/>
      <c r="D39" s="173">
        <v>8</v>
      </c>
      <c r="E39" s="60" t="s">
        <v>146</v>
      </c>
      <c r="F39" s="61" t="s">
        <v>123</v>
      </c>
      <c r="G39" s="61"/>
      <c r="H39" s="61"/>
      <c r="I39" s="61"/>
      <c r="J39" s="61"/>
      <c r="K39" s="61"/>
      <c r="L39" s="60"/>
    </row>
    <row r="40" spans="2:12">
      <c r="B40" s="359"/>
      <c r="C40" s="358"/>
      <c r="D40" s="60"/>
      <c r="E40" s="60"/>
      <c r="F40" s="61"/>
      <c r="G40" s="61"/>
      <c r="H40" s="61"/>
      <c r="I40" s="61"/>
      <c r="J40" s="61"/>
      <c r="K40" s="61"/>
      <c r="L40" s="60"/>
    </row>
    <row r="41" spans="2:12">
      <c r="B41" s="359" t="s">
        <v>149</v>
      </c>
      <c r="C41" s="356" t="s">
        <v>815</v>
      </c>
      <c r="D41" s="60">
        <v>1</v>
      </c>
      <c r="E41" s="60" t="s">
        <v>142</v>
      </c>
      <c r="F41" s="61" t="s">
        <v>122</v>
      </c>
      <c r="G41" s="61"/>
      <c r="H41" s="61"/>
      <c r="I41" s="61"/>
      <c r="J41" s="61"/>
      <c r="K41" s="61"/>
      <c r="L41" s="60"/>
    </row>
    <row r="42" spans="2:12">
      <c r="B42" s="359"/>
      <c r="C42" s="357"/>
      <c r="D42" s="60">
        <v>2</v>
      </c>
      <c r="E42" s="148" t="s">
        <v>1603</v>
      </c>
      <c r="F42" s="61" t="s">
        <v>87</v>
      </c>
      <c r="G42" s="61" t="s">
        <v>1601</v>
      </c>
      <c r="H42" s="61"/>
      <c r="I42" s="61"/>
      <c r="J42" s="61"/>
      <c r="K42" s="61"/>
      <c r="L42" s="60"/>
    </row>
    <row r="43" spans="2:12">
      <c r="B43" s="359"/>
      <c r="C43" s="357"/>
      <c r="D43" s="174">
        <v>3</v>
      </c>
      <c r="E43" s="60" t="s">
        <v>36</v>
      </c>
      <c r="F43" s="61" t="s">
        <v>126</v>
      </c>
      <c r="G43" s="61">
        <v>1</v>
      </c>
      <c r="H43" s="61">
        <v>1</v>
      </c>
      <c r="I43" s="61"/>
      <c r="J43" s="61"/>
      <c r="K43" s="61"/>
      <c r="L43" s="60"/>
    </row>
    <row r="44" spans="2:12">
      <c r="B44" s="359"/>
      <c r="C44" s="357"/>
      <c r="D44" s="174">
        <v>4</v>
      </c>
      <c r="E44" s="60" t="s">
        <v>318</v>
      </c>
      <c r="F44" s="61" t="s">
        <v>125</v>
      </c>
      <c r="G44" s="61">
        <v>5000</v>
      </c>
      <c r="H44" s="61"/>
      <c r="I44" s="61"/>
      <c r="J44" s="61"/>
      <c r="K44" s="61"/>
      <c r="L44" s="60"/>
    </row>
    <row r="45" spans="2:12">
      <c r="B45" s="359"/>
      <c r="C45" s="357"/>
      <c r="D45" s="174">
        <v>5</v>
      </c>
      <c r="E45" s="60" t="s">
        <v>1605</v>
      </c>
      <c r="F45" s="61" t="s">
        <v>87</v>
      </c>
      <c r="G45" s="61" t="s">
        <v>1604</v>
      </c>
      <c r="H45" s="61"/>
      <c r="I45" s="61"/>
      <c r="J45" s="61"/>
      <c r="K45" s="61"/>
      <c r="L45" s="60"/>
    </row>
    <row r="46" spans="2:12">
      <c r="B46" s="359"/>
      <c r="C46" s="357"/>
      <c r="D46" s="174">
        <v>6</v>
      </c>
      <c r="E46" s="60" t="s">
        <v>314</v>
      </c>
      <c r="F46" s="61" t="s">
        <v>300</v>
      </c>
      <c r="G46" s="61">
        <v>10000</v>
      </c>
      <c r="H46" s="61"/>
      <c r="I46" s="61"/>
      <c r="J46" s="61"/>
      <c r="K46" s="61"/>
      <c r="L46" s="60"/>
    </row>
    <row r="47" spans="2:12">
      <c r="B47" s="359"/>
      <c r="C47" s="357"/>
      <c r="D47" s="174">
        <v>7</v>
      </c>
      <c r="E47" s="60" t="s">
        <v>146</v>
      </c>
      <c r="F47" s="61" t="s">
        <v>123</v>
      </c>
      <c r="G47" s="61"/>
      <c r="H47" s="61"/>
      <c r="I47" s="61"/>
      <c r="J47" s="61"/>
      <c r="K47" s="61"/>
      <c r="L47" s="60"/>
    </row>
    <row r="48" spans="2:12">
      <c r="B48" s="359"/>
      <c r="C48" s="358"/>
      <c r="D48" s="60"/>
      <c r="E48" s="60"/>
      <c r="F48" s="61"/>
      <c r="G48" s="61"/>
      <c r="H48" s="61"/>
      <c r="I48" s="61"/>
      <c r="J48" s="61"/>
      <c r="K48" s="61"/>
      <c r="L48" s="60"/>
    </row>
    <row r="49" spans="2:12">
      <c r="B49" s="359" t="s">
        <v>148</v>
      </c>
      <c r="C49" s="356" t="s">
        <v>815</v>
      </c>
      <c r="D49" s="60">
        <v>1</v>
      </c>
      <c r="E49" s="60" t="s">
        <v>142</v>
      </c>
      <c r="F49" s="61" t="s">
        <v>122</v>
      </c>
      <c r="G49" s="61"/>
      <c r="H49" s="61"/>
      <c r="I49" s="61"/>
      <c r="J49" s="61"/>
      <c r="K49" s="61"/>
      <c r="L49" s="60"/>
    </row>
    <row r="50" spans="2:12">
      <c r="B50" s="359"/>
      <c r="C50" s="357"/>
      <c r="D50" s="60">
        <v>2</v>
      </c>
      <c r="E50" s="148" t="s">
        <v>1603</v>
      </c>
      <c r="F50" s="61" t="s">
        <v>87</v>
      </c>
      <c r="G50" s="61" t="s">
        <v>1601</v>
      </c>
      <c r="H50" s="61"/>
      <c r="I50" s="61"/>
      <c r="J50" s="61"/>
      <c r="K50" s="61"/>
      <c r="L50" s="60"/>
    </row>
    <row r="51" spans="2:12">
      <c r="B51" s="359"/>
      <c r="C51" s="357"/>
      <c r="D51" s="60">
        <v>3</v>
      </c>
      <c r="E51" s="60" t="s">
        <v>36</v>
      </c>
      <c r="F51" s="61" t="s">
        <v>126</v>
      </c>
      <c r="G51" s="61">
        <v>1</v>
      </c>
      <c r="H51" s="61">
        <v>1</v>
      </c>
      <c r="I51" s="61"/>
      <c r="J51" s="61"/>
      <c r="K51" s="61"/>
      <c r="L51" s="60"/>
    </row>
    <row r="52" spans="2:12">
      <c r="B52" s="359"/>
      <c r="C52" s="357"/>
      <c r="D52" s="174">
        <v>4</v>
      </c>
      <c r="E52" s="60" t="s">
        <v>318</v>
      </c>
      <c r="F52" s="61" t="s">
        <v>125</v>
      </c>
      <c r="G52" s="61">
        <v>5000</v>
      </c>
      <c r="H52" s="61"/>
      <c r="I52" s="61"/>
      <c r="J52" s="61"/>
      <c r="K52" s="61"/>
      <c r="L52" s="60"/>
    </row>
    <row r="53" spans="2:12">
      <c r="B53" s="359"/>
      <c r="C53" s="357"/>
      <c r="D53" s="174">
        <v>5</v>
      </c>
      <c r="E53" s="60" t="s">
        <v>1754</v>
      </c>
      <c r="F53" s="61" t="s">
        <v>87</v>
      </c>
      <c r="G53" s="61" t="s">
        <v>1755</v>
      </c>
      <c r="H53" s="61"/>
      <c r="I53" s="61"/>
      <c r="J53" s="61"/>
      <c r="K53" s="61"/>
      <c r="L53" s="60"/>
    </row>
    <row r="54" spans="2:12">
      <c r="B54" s="359"/>
      <c r="C54" s="357"/>
      <c r="D54" s="174">
        <v>6</v>
      </c>
      <c r="E54" s="60" t="s">
        <v>314</v>
      </c>
      <c r="F54" s="61" t="s">
        <v>300</v>
      </c>
      <c r="G54" s="61">
        <v>10000</v>
      </c>
      <c r="H54" s="61"/>
      <c r="I54" s="61"/>
      <c r="J54" s="61"/>
      <c r="K54" s="61"/>
      <c r="L54" s="60"/>
    </row>
    <row r="55" spans="2:12">
      <c r="B55" s="359"/>
      <c r="C55" s="357"/>
      <c r="D55" s="174">
        <v>7</v>
      </c>
      <c r="E55" s="60" t="s">
        <v>146</v>
      </c>
      <c r="F55" s="61" t="s">
        <v>123</v>
      </c>
      <c r="G55" s="61"/>
      <c r="H55" s="61"/>
      <c r="I55" s="61"/>
      <c r="J55" s="61"/>
      <c r="K55" s="61"/>
      <c r="L55" s="60"/>
    </row>
    <row r="56" spans="2:12">
      <c r="B56" s="359"/>
      <c r="C56" s="358"/>
      <c r="D56" s="60"/>
      <c r="E56" s="60"/>
      <c r="F56" s="61"/>
      <c r="G56" s="61"/>
      <c r="H56" s="61"/>
      <c r="I56" s="61"/>
      <c r="J56" s="61"/>
      <c r="K56" s="61"/>
      <c r="L56" s="60"/>
    </row>
    <row r="57" spans="2:12">
      <c r="B57" s="359" t="s">
        <v>147</v>
      </c>
      <c r="C57" s="356" t="s">
        <v>815</v>
      </c>
      <c r="D57" s="60">
        <v>1</v>
      </c>
      <c r="E57" s="60" t="s">
        <v>142</v>
      </c>
      <c r="F57" s="61" t="s">
        <v>122</v>
      </c>
      <c r="G57" s="61"/>
      <c r="H57" s="61"/>
      <c r="I57" s="61"/>
      <c r="J57" s="61"/>
      <c r="K57" s="61"/>
      <c r="L57" s="60"/>
    </row>
    <row r="58" spans="2:12">
      <c r="B58" s="359"/>
      <c r="C58" s="357"/>
      <c r="D58" s="60">
        <v>2</v>
      </c>
      <c r="E58" s="148" t="s">
        <v>1603</v>
      </c>
      <c r="F58" s="61" t="s">
        <v>87</v>
      </c>
      <c r="G58" s="61" t="s">
        <v>1601</v>
      </c>
      <c r="H58" s="61"/>
      <c r="I58" s="61"/>
      <c r="J58" s="61"/>
      <c r="K58" s="61"/>
      <c r="L58" s="60"/>
    </row>
    <row r="59" spans="2:12">
      <c r="B59" s="359"/>
      <c r="C59" s="357"/>
      <c r="D59" s="174">
        <v>3</v>
      </c>
      <c r="E59" s="60" t="s">
        <v>36</v>
      </c>
      <c r="F59" s="61" t="s">
        <v>126</v>
      </c>
      <c r="G59" s="61">
        <v>1</v>
      </c>
      <c r="H59" s="61">
        <v>1</v>
      </c>
      <c r="I59" s="61"/>
      <c r="J59" s="61"/>
      <c r="K59" s="61"/>
      <c r="L59" s="60"/>
    </row>
    <row r="60" spans="2:12">
      <c r="B60" s="359"/>
      <c r="C60" s="357"/>
      <c r="D60" s="174">
        <v>4</v>
      </c>
      <c r="E60" s="60" t="s">
        <v>318</v>
      </c>
      <c r="F60" s="61" t="s">
        <v>125</v>
      </c>
      <c r="G60" s="61">
        <v>5000</v>
      </c>
      <c r="H60" s="61"/>
      <c r="I60" s="61"/>
      <c r="J60" s="61"/>
      <c r="K60" s="61"/>
      <c r="L60" s="60"/>
    </row>
    <row r="61" spans="2:12">
      <c r="B61" s="359"/>
      <c r="C61" s="357"/>
      <c r="D61" s="174">
        <v>5</v>
      </c>
      <c r="E61" s="60" t="s">
        <v>1606</v>
      </c>
      <c r="F61" s="61" t="s">
        <v>87</v>
      </c>
      <c r="G61" s="61" t="s">
        <v>1607</v>
      </c>
      <c r="H61" s="61"/>
      <c r="I61" s="61"/>
      <c r="J61" s="61"/>
      <c r="K61" s="61"/>
      <c r="L61" s="60"/>
    </row>
    <row r="62" spans="2:12">
      <c r="B62" s="359"/>
      <c r="C62" s="357"/>
      <c r="D62" s="174">
        <v>6</v>
      </c>
      <c r="E62" s="60" t="s">
        <v>314</v>
      </c>
      <c r="F62" s="61" t="s">
        <v>300</v>
      </c>
      <c r="G62" s="61">
        <v>10000</v>
      </c>
      <c r="H62" s="61"/>
      <c r="I62" s="61"/>
      <c r="J62" s="61"/>
      <c r="K62" s="61"/>
      <c r="L62" s="60"/>
    </row>
    <row r="63" spans="2:12">
      <c r="B63" s="359"/>
      <c r="C63" s="357"/>
      <c r="D63" s="174">
        <v>7</v>
      </c>
      <c r="E63" s="60" t="s">
        <v>146</v>
      </c>
      <c r="F63" s="61" t="s">
        <v>123</v>
      </c>
      <c r="G63" s="61"/>
      <c r="H63" s="61"/>
      <c r="I63" s="61"/>
      <c r="J63" s="61"/>
      <c r="K63" s="61"/>
      <c r="L63" s="60"/>
    </row>
    <row r="64" spans="2:12">
      <c r="B64" s="359"/>
      <c r="C64" s="358"/>
      <c r="D64" s="60"/>
      <c r="E64" s="60"/>
      <c r="F64" s="61"/>
      <c r="G64" s="61"/>
      <c r="H64" s="61"/>
      <c r="I64" s="61"/>
      <c r="J64" s="61"/>
      <c r="K64" s="61"/>
      <c r="L64" s="60"/>
    </row>
    <row r="65" spans="2:12">
      <c r="B65" s="359" t="s">
        <v>145</v>
      </c>
      <c r="C65" s="356" t="s">
        <v>1472</v>
      </c>
      <c r="D65" s="60">
        <v>1</v>
      </c>
      <c r="E65" s="148" t="s">
        <v>1602</v>
      </c>
      <c r="F65" s="61" t="s">
        <v>1579</v>
      </c>
      <c r="G65" s="61"/>
      <c r="H65" s="61"/>
      <c r="I65" s="61"/>
      <c r="J65" s="61"/>
      <c r="K65" s="61"/>
      <c r="L65" s="60"/>
    </row>
    <row r="66" spans="2:12">
      <c r="B66" s="359"/>
      <c r="C66" s="357"/>
      <c r="D66" s="60">
        <v>2</v>
      </c>
      <c r="E66" s="148" t="s">
        <v>1603</v>
      </c>
      <c r="F66" s="61" t="s">
        <v>87</v>
      </c>
      <c r="G66" s="61" t="s">
        <v>1601</v>
      </c>
      <c r="H66" s="61"/>
      <c r="I66" s="61"/>
      <c r="J66" s="61"/>
      <c r="K66" s="61"/>
      <c r="L66" s="60"/>
    </row>
    <row r="67" spans="2:12">
      <c r="B67" s="359"/>
      <c r="C67" s="357"/>
      <c r="D67" s="60">
        <v>3</v>
      </c>
      <c r="E67" s="60" t="s">
        <v>1585</v>
      </c>
      <c r="F67" s="61" t="s">
        <v>1565</v>
      </c>
      <c r="G67" s="61"/>
      <c r="H67" s="61"/>
      <c r="I67" s="61"/>
      <c r="J67" s="61"/>
      <c r="K67" s="61"/>
      <c r="L67" s="60"/>
    </row>
    <row r="68" spans="2:12">
      <c r="B68" s="359"/>
      <c r="C68" s="357"/>
      <c r="D68" s="60">
        <v>4</v>
      </c>
      <c r="E68" s="60" t="s">
        <v>142</v>
      </c>
      <c r="F68" s="61" t="s">
        <v>122</v>
      </c>
      <c r="G68" s="61">
        <v>60000</v>
      </c>
      <c r="H68" s="61"/>
      <c r="I68" s="61"/>
      <c r="J68" s="61"/>
      <c r="K68" s="61"/>
      <c r="L68" s="60"/>
    </row>
    <row r="69" spans="2:12">
      <c r="B69" s="359"/>
      <c r="C69" s="357"/>
      <c r="D69" s="60">
        <v>5</v>
      </c>
      <c r="E69" s="60" t="s">
        <v>67</v>
      </c>
      <c r="F69" s="61" t="s">
        <v>123</v>
      </c>
      <c r="G69" s="61"/>
      <c r="H69" s="61"/>
      <c r="I69" s="61"/>
      <c r="J69" s="61"/>
      <c r="K69" s="61"/>
      <c r="L69" s="60"/>
    </row>
    <row r="70" spans="2:12">
      <c r="B70" s="359"/>
      <c r="C70" s="358"/>
      <c r="D70" s="60"/>
      <c r="E70" s="60"/>
      <c r="F70" s="61"/>
      <c r="G70" s="61"/>
      <c r="H70" s="61"/>
      <c r="I70" s="61"/>
      <c r="J70" s="61"/>
      <c r="K70" s="61"/>
      <c r="L70" s="60"/>
    </row>
    <row r="71" spans="2:12">
      <c r="B71" s="359" t="s">
        <v>144</v>
      </c>
      <c r="C71" s="356" t="s">
        <v>815</v>
      </c>
      <c r="D71" s="60">
        <v>1</v>
      </c>
      <c r="E71" s="60" t="s">
        <v>142</v>
      </c>
      <c r="F71" s="61" t="s">
        <v>1104</v>
      </c>
      <c r="G71" s="61"/>
      <c r="H71" s="61"/>
      <c r="I71" s="61"/>
      <c r="J71" s="61"/>
      <c r="K71" s="61"/>
      <c r="L71" s="60"/>
    </row>
    <row r="72" spans="2:12">
      <c r="B72" s="359"/>
      <c r="C72" s="357"/>
      <c r="D72" s="60">
        <v>2</v>
      </c>
      <c r="E72" s="60"/>
      <c r="F72" s="61" t="s">
        <v>1105</v>
      </c>
      <c r="G72" s="61" t="s">
        <v>1578</v>
      </c>
      <c r="H72" s="61"/>
      <c r="I72" s="61"/>
      <c r="J72" s="61"/>
      <c r="K72" s="61"/>
      <c r="L72" s="60"/>
    </row>
    <row r="73" spans="2:12">
      <c r="B73" s="359"/>
      <c r="C73" s="357"/>
      <c r="D73" s="60">
        <v>3</v>
      </c>
      <c r="E73" s="148" t="s">
        <v>1603</v>
      </c>
      <c r="F73" s="61" t="s">
        <v>87</v>
      </c>
      <c r="G73" s="61" t="s">
        <v>1601</v>
      </c>
      <c r="H73" s="61"/>
      <c r="I73" s="61"/>
      <c r="J73" s="61"/>
      <c r="K73" s="61"/>
      <c r="L73" s="60"/>
    </row>
    <row r="74" spans="2:12">
      <c r="B74" s="359"/>
      <c r="C74" s="357"/>
      <c r="D74" s="174">
        <v>4</v>
      </c>
      <c r="E74" s="60" t="s">
        <v>314</v>
      </c>
      <c r="F74" s="61" t="s">
        <v>300</v>
      </c>
      <c r="G74" s="61">
        <v>10000</v>
      </c>
      <c r="H74" s="61"/>
      <c r="I74" s="61"/>
      <c r="J74" s="61"/>
      <c r="K74" s="61"/>
      <c r="L74" s="60"/>
    </row>
    <row r="75" spans="2:12">
      <c r="B75" s="359"/>
      <c r="C75" s="357"/>
      <c r="D75" s="174">
        <v>5</v>
      </c>
      <c r="E75" s="60" t="s">
        <v>146</v>
      </c>
      <c r="F75" s="61" t="s">
        <v>123</v>
      </c>
      <c r="G75" s="61"/>
      <c r="H75" s="61"/>
      <c r="I75" s="61"/>
      <c r="J75" s="61"/>
      <c r="K75" s="61"/>
      <c r="L75" s="60"/>
    </row>
    <row r="76" spans="2:12">
      <c r="B76" s="359"/>
      <c r="C76" s="358"/>
      <c r="D76" s="60"/>
      <c r="E76" s="60"/>
      <c r="F76" s="61"/>
      <c r="G76" s="61"/>
      <c r="H76" s="61"/>
      <c r="I76" s="61"/>
      <c r="J76" s="61"/>
      <c r="K76" s="61"/>
      <c r="L76" s="60"/>
    </row>
    <row r="77" spans="2:12">
      <c r="B77" s="359" t="s">
        <v>1434</v>
      </c>
      <c r="C77" s="356" t="s">
        <v>1472</v>
      </c>
      <c r="D77" s="60">
        <v>1</v>
      </c>
      <c r="E77" s="148" t="s">
        <v>1602</v>
      </c>
      <c r="F77" s="61" t="s">
        <v>1579</v>
      </c>
      <c r="G77" s="61"/>
      <c r="H77" s="61"/>
      <c r="I77" s="61"/>
      <c r="J77" s="61"/>
      <c r="K77" s="61"/>
      <c r="L77" s="60"/>
    </row>
    <row r="78" spans="2:12">
      <c r="B78" s="359"/>
      <c r="C78" s="357"/>
      <c r="D78" s="60">
        <v>2</v>
      </c>
      <c r="E78" s="148" t="s">
        <v>1603</v>
      </c>
      <c r="F78" s="61" t="s">
        <v>87</v>
      </c>
      <c r="G78" s="61" t="s">
        <v>1601</v>
      </c>
      <c r="H78" s="61"/>
      <c r="I78" s="61"/>
      <c r="J78" s="61"/>
      <c r="K78" s="61"/>
      <c r="L78" s="60"/>
    </row>
    <row r="79" spans="2:12">
      <c r="B79" s="359"/>
      <c r="C79" s="357"/>
      <c r="D79" s="60">
        <v>3</v>
      </c>
      <c r="E79" s="60" t="s">
        <v>1585</v>
      </c>
      <c r="F79" s="61" t="s">
        <v>1565</v>
      </c>
      <c r="G79" s="61"/>
      <c r="H79" s="61"/>
      <c r="I79" s="61"/>
      <c r="J79" s="61"/>
      <c r="K79" s="61"/>
      <c r="L79" s="60"/>
    </row>
    <row r="80" spans="2:12">
      <c r="B80" s="359"/>
      <c r="C80" s="357"/>
      <c r="D80" s="60">
        <v>4</v>
      </c>
      <c r="E80" s="60" t="s">
        <v>142</v>
      </c>
      <c r="F80" s="61" t="s">
        <v>122</v>
      </c>
      <c r="G80" s="61">
        <v>60000</v>
      </c>
      <c r="H80" s="61"/>
      <c r="I80" s="61"/>
      <c r="J80" s="61"/>
      <c r="K80" s="61"/>
      <c r="L80" s="60"/>
    </row>
    <row r="81" spans="2:12">
      <c r="B81" s="359"/>
      <c r="C81" s="357"/>
      <c r="D81" s="60">
        <v>5</v>
      </c>
      <c r="E81" s="60" t="s">
        <v>314</v>
      </c>
      <c r="F81" s="61" t="s">
        <v>125</v>
      </c>
      <c r="G81" s="61">
        <v>10000</v>
      </c>
      <c r="H81" s="61"/>
      <c r="I81" s="61"/>
      <c r="J81" s="61"/>
      <c r="K81" s="61"/>
      <c r="L81" s="60"/>
    </row>
    <row r="82" spans="2:12">
      <c r="B82" s="359"/>
      <c r="C82" s="357"/>
      <c r="D82" s="60">
        <v>6</v>
      </c>
      <c r="E82" s="60" t="s">
        <v>1586</v>
      </c>
      <c r="F82" s="61" t="s">
        <v>1567</v>
      </c>
      <c r="G82" s="61"/>
      <c r="H82" s="61"/>
      <c r="I82" s="61"/>
      <c r="J82" s="61"/>
      <c r="K82" s="61"/>
      <c r="L82" s="60"/>
    </row>
    <row r="83" spans="2:12">
      <c r="B83" s="359"/>
      <c r="C83" s="357"/>
      <c r="D83" s="60">
        <v>7</v>
      </c>
      <c r="E83" s="60" t="s">
        <v>1585</v>
      </c>
      <c r="F83" s="61" t="s">
        <v>1565</v>
      </c>
      <c r="G83" s="61"/>
      <c r="H83" s="61"/>
      <c r="I83" s="61"/>
      <c r="J83" s="61"/>
      <c r="K83" s="61"/>
      <c r="L83" s="60"/>
    </row>
    <row r="84" spans="2:12">
      <c r="B84" s="359"/>
      <c r="C84" s="357"/>
      <c r="D84" s="60">
        <v>8</v>
      </c>
      <c r="E84" s="60" t="s">
        <v>67</v>
      </c>
      <c r="F84" s="61" t="s">
        <v>123</v>
      </c>
      <c r="G84" s="61"/>
      <c r="H84" s="61"/>
      <c r="I84" s="61"/>
      <c r="J84" s="61"/>
      <c r="K84" s="61"/>
      <c r="L84" s="60"/>
    </row>
    <row r="85" spans="2:12">
      <c r="B85" s="359"/>
      <c r="C85" s="358"/>
      <c r="D85" s="60"/>
      <c r="E85" s="60"/>
      <c r="F85" s="61"/>
      <c r="G85" s="61"/>
      <c r="H85" s="61"/>
      <c r="I85" s="61"/>
      <c r="J85" s="61"/>
      <c r="K85" s="61"/>
      <c r="L85" s="60"/>
    </row>
    <row r="86" spans="2:12">
      <c r="B86" s="359" t="s">
        <v>1435</v>
      </c>
      <c r="C86" s="356" t="s">
        <v>1472</v>
      </c>
      <c r="D86" s="130">
        <v>1</v>
      </c>
      <c r="E86" s="148" t="s">
        <v>1602</v>
      </c>
      <c r="F86" s="61" t="s">
        <v>1579</v>
      </c>
      <c r="G86" s="61"/>
      <c r="H86" s="61"/>
      <c r="I86" s="61"/>
      <c r="J86" s="61"/>
      <c r="K86" s="61"/>
      <c r="L86" s="130"/>
    </row>
    <row r="87" spans="2:12">
      <c r="B87" s="359"/>
      <c r="C87" s="357"/>
      <c r="D87" s="130">
        <v>2</v>
      </c>
      <c r="E87" s="148" t="s">
        <v>1603</v>
      </c>
      <c r="F87" s="61" t="s">
        <v>87</v>
      </c>
      <c r="G87" s="61" t="s">
        <v>1601</v>
      </c>
      <c r="H87" s="61"/>
      <c r="I87" s="61"/>
      <c r="J87" s="61"/>
      <c r="K87" s="61"/>
      <c r="L87" s="130"/>
    </row>
    <row r="88" spans="2:12">
      <c r="B88" s="359"/>
      <c r="C88" s="357"/>
      <c r="D88" s="130">
        <v>3</v>
      </c>
      <c r="E88" s="130" t="s">
        <v>1585</v>
      </c>
      <c r="F88" s="61" t="s">
        <v>1565</v>
      </c>
      <c r="G88" s="61"/>
      <c r="H88" s="61"/>
      <c r="I88" s="61"/>
      <c r="J88" s="61"/>
      <c r="K88" s="61"/>
      <c r="L88" s="130"/>
    </row>
    <row r="89" spans="2:12">
      <c r="B89" s="359"/>
      <c r="C89" s="357"/>
      <c r="D89" s="130">
        <v>4</v>
      </c>
      <c r="E89" s="130" t="s">
        <v>142</v>
      </c>
      <c r="F89" s="61" t="s">
        <v>122</v>
      </c>
      <c r="G89" s="61">
        <v>60000</v>
      </c>
      <c r="H89" s="61"/>
      <c r="I89" s="61"/>
      <c r="J89" s="61"/>
      <c r="K89" s="61"/>
      <c r="L89" s="130"/>
    </row>
    <row r="90" spans="2:12">
      <c r="B90" s="359"/>
      <c r="C90" s="357"/>
      <c r="D90" s="130">
        <v>5</v>
      </c>
      <c r="E90" s="130" t="s">
        <v>313</v>
      </c>
      <c r="F90" s="61" t="s">
        <v>125</v>
      </c>
      <c r="G90" s="61">
        <v>10000</v>
      </c>
      <c r="H90" s="61"/>
      <c r="I90" s="61"/>
      <c r="J90" s="61"/>
      <c r="K90" s="61"/>
      <c r="L90" s="130"/>
    </row>
    <row r="91" spans="2:12">
      <c r="B91" s="359"/>
      <c r="C91" s="357"/>
      <c r="D91" s="130">
        <v>6</v>
      </c>
      <c r="E91" s="130" t="s">
        <v>1586</v>
      </c>
      <c r="F91" s="61" t="s">
        <v>1567</v>
      </c>
      <c r="G91" s="61"/>
      <c r="H91" s="61"/>
      <c r="I91" s="61"/>
      <c r="J91" s="61"/>
      <c r="K91" s="61"/>
      <c r="L91" s="130"/>
    </row>
    <row r="92" spans="2:12">
      <c r="B92" s="359"/>
      <c r="C92" s="357"/>
      <c r="D92" s="130">
        <v>7</v>
      </c>
      <c r="E92" s="130" t="s">
        <v>1585</v>
      </c>
      <c r="F92" s="61" t="s">
        <v>1565</v>
      </c>
      <c r="G92" s="61"/>
      <c r="H92" s="61"/>
      <c r="I92" s="61"/>
      <c r="J92" s="61"/>
      <c r="K92" s="61"/>
      <c r="L92" s="130"/>
    </row>
    <row r="93" spans="2:12">
      <c r="B93" s="359"/>
      <c r="C93" s="357"/>
      <c r="D93" s="130">
        <v>8</v>
      </c>
      <c r="E93" s="130" t="s">
        <v>67</v>
      </c>
      <c r="F93" s="61" t="s">
        <v>123</v>
      </c>
      <c r="G93" s="61"/>
      <c r="H93" s="61"/>
      <c r="I93" s="61"/>
      <c r="J93" s="61"/>
      <c r="K93" s="61"/>
      <c r="L93" s="130"/>
    </row>
    <row r="94" spans="2:12">
      <c r="B94" s="359"/>
      <c r="C94" s="358"/>
      <c r="D94" s="130"/>
      <c r="E94" s="130"/>
      <c r="F94" s="61"/>
      <c r="G94" s="61"/>
      <c r="H94" s="61"/>
      <c r="I94" s="61"/>
      <c r="J94" s="61"/>
      <c r="K94" s="61"/>
      <c r="L94" s="130"/>
    </row>
    <row r="95" spans="2:12">
      <c r="B95" s="359" t="s">
        <v>1436</v>
      </c>
      <c r="C95" s="356" t="s">
        <v>1472</v>
      </c>
      <c r="D95" s="60">
        <v>1</v>
      </c>
      <c r="E95" s="148" t="s">
        <v>1602</v>
      </c>
      <c r="F95" s="61" t="s">
        <v>1579</v>
      </c>
      <c r="G95" s="61"/>
      <c r="H95" s="61"/>
      <c r="I95" s="61"/>
      <c r="J95" s="61"/>
      <c r="K95" s="61"/>
      <c r="L95" s="60"/>
    </row>
    <row r="96" spans="2:12">
      <c r="B96" s="359"/>
      <c r="C96" s="357"/>
      <c r="D96" s="60">
        <v>2</v>
      </c>
      <c r="E96" s="148" t="s">
        <v>1603</v>
      </c>
      <c r="F96" s="61" t="s">
        <v>87</v>
      </c>
      <c r="G96" s="61" t="s">
        <v>1601</v>
      </c>
      <c r="H96" s="61"/>
      <c r="I96" s="61"/>
      <c r="J96" s="61"/>
      <c r="K96" s="61"/>
      <c r="L96" s="60"/>
    </row>
    <row r="97" spans="2:12">
      <c r="B97" s="359"/>
      <c r="C97" s="357"/>
      <c r="D97" s="60">
        <v>3</v>
      </c>
      <c r="E97" s="60" t="s">
        <v>1585</v>
      </c>
      <c r="F97" s="61" t="s">
        <v>1565</v>
      </c>
      <c r="G97" s="61"/>
      <c r="H97" s="61"/>
      <c r="I97" s="61"/>
      <c r="J97" s="61"/>
      <c r="K97" s="61"/>
      <c r="L97" s="60"/>
    </row>
    <row r="98" spans="2:12">
      <c r="B98" s="359"/>
      <c r="C98" s="357"/>
      <c r="D98" s="60">
        <v>4</v>
      </c>
      <c r="E98" s="60" t="s">
        <v>142</v>
      </c>
      <c r="F98" s="61" t="s">
        <v>122</v>
      </c>
      <c r="G98" s="61">
        <v>60000</v>
      </c>
      <c r="H98" s="61"/>
      <c r="I98" s="61"/>
      <c r="J98" s="61"/>
      <c r="K98" s="61"/>
      <c r="L98" s="60"/>
    </row>
    <row r="99" spans="2:12">
      <c r="B99" s="359"/>
      <c r="C99" s="357"/>
      <c r="D99" s="60">
        <v>5</v>
      </c>
      <c r="E99" s="60" t="s">
        <v>67</v>
      </c>
      <c r="F99" s="61" t="s">
        <v>123</v>
      </c>
      <c r="G99" s="61"/>
      <c r="H99" s="61"/>
      <c r="I99" s="61"/>
      <c r="J99" s="61"/>
      <c r="K99" s="61"/>
      <c r="L99" s="60"/>
    </row>
    <row r="100" spans="2:12">
      <c r="B100" s="359"/>
      <c r="C100" s="358"/>
      <c r="D100" s="60"/>
      <c r="E100" s="60"/>
      <c r="F100" s="61"/>
      <c r="G100" s="61"/>
      <c r="H100" s="61"/>
      <c r="I100" s="61"/>
      <c r="J100" s="61"/>
      <c r="K100" s="61"/>
      <c r="L100" s="60"/>
    </row>
    <row r="101" spans="2:12">
      <c r="B101" s="359" t="s">
        <v>1437</v>
      </c>
      <c r="C101" s="356" t="s">
        <v>1472</v>
      </c>
      <c r="D101" s="130">
        <v>1</v>
      </c>
      <c r="E101" s="148" t="s">
        <v>1602</v>
      </c>
      <c r="F101" s="61" t="s">
        <v>1579</v>
      </c>
      <c r="G101" s="61"/>
      <c r="H101" s="61"/>
      <c r="I101" s="61"/>
      <c r="J101" s="61"/>
      <c r="K101" s="61"/>
      <c r="L101" s="130"/>
    </row>
    <row r="102" spans="2:12">
      <c r="B102" s="359"/>
      <c r="C102" s="357"/>
      <c r="D102" s="130">
        <v>2</v>
      </c>
      <c r="E102" s="148" t="s">
        <v>1603</v>
      </c>
      <c r="F102" s="61" t="s">
        <v>87</v>
      </c>
      <c r="G102" s="61" t="s">
        <v>1601</v>
      </c>
      <c r="H102" s="61"/>
      <c r="I102" s="61"/>
      <c r="J102" s="61"/>
      <c r="K102" s="61"/>
      <c r="L102" s="130"/>
    </row>
    <row r="103" spans="2:12">
      <c r="B103" s="359"/>
      <c r="C103" s="357"/>
      <c r="D103" s="130">
        <v>3</v>
      </c>
      <c r="E103" s="130" t="s">
        <v>1585</v>
      </c>
      <c r="F103" s="61" t="s">
        <v>1565</v>
      </c>
      <c r="G103" s="61"/>
      <c r="H103" s="61"/>
      <c r="I103" s="61"/>
      <c r="J103" s="61"/>
      <c r="K103" s="61"/>
      <c r="L103" s="130"/>
    </row>
    <row r="104" spans="2:12">
      <c r="B104" s="359"/>
      <c r="C104" s="357"/>
      <c r="D104" s="130">
        <v>4</v>
      </c>
      <c r="E104" s="130" t="s">
        <v>142</v>
      </c>
      <c r="F104" s="61" t="s">
        <v>122</v>
      </c>
      <c r="G104" s="61">
        <v>60000</v>
      </c>
      <c r="H104" s="61"/>
      <c r="I104" s="61"/>
      <c r="J104" s="61"/>
      <c r="K104" s="61"/>
      <c r="L104" s="130"/>
    </row>
    <row r="105" spans="2:12">
      <c r="B105" s="359"/>
      <c r="C105" s="357"/>
      <c r="D105" s="130">
        <v>5</v>
      </c>
      <c r="E105" s="130" t="s">
        <v>67</v>
      </c>
      <c r="F105" s="61" t="s">
        <v>123</v>
      </c>
      <c r="G105" s="61"/>
      <c r="H105" s="61"/>
      <c r="I105" s="61"/>
      <c r="J105" s="61"/>
      <c r="K105" s="61"/>
      <c r="L105" s="130"/>
    </row>
    <row r="106" spans="2:12">
      <c r="B106" s="359"/>
      <c r="C106" s="358"/>
      <c r="D106" s="130"/>
      <c r="E106" s="130"/>
      <c r="F106" s="61"/>
      <c r="G106" s="61"/>
      <c r="H106" s="61"/>
      <c r="I106" s="61"/>
      <c r="J106" s="61"/>
      <c r="K106" s="61"/>
      <c r="L106" s="130"/>
    </row>
    <row r="107" spans="2:12">
      <c r="B107" s="359" t="s">
        <v>1438</v>
      </c>
      <c r="C107" s="356" t="s">
        <v>1472</v>
      </c>
      <c r="D107" s="60">
        <v>1</v>
      </c>
      <c r="E107" s="148" t="s">
        <v>1602</v>
      </c>
      <c r="F107" s="61" t="s">
        <v>1579</v>
      </c>
      <c r="G107" s="61"/>
      <c r="H107" s="61"/>
      <c r="I107" s="61"/>
      <c r="J107" s="61"/>
      <c r="K107" s="61"/>
      <c r="L107" s="60"/>
    </row>
    <row r="108" spans="2:12">
      <c r="B108" s="359"/>
      <c r="C108" s="357"/>
      <c r="D108" s="60">
        <v>2</v>
      </c>
      <c r="E108" s="148" t="s">
        <v>1603</v>
      </c>
      <c r="F108" s="61" t="s">
        <v>87</v>
      </c>
      <c r="G108" s="61" t="s">
        <v>1601</v>
      </c>
      <c r="H108" s="61"/>
      <c r="I108" s="61"/>
      <c r="J108" s="61"/>
      <c r="K108" s="61"/>
      <c r="L108" s="60"/>
    </row>
    <row r="109" spans="2:12">
      <c r="B109" s="359"/>
      <c r="C109" s="357"/>
      <c r="D109" s="60">
        <v>3</v>
      </c>
      <c r="E109" s="60" t="s">
        <v>1585</v>
      </c>
      <c r="F109" s="61" t="s">
        <v>1565</v>
      </c>
      <c r="G109" s="61"/>
      <c r="H109" s="61"/>
      <c r="I109" s="61"/>
      <c r="J109" s="61"/>
      <c r="K109" s="61"/>
      <c r="L109" s="60"/>
    </row>
    <row r="110" spans="2:12">
      <c r="B110" s="359"/>
      <c r="C110" s="357"/>
      <c r="D110" s="60">
        <v>4</v>
      </c>
      <c r="E110" s="60" t="s">
        <v>142</v>
      </c>
      <c r="F110" s="61" t="s">
        <v>122</v>
      </c>
      <c r="G110" s="61">
        <v>60000</v>
      </c>
      <c r="H110" s="61"/>
      <c r="I110" s="61"/>
      <c r="J110" s="61"/>
      <c r="K110" s="61"/>
      <c r="L110" s="60"/>
    </row>
    <row r="111" spans="2:12">
      <c r="B111" s="359"/>
      <c r="C111" s="357"/>
      <c r="D111" s="60">
        <v>5</v>
      </c>
      <c r="E111" s="60" t="s">
        <v>67</v>
      </c>
      <c r="F111" s="61" t="s">
        <v>123</v>
      </c>
      <c r="G111" s="61"/>
      <c r="H111" s="61"/>
      <c r="I111" s="61"/>
      <c r="J111" s="61"/>
      <c r="K111" s="61"/>
      <c r="L111" s="60"/>
    </row>
    <row r="112" spans="2:12">
      <c r="B112" s="359"/>
      <c r="C112" s="358"/>
      <c r="D112" s="60"/>
      <c r="E112" s="60"/>
      <c r="F112" s="61"/>
      <c r="G112" s="61"/>
      <c r="H112" s="61"/>
      <c r="I112" s="61"/>
      <c r="J112" s="61"/>
      <c r="K112" s="61"/>
      <c r="L112" s="60"/>
    </row>
    <row r="113" spans="2:12">
      <c r="B113" s="359" t="s">
        <v>1439</v>
      </c>
      <c r="C113" s="356" t="s">
        <v>1472</v>
      </c>
      <c r="D113" s="130">
        <v>1</v>
      </c>
      <c r="E113" s="148" t="s">
        <v>1602</v>
      </c>
      <c r="F113" s="61" t="s">
        <v>1579</v>
      </c>
      <c r="G113" s="61"/>
      <c r="H113" s="61"/>
      <c r="I113" s="61"/>
      <c r="J113" s="61"/>
      <c r="K113" s="61"/>
      <c r="L113" s="130"/>
    </row>
    <row r="114" spans="2:12">
      <c r="B114" s="359"/>
      <c r="C114" s="357"/>
      <c r="D114" s="130">
        <v>2</v>
      </c>
      <c r="E114" s="148" t="s">
        <v>1603</v>
      </c>
      <c r="F114" s="61" t="s">
        <v>87</v>
      </c>
      <c r="G114" s="61" t="s">
        <v>1601</v>
      </c>
      <c r="H114" s="61"/>
      <c r="I114" s="61"/>
      <c r="J114" s="61"/>
      <c r="K114" s="61"/>
      <c r="L114" s="130"/>
    </row>
    <row r="115" spans="2:12">
      <c r="B115" s="359"/>
      <c r="C115" s="357"/>
      <c r="D115" s="130">
        <v>3</v>
      </c>
      <c r="E115" s="130" t="s">
        <v>1585</v>
      </c>
      <c r="F115" s="61" t="s">
        <v>1565</v>
      </c>
      <c r="G115" s="61"/>
      <c r="H115" s="61"/>
      <c r="I115" s="61"/>
      <c r="J115" s="61"/>
      <c r="K115" s="61"/>
      <c r="L115" s="130"/>
    </row>
    <row r="116" spans="2:12">
      <c r="B116" s="359"/>
      <c r="C116" s="357"/>
      <c r="D116" s="130">
        <v>4</v>
      </c>
      <c r="E116" s="130" t="s">
        <v>142</v>
      </c>
      <c r="F116" s="61" t="s">
        <v>122</v>
      </c>
      <c r="G116" s="61">
        <v>60000</v>
      </c>
      <c r="H116" s="61"/>
      <c r="I116" s="61"/>
      <c r="J116" s="61"/>
      <c r="K116" s="61"/>
      <c r="L116" s="130"/>
    </row>
    <row r="117" spans="2:12">
      <c r="B117" s="359"/>
      <c r="C117" s="357"/>
      <c r="D117" s="130">
        <v>5</v>
      </c>
      <c r="E117" s="130" t="s">
        <v>67</v>
      </c>
      <c r="F117" s="61" t="s">
        <v>123</v>
      </c>
      <c r="G117" s="61"/>
      <c r="H117" s="61"/>
      <c r="I117" s="61"/>
      <c r="J117" s="61"/>
      <c r="K117" s="61"/>
      <c r="L117" s="130"/>
    </row>
    <row r="118" spans="2:12">
      <c r="B118" s="359"/>
      <c r="C118" s="358"/>
      <c r="D118" s="130"/>
      <c r="E118" s="130"/>
      <c r="F118" s="61"/>
      <c r="G118" s="61"/>
      <c r="H118" s="61"/>
      <c r="I118" s="61"/>
      <c r="J118" s="61"/>
      <c r="K118" s="61"/>
      <c r="L118" s="130"/>
    </row>
    <row r="119" spans="2:12">
      <c r="B119" s="359" t="s">
        <v>1440</v>
      </c>
      <c r="C119" s="356" t="s">
        <v>1473</v>
      </c>
      <c r="D119" s="60">
        <v>1</v>
      </c>
      <c r="E119" s="148" t="s">
        <v>1602</v>
      </c>
      <c r="F119" s="61" t="s">
        <v>1579</v>
      </c>
      <c r="G119" s="61"/>
      <c r="H119" s="61"/>
      <c r="I119" s="61"/>
      <c r="J119" s="61"/>
      <c r="K119" s="61"/>
      <c r="L119" s="60"/>
    </row>
    <row r="120" spans="2:12">
      <c r="B120" s="359"/>
      <c r="C120" s="357"/>
      <c r="D120" s="60">
        <v>2</v>
      </c>
      <c r="E120" s="148" t="s">
        <v>1603</v>
      </c>
      <c r="F120" s="61" t="s">
        <v>87</v>
      </c>
      <c r="G120" s="61" t="s">
        <v>1601</v>
      </c>
      <c r="H120" s="61"/>
      <c r="I120" s="61"/>
      <c r="J120" s="61"/>
      <c r="K120" s="61"/>
      <c r="L120" s="60"/>
    </row>
    <row r="121" spans="2:12">
      <c r="B121" s="359"/>
      <c r="C121" s="357"/>
      <c r="D121" s="60">
        <v>3</v>
      </c>
      <c r="E121" s="60" t="s">
        <v>142</v>
      </c>
      <c r="F121" s="61" t="s">
        <v>122</v>
      </c>
      <c r="G121" s="61"/>
      <c r="H121" s="61"/>
      <c r="I121" s="61"/>
      <c r="J121" s="61"/>
      <c r="K121" s="61"/>
      <c r="L121" s="60"/>
    </row>
    <row r="122" spans="2:12">
      <c r="B122" s="359"/>
      <c r="C122" s="357"/>
      <c r="D122" s="60">
        <v>4</v>
      </c>
      <c r="E122" s="60"/>
      <c r="F122" s="61" t="s">
        <v>1106</v>
      </c>
      <c r="G122" s="61">
        <v>1000</v>
      </c>
      <c r="H122" s="61"/>
      <c r="I122" s="61"/>
      <c r="J122" s="61"/>
      <c r="K122" s="61"/>
      <c r="L122" s="60"/>
    </row>
    <row r="123" spans="2:12">
      <c r="B123" s="359"/>
      <c r="C123" s="357"/>
      <c r="D123" s="60">
        <v>5</v>
      </c>
      <c r="E123" s="60" t="s">
        <v>36</v>
      </c>
      <c r="F123" s="61" t="s">
        <v>126</v>
      </c>
      <c r="G123" s="61">
        <v>1</v>
      </c>
      <c r="H123" s="61">
        <v>1</v>
      </c>
      <c r="I123" s="61"/>
      <c r="J123" s="61"/>
      <c r="K123" s="61"/>
      <c r="L123" s="60"/>
    </row>
    <row r="124" spans="2:12">
      <c r="B124" s="359"/>
      <c r="C124" s="357"/>
      <c r="D124" s="60">
        <v>6</v>
      </c>
      <c r="E124" s="60"/>
      <c r="F124" s="61" t="s">
        <v>1106</v>
      </c>
      <c r="G124" s="61">
        <v>1000</v>
      </c>
      <c r="H124" s="61"/>
      <c r="I124" s="61"/>
      <c r="J124" s="61"/>
      <c r="K124" s="61"/>
      <c r="L124" s="60"/>
    </row>
    <row r="125" spans="2:12">
      <c r="B125" s="359"/>
      <c r="C125" s="357"/>
      <c r="D125" s="60">
        <v>7</v>
      </c>
      <c r="E125" s="60" t="s">
        <v>36</v>
      </c>
      <c r="F125" s="61" t="s">
        <v>126</v>
      </c>
      <c r="G125" s="61">
        <v>2</v>
      </c>
      <c r="H125" s="61">
        <v>2</v>
      </c>
      <c r="I125" s="61"/>
      <c r="J125" s="61"/>
      <c r="K125" s="61"/>
      <c r="L125" s="60"/>
    </row>
    <row r="126" spans="2:12">
      <c r="B126" s="359"/>
      <c r="C126" s="357"/>
      <c r="D126" s="60">
        <v>8</v>
      </c>
      <c r="E126" s="60" t="s">
        <v>319</v>
      </c>
      <c r="F126" s="61" t="s">
        <v>302</v>
      </c>
      <c r="G126" s="61" t="s">
        <v>320</v>
      </c>
      <c r="H126" s="61"/>
      <c r="I126" s="61"/>
      <c r="J126" s="61"/>
      <c r="K126" s="61"/>
      <c r="L126" s="60"/>
    </row>
    <row r="127" spans="2:12">
      <c r="B127" s="359"/>
      <c r="C127" s="357"/>
      <c r="D127" s="60">
        <v>9</v>
      </c>
      <c r="E127" s="60" t="s">
        <v>146</v>
      </c>
      <c r="F127" s="61" t="s">
        <v>123</v>
      </c>
      <c r="G127" s="61"/>
      <c r="H127" s="61"/>
      <c r="I127" s="61"/>
      <c r="J127" s="61"/>
      <c r="K127" s="61"/>
      <c r="L127" s="60"/>
    </row>
    <row r="128" spans="2:12">
      <c r="B128" s="359"/>
      <c r="C128" s="358"/>
      <c r="D128" s="60"/>
      <c r="E128" s="60"/>
      <c r="F128" s="61"/>
      <c r="G128" s="61"/>
      <c r="H128" s="61"/>
      <c r="I128" s="61"/>
      <c r="J128" s="61"/>
      <c r="K128" s="61"/>
      <c r="L128" s="60"/>
    </row>
    <row r="129" spans="2:12">
      <c r="B129" s="359" t="s">
        <v>1441</v>
      </c>
      <c r="C129" s="356" t="s">
        <v>1473</v>
      </c>
      <c r="D129" s="130">
        <v>1</v>
      </c>
      <c r="E129" s="148" t="s">
        <v>1602</v>
      </c>
      <c r="F129" s="61" t="s">
        <v>1579</v>
      </c>
      <c r="G129" s="61"/>
      <c r="H129" s="61"/>
      <c r="I129" s="61"/>
      <c r="J129" s="61"/>
      <c r="K129" s="61"/>
      <c r="L129" s="130"/>
    </row>
    <row r="130" spans="2:12">
      <c r="B130" s="359"/>
      <c r="C130" s="357"/>
      <c r="D130" s="130">
        <v>2</v>
      </c>
      <c r="E130" s="148" t="s">
        <v>1603</v>
      </c>
      <c r="F130" s="61" t="s">
        <v>87</v>
      </c>
      <c r="G130" s="61" t="s">
        <v>1601</v>
      </c>
      <c r="H130" s="61"/>
      <c r="I130" s="61"/>
      <c r="J130" s="61"/>
      <c r="K130" s="61"/>
      <c r="L130" s="130"/>
    </row>
    <row r="131" spans="2:12">
      <c r="B131" s="359"/>
      <c r="C131" s="357"/>
      <c r="D131" s="130">
        <v>3</v>
      </c>
      <c r="E131" s="130" t="s">
        <v>142</v>
      </c>
      <c r="F131" s="61" t="s">
        <v>122</v>
      </c>
      <c r="G131" s="61"/>
      <c r="H131" s="61"/>
      <c r="I131" s="61"/>
      <c r="J131" s="61"/>
      <c r="K131" s="61"/>
      <c r="L131" s="130"/>
    </row>
    <row r="132" spans="2:12">
      <c r="B132" s="359"/>
      <c r="C132" s="357"/>
      <c r="D132" s="130">
        <v>4</v>
      </c>
      <c r="E132" s="130"/>
      <c r="F132" s="61" t="s">
        <v>125</v>
      </c>
      <c r="G132" s="61">
        <v>1000</v>
      </c>
      <c r="H132" s="61"/>
      <c r="I132" s="61"/>
      <c r="J132" s="61"/>
      <c r="K132" s="61"/>
      <c r="L132" s="130"/>
    </row>
    <row r="133" spans="2:12">
      <c r="B133" s="359"/>
      <c r="C133" s="357"/>
      <c r="D133" s="130">
        <v>5</v>
      </c>
      <c r="E133" s="130" t="s">
        <v>36</v>
      </c>
      <c r="F133" s="61" t="s">
        <v>126</v>
      </c>
      <c r="G133" s="61">
        <v>1</v>
      </c>
      <c r="H133" s="61">
        <v>1</v>
      </c>
      <c r="I133" s="61"/>
      <c r="J133" s="61"/>
      <c r="K133" s="61"/>
      <c r="L133" s="130"/>
    </row>
    <row r="134" spans="2:12">
      <c r="B134" s="359"/>
      <c r="C134" s="357"/>
      <c r="D134" s="130">
        <v>6</v>
      </c>
      <c r="E134" s="130"/>
      <c r="F134" s="61" t="s">
        <v>125</v>
      </c>
      <c r="G134" s="61">
        <v>1000</v>
      </c>
      <c r="H134" s="61"/>
      <c r="I134" s="61"/>
      <c r="J134" s="61"/>
      <c r="K134" s="61"/>
      <c r="L134" s="130"/>
    </row>
    <row r="135" spans="2:12">
      <c r="B135" s="359"/>
      <c r="C135" s="357"/>
      <c r="D135" s="130">
        <v>7</v>
      </c>
      <c r="E135" s="130" t="s">
        <v>36</v>
      </c>
      <c r="F135" s="61" t="s">
        <v>126</v>
      </c>
      <c r="G135" s="61">
        <v>2</v>
      </c>
      <c r="H135" s="61">
        <v>2</v>
      </c>
      <c r="I135" s="61"/>
      <c r="J135" s="61"/>
      <c r="K135" s="61"/>
      <c r="L135" s="130"/>
    </row>
    <row r="136" spans="2:12">
      <c r="B136" s="359"/>
      <c r="C136" s="357"/>
      <c r="D136" s="130">
        <v>8</v>
      </c>
      <c r="E136" s="130" t="s">
        <v>319</v>
      </c>
      <c r="F136" s="61" t="s">
        <v>87</v>
      </c>
      <c r="G136" s="61" t="s">
        <v>320</v>
      </c>
      <c r="H136" s="61"/>
      <c r="I136" s="61"/>
      <c r="J136" s="61"/>
      <c r="K136" s="61"/>
      <c r="L136" s="130"/>
    </row>
    <row r="137" spans="2:12">
      <c r="B137" s="359"/>
      <c r="C137" s="357"/>
      <c r="D137" s="130">
        <v>9</v>
      </c>
      <c r="E137" s="130" t="s">
        <v>146</v>
      </c>
      <c r="F137" s="61" t="s">
        <v>123</v>
      </c>
      <c r="G137" s="61"/>
      <c r="H137" s="61"/>
      <c r="I137" s="61"/>
      <c r="J137" s="61"/>
      <c r="K137" s="61"/>
      <c r="L137" s="130"/>
    </row>
    <row r="138" spans="2:12">
      <c r="B138" s="359"/>
      <c r="C138" s="358"/>
      <c r="D138" s="130"/>
      <c r="E138" s="130"/>
      <c r="F138" s="61"/>
      <c r="G138" s="61"/>
      <c r="H138" s="61"/>
      <c r="I138" s="61"/>
      <c r="J138" s="61"/>
      <c r="K138" s="61"/>
      <c r="L138" s="130"/>
    </row>
    <row r="139" spans="2:12">
      <c r="B139" s="359" t="s">
        <v>1442</v>
      </c>
      <c r="C139" s="356" t="s">
        <v>1473</v>
      </c>
      <c r="D139" s="60">
        <v>1</v>
      </c>
      <c r="E139" s="148" t="s">
        <v>1602</v>
      </c>
      <c r="F139" s="61" t="s">
        <v>1579</v>
      </c>
      <c r="G139" s="61"/>
      <c r="H139" s="61"/>
      <c r="I139" s="61"/>
      <c r="J139" s="61"/>
      <c r="K139" s="61"/>
      <c r="L139" s="60"/>
    </row>
    <row r="140" spans="2:12">
      <c r="B140" s="359"/>
      <c r="C140" s="357"/>
      <c r="D140" s="60">
        <v>2</v>
      </c>
      <c r="E140" s="148" t="s">
        <v>1603</v>
      </c>
      <c r="F140" s="61" t="s">
        <v>87</v>
      </c>
      <c r="G140" s="61" t="s">
        <v>1601</v>
      </c>
      <c r="H140" s="61"/>
      <c r="I140" s="61"/>
      <c r="J140" s="61"/>
      <c r="K140" s="61"/>
      <c r="L140" s="60"/>
    </row>
    <row r="141" spans="2:12">
      <c r="B141" s="359"/>
      <c r="C141" s="357"/>
      <c r="D141" s="60">
        <v>3</v>
      </c>
      <c r="E141" s="60" t="s">
        <v>142</v>
      </c>
      <c r="F141" s="61" t="s">
        <v>122</v>
      </c>
      <c r="G141" s="61">
        <v>60000</v>
      </c>
      <c r="H141" s="61"/>
      <c r="I141" s="61"/>
      <c r="J141" s="61"/>
      <c r="K141" s="61"/>
      <c r="L141" s="60"/>
    </row>
    <row r="142" spans="2:12">
      <c r="B142" s="359"/>
      <c r="C142" s="357"/>
      <c r="D142" s="60">
        <v>4</v>
      </c>
      <c r="E142" s="60"/>
      <c r="F142" s="61" t="s">
        <v>1106</v>
      </c>
      <c r="G142" s="61">
        <v>1000</v>
      </c>
      <c r="H142" s="61"/>
      <c r="I142" s="61"/>
      <c r="J142" s="61"/>
      <c r="K142" s="61"/>
      <c r="L142" s="60"/>
    </row>
    <row r="143" spans="2:12">
      <c r="B143" s="359"/>
      <c r="C143" s="357"/>
      <c r="D143" s="60">
        <v>5</v>
      </c>
      <c r="E143" s="60"/>
      <c r="F143" s="61" t="s">
        <v>1107</v>
      </c>
      <c r="G143" s="61" t="s">
        <v>1108</v>
      </c>
      <c r="H143" s="61" t="s">
        <v>141</v>
      </c>
      <c r="I143" s="61"/>
      <c r="J143" s="61"/>
      <c r="K143" s="61"/>
      <c r="L143" s="60"/>
    </row>
    <row r="144" spans="2:12">
      <c r="B144" s="359"/>
      <c r="C144" s="357"/>
      <c r="D144" s="60">
        <v>6</v>
      </c>
      <c r="E144" s="60" t="s">
        <v>36</v>
      </c>
      <c r="F144" s="61" t="s">
        <v>126</v>
      </c>
      <c r="G144" s="61">
        <v>1</v>
      </c>
      <c r="H144" s="61" t="s">
        <v>1108</v>
      </c>
      <c r="I144" s="61"/>
      <c r="J144" s="61"/>
      <c r="K144" s="61"/>
      <c r="L144" s="60"/>
    </row>
    <row r="145" spans="2:12">
      <c r="B145" s="359"/>
      <c r="C145" s="357"/>
      <c r="D145" s="60">
        <v>7</v>
      </c>
      <c r="E145" s="60"/>
      <c r="F145" s="61" t="s">
        <v>1109</v>
      </c>
      <c r="G145" s="61" t="s">
        <v>1108</v>
      </c>
      <c r="H145" s="61">
        <v>1</v>
      </c>
      <c r="I145" s="61"/>
      <c r="J145" s="61"/>
      <c r="K145" s="61"/>
      <c r="L145" s="60"/>
    </row>
    <row r="146" spans="2:12">
      <c r="B146" s="359"/>
      <c r="C146" s="357"/>
      <c r="D146" s="60">
        <v>8</v>
      </c>
      <c r="E146" s="60"/>
      <c r="F146" s="61" t="s">
        <v>1106</v>
      </c>
      <c r="G146" s="61">
        <v>900</v>
      </c>
      <c r="H146" s="61"/>
      <c r="I146" s="61"/>
      <c r="J146" s="61"/>
      <c r="K146" s="61"/>
      <c r="L146" s="60"/>
    </row>
    <row r="147" spans="2:12">
      <c r="B147" s="359"/>
      <c r="C147" s="357"/>
      <c r="D147" s="60">
        <v>9</v>
      </c>
      <c r="E147" s="60"/>
      <c r="F147" s="61" t="s">
        <v>1110</v>
      </c>
      <c r="G147" s="61">
        <v>6</v>
      </c>
      <c r="H147" s="61" t="s">
        <v>1108</v>
      </c>
      <c r="I147" s="61" t="s">
        <v>1111</v>
      </c>
      <c r="J147" s="61"/>
      <c r="K147" s="61"/>
      <c r="L147" s="60"/>
    </row>
    <row r="148" spans="2:12">
      <c r="B148" s="359"/>
      <c r="C148" s="357"/>
      <c r="D148" s="60">
        <v>10</v>
      </c>
      <c r="E148" s="60" t="s">
        <v>67</v>
      </c>
      <c r="F148" s="61" t="s">
        <v>123</v>
      </c>
      <c r="G148" s="61"/>
      <c r="H148" s="61"/>
      <c r="I148" s="61"/>
      <c r="J148" s="61"/>
      <c r="K148" s="61"/>
      <c r="L148" s="60"/>
    </row>
    <row r="149" spans="2:12">
      <c r="B149" s="359"/>
      <c r="C149" s="358"/>
      <c r="D149" s="60"/>
      <c r="E149" s="60"/>
      <c r="F149" s="61"/>
      <c r="G149" s="61"/>
      <c r="H149" s="61"/>
      <c r="I149" s="61"/>
      <c r="J149" s="61"/>
      <c r="K149" s="61"/>
      <c r="L149" s="60"/>
    </row>
    <row r="150" spans="2:12">
      <c r="B150" s="359" t="s">
        <v>1443</v>
      </c>
      <c r="C150" s="356" t="s">
        <v>1473</v>
      </c>
      <c r="D150" s="130">
        <v>1</v>
      </c>
      <c r="E150" s="148" t="s">
        <v>1602</v>
      </c>
      <c r="F150" s="61" t="s">
        <v>1579</v>
      </c>
      <c r="G150" s="61"/>
      <c r="H150" s="61"/>
      <c r="I150" s="61"/>
      <c r="J150" s="61"/>
      <c r="K150" s="61"/>
      <c r="L150" s="130"/>
    </row>
    <row r="151" spans="2:12">
      <c r="B151" s="359"/>
      <c r="C151" s="357"/>
      <c r="D151" s="130">
        <v>2</v>
      </c>
      <c r="E151" s="148" t="s">
        <v>1603</v>
      </c>
      <c r="F151" s="61" t="s">
        <v>87</v>
      </c>
      <c r="G151" s="61" t="s">
        <v>1601</v>
      </c>
      <c r="H151" s="61"/>
      <c r="I151" s="61"/>
      <c r="J151" s="61"/>
      <c r="K151" s="61"/>
      <c r="L151" s="130"/>
    </row>
    <row r="152" spans="2:12">
      <c r="B152" s="359"/>
      <c r="C152" s="357"/>
      <c r="D152" s="130">
        <v>3</v>
      </c>
      <c r="E152" s="130" t="s">
        <v>142</v>
      </c>
      <c r="F152" s="61" t="s">
        <v>122</v>
      </c>
      <c r="G152" s="61">
        <v>60000</v>
      </c>
      <c r="H152" s="61"/>
      <c r="I152" s="61"/>
      <c r="J152" s="61"/>
      <c r="K152" s="61"/>
      <c r="L152" s="130"/>
    </row>
    <row r="153" spans="2:12">
      <c r="B153" s="359"/>
      <c r="C153" s="357"/>
      <c r="D153" s="130">
        <v>4</v>
      </c>
      <c r="E153" s="130"/>
      <c r="F153" s="61" t="s">
        <v>125</v>
      </c>
      <c r="G153" s="61">
        <v>1000</v>
      </c>
      <c r="H153" s="61"/>
      <c r="I153" s="61"/>
      <c r="J153" s="61"/>
      <c r="K153" s="61"/>
      <c r="L153" s="130"/>
    </row>
    <row r="154" spans="2:12">
      <c r="B154" s="359"/>
      <c r="C154" s="357"/>
      <c r="D154" s="130">
        <v>5</v>
      </c>
      <c r="E154" s="130"/>
      <c r="F154" s="61" t="s">
        <v>130</v>
      </c>
      <c r="G154" s="61" t="s">
        <v>162</v>
      </c>
      <c r="H154" s="61" t="s">
        <v>141</v>
      </c>
      <c r="I154" s="61"/>
      <c r="J154" s="61"/>
      <c r="K154" s="61"/>
      <c r="L154" s="130"/>
    </row>
    <row r="155" spans="2:12">
      <c r="B155" s="359"/>
      <c r="C155" s="357"/>
      <c r="D155" s="130">
        <v>6</v>
      </c>
      <c r="E155" s="130" t="s">
        <v>36</v>
      </c>
      <c r="F155" s="61" t="s">
        <v>126</v>
      </c>
      <c r="G155" s="61">
        <v>1</v>
      </c>
      <c r="H155" s="61" t="s">
        <v>162</v>
      </c>
      <c r="I155" s="61"/>
      <c r="J155" s="61"/>
      <c r="K155" s="61"/>
      <c r="L155" s="130"/>
    </row>
    <row r="156" spans="2:12">
      <c r="B156" s="359"/>
      <c r="C156" s="357"/>
      <c r="D156" s="130">
        <v>7</v>
      </c>
      <c r="E156" s="130"/>
      <c r="F156" s="61" t="s">
        <v>131</v>
      </c>
      <c r="G156" s="61" t="s">
        <v>162</v>
      </c>
      <c r="H156" s="61">
        <v>1</v>
      </c>
      <c r="I156" s="61"/>
      <c r="J156" s="61"/>
      <c r="K156" s="61"/>
      <c r="L156" s="130"/>
    </row>
    <row r="157" spans="2:12">
      <c r="B157" s="359"/>
      <c r="C157" s="357"/>
      <c r="D157" s="130">
        <v>8</v>
      </c>
      <c r="E157" s="130"/>
      <c r="F157" s="61" t="s">
        <v>125</v>
      </c>
      <c r="G157" s="61">
        <v>900</v>
      </c>
      <c r="H157" s="61"/>
      <c r="I157" s="61"/>
      <c r="J157" s="61"/>
      <c r="K157" s="61"/>
      <c r="L157" s="130"/>
    </row>
    <row r="158" spans="2:12">
      <c r="B158" s="359"/>
      <c r="C158" s="357"/>
      <c r="D158" s="130">
        <v>9</v>
      </c>
      <c r="E158" s="130"/>
      <c r="F158" s="61" t="s">
        <v>135</v>
      </c>
      <c r="G158" s="61">
        <v>6</v>
      </c>
      <c r="H158" s="61" t="s">
        <v>162</v>
      </c>
      <c r="I158" s="61" t="s">
        <v>1111</v>
      </c>
      <c r="J158" s="61"/>
      <c r="K158" s="61"/>
      <c r="L158" s="130"/>
    </row>
    <row r="159" spans="2:12">
      <c r="B159" s="359"/>
      <c r="C159" s="357"/>
      <c r="D159" s="130">
        <v>10</v>
      </c>
      <c r="E159" s="130" t="s">
        <v>67</v>
      </c>
      <c r="F159" s="61" t="s">
        <v>123</v>
      </c>
      <c r="G159" s="61"/>
      <c r="H159" s="61"/>
      <c r="I159" s="61"/>
      <c r="J159" s="61"/>
      <c r="K159" s="61"/>
      <c r="L159" s="130"/>
    </row>
    <row r="160" spans="2:12">
      <c r="B160" s="359"/>
      <c r="C160" s="358"/>
      <c r="D160" s="130"/>
      <c r="E160" s="130"/>
      <c r="F160" s="61"/>
      <c r="G160" s="61"/>
      <c r="H160" s="61"/>
      <c r="I160" s="61"/>
      <c r="J160" s="61"/>
      <c r="K160" s="61"/>
      <c r="L160" s="130"/>
    </row>
    <row r="161" spans="6:11">
      <c r="F161" s="365" t="s">
        <v>72</v>
      </c>
      <c r="G161" s="365"/>
      <c r="H161" s="365"/>
      <c r="I161" s="365"/>
      <c r="J161" s="365"/>
      <c r="K161" s="365"/>
    </row>
  </sheetData>
  <mergeCells count="46">
    <mergeCell ref="B139:B149"/>
    <mergeCell ref="F161:K161"/>
    <mergeCell ref="B65:B70"/>
    <mergeCell ref="B71:B76"/>
    <mergeCell ref="B77:B85"/>
    <mergeCell ref="B95:B100"/>
    <mergeCell ref="B107:B112"/>
    <mergeCell ref="B119:B128"/>
    <mergeCell ref="B86:B94"/>
    <mergeCell ref="B101:B106"/>
    <mergeCell ref="B113:B118"/>
    <mergeCell ref="B129:B138"/>
    <mergeCell ref="B150:B160"/>
    <mergeCell ref="C86:C94"/>
    <mergeCell ref="C95:C100"/>
    <mergeCell ref="C101:C106"/>
    <mergeCell ref="B5:B6"/>
    <mergeCell ref="D5:E5"/>
    <mergeCell ref="F5:K5"/>
    <mergeCell ref="L5:L6"/>
    <mergeCell ref="B7:B12"/>
    <mergeCell ref="B57:B64"/>
    <mergeCell ref="B18:B26"/>
    <mergeCell ref="C5:C6"/>
    <mergeCell ref="C7:C12"/>
    <mergeCell ref="C13:C17"/>
    <mergeCell ref="C18:C26"/>
    <mergeCell ref="C27:C31"/>
    <mergeCell ref="C32:C40"/>
    <mergeCell ref="C41:C48"/>
    <mergeCell ref="C49:C56"/>
    <mergeCell ref="C57:C64"/>
    <mergeCell ref="B13:B17"/>
    <mergeCell ref="B27:B31"/>
    <mergeCell ref="B32:B40"/>
    <mergeCell ref="B41:B48"/>
    <mergeCell ref="B49:B56"/>
    <mergeCell ref="C65:C70"/>
    <mergeCell ref="C71:C76"/>
    <mergeCell ref="C77:C85"/>
    <mergeCell ref="C139:C149"/>
    <mergeCell ref="C150:C160"/>
    <mergeCell ref="C107:C112"/>
    <mergeCell ref="C113:C118"/>
    <mergeCell ref="C119:C128"/>
    <mergeCell ref="C129:C138"/>
  </mergeCells>
  <phoneticPr fontId="1"/>
  <pageMargins left="0.70866141732283472" right="0.70866141732283472" top="0.74803149606299213" bottom="0.74803149606299213" header="0.31496062992125984" footer="0.31496062992125984"/>
  <pageSetup paperSize="9" scale="58" orientation="landscape" r:id="rId1"/>
  <headerFooter>
    <oddHeader>&amp;Lメッセージ認証機能評価 単体機能評価仕様書
&amp;A&amp;R【CONFIDENTIAL】
T0100000015687</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2:L952"/>
  <sheetViews>
    <sheetView view="pageBreakPreview" zoomScaleNormal="100" zoomScaleSheetLayoutView="100" workbookViewId="0">
      <selection activeCell="F3" sqref="F3"/>
    </sheetView>
  </sheetViews>
  <sheetFormatPr defaultColWidth="9" defaultRowHeight="15.75"/>
  <cols>
    <col min="1" max="1" width="4" style="5" customWidth="1"/>
    <col min="2" max="3" width="9.28515625" style="5" customWidth="1"/>
    <col min="4" max="4" width="8.28515625" style="5" bestFit="1" customWidth="1"/>
    <col min="5" max="5" width="52.7109375" style="5" bestFit="1" customWidth="1"/>
    <col min="6" max="6" width="25" style="66" bestFit="1" customWidth="1"/>
    <col min="7" max="7" width="77.28515625" style="66" bestFit="1" customWidth="1"/>
    <col min="8" max="8" width="16" style="66" bestFit="1" customWidth="1"/>
    <col min="9" max="11" width="16" style="66" customWidth="1"/>
    <col min="12" max="12" width="5.42578125" style="5" bestFit="1" customWidth="1"/>
    <col min="13" max="16384" width="9" style="5"/>
  </cols>
  <sheetData>
    <row r="2" spans="1:12" ht="16.5">
      <c r="A2" s="12" t="s">
        <v>159</v>
      </c>
    </row>
    <row r="3" spans="1:12" ht="16.5">
      <c r="A3" s="12"/>
      <c r="B3" s="5" t="s">
        <v>1583</v>
      </c>
    </row>
    <row r="5" spans="1:12">
      <c r="B5" s="362" t="s">
        <v>33</v>
      </c>
      <c r="C5" s="360" t="s">
        <v>1471</v>
      </c>
      <c r="D5" s="371" t="s">
        <v>34</v>
      </c>
      <c r="E5" s="372"/>
      <c r="F5" s="364" t="s">
        <v>69</v>
      </c>
      <c r="G5" s="364"/>
      <c r="H5" s="364"/>
      <c r="I5" s="364"/>
      <c r="J5" s="364"/>
      <c r="K5" s="364"/>
      <c r="L5" s="363" t="s">
        <v>5</v>
      </c>
    </row>
    <row r="6" spans="1:12">
      <c r="B6" s="363"/>
      <c r="C6" s="361"/>
      <c r="D6" s="64" t="s">
        <v>57</v>
      </c>
      <c r="E6" s="64" t="s">
        <v>35</v>
      </c>
      <c r="F6" s="65" t="s">
        <v>75</v>
      </c>
      <c r="G6" s="65" t="s">
        <v>76</v>
      </c>
      <c r="H6" s="65" t="s">
        <v>77</v>
      </c>
      <c r="I6" s="65" t="s">
        <v>78</v>
      </c>
      <c r="J6" s="65" t="s">
        <v>79</v>
      </c>
      <c r="K6" s="65" t="s">
        <v>84</v>
      </c>
      <c r="L6" s="363"/>
    </row>
    <row r="7" spans="1:12">
      <c r="B7" s="359" t="s">
        <v>1255</v>
      </c>
      <c r="C7" s="356" t="s">
        <v>1474</v>
      </c>
      <c r="D7" s="60">
        <v>1</v>
      </c>
      <c r="E7" s="60" t="s">
        <v>1608</v>
      </c>
      <c r="F7" s="61" t="s">
        <v>87</v>
      </c>
      <c r="G7" s="61" t="s">
        <v>1609</v>
      </c>
      <c r="H7" s="61"/>
      <c r="I7" s="61"/>
      <c r="J7" s="61"/>
      <c r="K7" s="61"/>
      <c r="L7" s="60"/>
    </row>
    <row r="8" spans="1:12">
      <c r="B8" s="359"/>
      <c r="C8" s="357"/>
      <c r="D8" s="60">
        <v>2</v>
      </c>
      <c r="E8" s="60" t="s">
        <v>142</v>
      </c>
      <c r="F8" s="61" t="s">
        <v>122</v>
      </c>
      <c r="G8" s="61"/>
      <c r="H8" s="61"/>
      <c r="I8" s="61"/>
      <c r="J8" s="61"/>
      <c r="K8" s="61"/>
      <c r="L8" s="60"/>
    </row>
    <row r="9" spans="1:12">
      <c r="B9" s="359"/>
      <c r="C9" s="357"/>
      <c r="D9" s="180">
        <v>3</v>
      </c>
      <c r="E9" s="60" t="s">
        <v>36</v>
      </c>
      <c r="F9" s="61" t="s">
        <v>126</v>
      </c>
      <c r="G9" s="61">
        <v>1</v>
      </c>
      <c r="H9" s="61">
        <v>6</v>
      </c>
      <c r="I9" s="61"/>
      <c r="J9" s="61"/>
      <c r="K9" s="61"/>
      <c r="L9" s="60"/>
    </row>
    <row r="10" spans="1:12">
      <c r="B10" s="359"/>
      <c r="C10" s="357"/>
      <c r="D10" s="180">
        <v>4</v>
      </c>
      <c r="E10" s="60"/>
      <c r="F10" s="61" t="s">
        <v>125</v>
      </c>
      <c r="G10" s="61">
        <v>100</v>
      </c>
      <c r="H10" s="61"/>
      <c r="I10" s="61"/>
      <c r="J10" s="61"/>
      <c r="K10" s="61"/>
      <c r="L10" s="60"/>
    </row>
    <row r="11" spans="1:12">
      <c r="B11" s="359"/>
      <c r="C11" s="357"/>
      <c r="D11" s="180">
        <v>5</v>
      </c>
      <c r="E11" s="60" t="s">
        <v>166</v>
      </c>
      <c r="F11" s="61" t="s">
        <v>127</v>
      </c>
      <c r="G11" s="61">
        <v>1</v>
      </c>
      <c r="H11" s="61">
        <v>6</v>
      </c>
      <c r="I11" s="61">
        <v>1</v>
      </c>
      <c r="J11" s="61"/>
      <c r="K11" s="61"/>
      <c r="L11" s="60"/>
    </row>
    <row r="12" spans="1:12">
      <c r="B12" s="359"/>
      <c r="C12" s="357"/>
      <c r="D12" s="180">
        <v>6</v>
      </c>
      <c r="E12" s="121"/>
      <c r="F12" s="61" t="s">
        <v>1307</v>
      </c>
      <c r="G12" s="61">
        <v>10</v>
      </c>
      <c r="H12" s="61"/>
      <c r="I12" s="61"/>
      <c r="J12" s="61"/>
      <c r="K12" s="61"/>
      <c r="L12" s="121"/>
    </row>
    <row r="13" spans="1:12">
      <c r="B13" s="359"/>
      <c r="C13" s="357"/>
      <c r="D13" s="180">
        <v>7</v>
      </c>
      <c r="E13" s="180" t="s">
        <v>1524</v>
      </c>
      <c r="F13" s="61" t="s">
        <v>81</v>
      </c>
      <c r="G13" s="61" t="s">
        <v>1517</v>
      </c>
      <c r="H13" s="61"/>
      <c r="I13" s="61"/>
      <c r="J13" s="61"/>
      <c r="K13" s="61"/>
      <c r="L13" s="180"/>
    </row>
    <row r="14" spans="1:12">
      <c r="B14" s="359"/>
      <c r="C14" s="357"/>
      <c r="D14" s="180">
        <v>8</v>
      </c>
      <c r="E14" s="60" t="s">
        <v>163</v>
      </c>
      <c r="F14" s="61" t="s">
        <v>164</v>
      </c>
      <c r="G14" s="61">
        <v>1</v>
      </c>
      <c r="H14" s="61">
        <v>4</v>
      </c>
      <c r="I14" s="61" t="s">
        <v>165</v>
      </c>
      <c r="J14" s="61"/>
      <c r="K14" s="61"/>
      <c r="L14" s="60"/>
    </row>
    <row r="15" spans="1:12">
      <c r="B15" s="359"/>
      <c r="C15" s="357"/>
      <c r="D15" s="180">
        <v>9</v>
      </c>
      <c r="E15" s="60" t="s">
        <v>166</v>
      </c>
      <c r="F15" s="61" t="s">
        <v>127</v>
      </c>
      <c r="G15" s="61">
        <v>1</v>
      </c>
      <c r="H15" s="61">
        <v>6</v>
      </c>
      <c r="I15" s="61">
        <v>3</v>
      </c>
      <c r="J15" s="61"/>
      <c r="K15" s="61"/>
      <c r="L15" s="60"/>
    </row>
    <row r="16" spans="1:12">
      <c r="B16" s="359"/>
      <c r="C16" s="357"/>
      <c r="D16" s="180">
        <v>10</v>
      </c>
      <c r="E16" s="121" t="s">
        <v>194</v>
      </c>
      <c r="F16" s="61" t="s">
        <v>125</v>
      </c>
      <c r="G16" s="61" t="s">
        <v>1546</v>
      </c>
      <c r="H16" s="61"/>
      <c r="I16" s="61"/>
      <c r="J16" s="61"/>
      <c r="K16" s="61"/>
      <c r="L16" s="121"/>
    </row>
    <row r="17" spans="2:12">
      <c r="B17" s="359"/>
      <c r="C17" s="357"/>
      <c r="D17" s="180">
        <v>11</v>
      </c>
      <c r="E17" s="180" t="s">
        <v>1525</v>
      </c>
      <c r="F17" s="61" t="s">
        <v>81</v>
      </c>
      <c r="G17" s="61" t="s">
        <v>196</v>
      </c>
      <c r="H17" s="61" t="s">
        <v>197</v>
      </c>
      <c r="I17" s="61" t="s">
        <v>197</v>
      </c>
      <c r="J17" s="61"/>
      <c r="K17" s="61"/>
      <c r="L17" s="180"/>
    </row>
    <row r="18" spans="2:12">
      <c r="B18" s="359"/>
      <c r="C18" s="357"/>
      <c r="D18" s="180">
        <v>12</v>
      </c>
      <c r="E18" s="180"/>
      <c r="F18" s="61" t="s">
        <v>81</v>
      </c>
      <c r="G18" s="61" t="s">
        <v>198</v>
      </c>
      <c r="H18" s="61" t="s">
        <v>199</v>
      </c>
      <c r="I18" s="61" t="s">
        <v>197</v>
      </c>
      <c r="J18" s="61" t="s">
        <v>197</v>
      </c>
      <c r="K18" s="61">
        <v>1</v>
      </c>
      <c r="L18" s="180"/>
    </row>
    <row r="19" spans="2:12">
      <c r="B19" s="359"/>
      <c r="C19" s="357"/>
      <c r="D19" s="180">
        <v>13</v>
      </c>
      <c r="E19" s="60" t="s">
        <v>146</v>
      </c>
      <c r="F19" s="61" t="s">
        <v>123</v>
      </c>
      <c r="G19" s="61"/>
      <c r="H19" s="61"/>
      <c r="I19" s="61"/>
      <c r="J19" s="61"/>
      <c r="K19" s="61"/>
      <c r="L19" s="60"/>
    </row>
    <row r="20" spans="2:12">
      <c r="B20" s="359"/>
      <c r="C20" s="358"/>
      <c r="D20" s="60"/>
      <c r="E20" s="60"/>
      <c r="F20" s="61"/>
      <c r="G20" s="61"/>
      <c r="H20" s="61"/>
      <c r="I20" s="61"/>
      <c r="J20" s="61"/>
      <c r="K20" s="61"/>
      <c r="L20" s="60"/>
    </row>
    <row r="21" spans="2:12">
      <c r="B21" s="367" t="s">
        <v>1256</v>
      </c>
      <c r="C21" s="356" t="s">
        <v>1474</v>
      </c>
      <c r="D21" s="120">
        <v>1</v>
      </c>
      <c r="E21" s="148" t="s">
        <v>1608</v>
      </c>
      <c r="F21" s="61" t="s">
        <v>87</v>
      </c>
      <c r="G21" s="61" t="s">
        <v>1609</v>
      </c>
      <c r="H21" s="61"/>
      <c r="I21" s="61"/>
      <c r="J21" s="61"/>
      <c r="K21" s="61"/>
      <c r="L21" s="120"/>
    </row>
    <row r="22" spans="2:12">
      <c r="B22" s="368"/>
      <c r="C22" s="357"/>
      <c r="D22" s="120">
        <v>2</v>
      </c>
      <c r="E22" s="120" t="s">
        <v>142</v>
      </c>
      <c r="F22" s="61" t="s">
        <v>122</v>
      </c>
      <c r="G22" s="61"/>
      <c r="H22" s="61"/>
      <c r="I22" s="61"/>
      <c r="J22" s="61"/>
      <c r="K22" s="61"/>
      <c r="L22" s="120"/>
    </row>
    <row r="23" spans="2:12">
      <c r="B23" s="368"/>
      <c r="C23" s="357"/>
      <c r="D23" s="120">
        <v>3</v>
      </c>
      <c r="E23" s="120" t="s">
        <v>36</v>
      </c>
      <c r="F23" s="61" t="s">
        <v>126</v>
      </c>
      <c r="G23" s="61">
        <v>1</v>
      </c>
      <c r="H23" s="61">
        <v>6</v>
      </c>
      <c r="I23" s="61"/>
      <c r="J23" s="61"/>
      <c r="K23" s="61"/>
      <c r="L23" s="120"/>
    </row>
    <row r="24" spans="2:12">
      <c r="B24" s="368"/>
      <c r="C24" s="357"/>
      <c r="D24" s="120">
        <v>4</v>
      </c>
      <c r="E24" s="120"/>
      <c r="F24" s="61" t="s">
        <v>125</v>
      </c>
      <c r="G24" s="61">
        <v>100</v>
      </c>
      <c r="H24" s="61"/>
      <c r="I24" s="61"/>
      <c r="J24" s="61"/>
      <c r="K24" s="61"/>
      <c r="L24" s="120"/>
    </row>
    <row r="25" spans="2:12">
      <c r="B25" s="368"/>
      <c r="C25" s="357"/>
      <c r="D25" s="120">
        <v>5</v>
      </c>
      <c r="E25" s="120" t="s">
        <v>166</v>
      </c>
      <c r="F25" s="61" t="s">
        <v>127</v>
      </c>
      <c r="G25" s="61">
        <v>1</v>
      </c>
      <c r="H25" s="61">
        <v>6</v>
      </c>
      <c r="I25" s="61">
        <v>1</v>
      </c>
      <c r="J25" s="61"/>
      <c r="K25" s="61"/>
      <c r="L25" s="120"/>
    </row>
    <row r="26" spans="2:12">
      <c r="B26" s="368"/>
      <c r="C26" s="357"/>
      <c r="D26" s="120">
        <v>6</v>
      </c>
      <c r="E26" s="120"/>
      <c r="F26" s="61" t="s">
        <v>125</v>
      </c>
      <c r="G26" s="61">
        <v>100</v>
      </c>
      <c r="H26" s="61"/>
      <c r="I26" s="61"/>
      <c r="J26" s="61"/>
      <c r="K26" s="61"/>
      <c r="L26" s="120"/>
    </row>
    <row r="27" spans="2:12">
      <c r="B27" s="368"/>
      <c r="C27" s="357"/>
      <c r="D27" s="120">
        <v>7</v>
      </c>
      <c r="E27" s="120" t="s">
        <v>163</v>
      </c>
      <c r="F27" s="61" t="s">
        <v>164</v>
      </c>
      <c r="G27" s="61">
        <v>1</v>
      </c>
      <c r="H27" s="61">
        <v>4</v>
      </c>
      <c r="I27" s="61" t="s">
        <v>165</v>
      </c>
      <c r="J27" s="61"/>
      <c r="K27" s="61"/>
      <c r="L27" s="120"/>
    </row>
    <row r="28" spans="2:12">
      <c r="B28" s="368"/>
      <c r="C28" s="357"/>
      <c r="D28" s="120">
        <v>8</v>
      </c>
      <c r="E28" s="120" t="s">
        <v>166</v>
      </c>
      <c r="F28" s="61" t="s">
        <v>127</v>
      </c>
      <c r="G28" s="61">
        <v>1</v>
      </c>
      <c r="H28" s="61">
        <v>6</v>
      </c>
      <c r="I28" s="61">
        <v>3</v>
      </c>
      <c r="J28" s="61"/>
      <c r="K28" s="61"/>
      <c r="L28" s="120"/>
    </row>
    <row r="29" spans="2:12">
      <c r="B29" s="368"/>
      <c r="C29" s="357"/>
      <c r="D29" s="120">
        <v>9</v>
      </c>
      <c r="E29" s="120" t="s">
        <v>318</v>
      </c>
      <c r="F29" s="61" t="s">
        <v>125</v>
      </c>
      <c r="G29" s="61">
        <v>5000</v>
      </c>
      <c r="H29" s="61"/>
      <c r="I29" s="61"/>
      <c r="J29" s="61"/>
      <c r="K29" s="61"/>
      <c r="L29" s="120"/>
    </row>
    <row r="30" spans="2:12">
      <c r="B30" s="368"/>
      <c r="C30" s="357"/>
      <c r="D30" s="120">
        <v>10</v>
      </c>
      <c r="E30" s="120" t="s">
        <v>146</v>
      </c>
      <c r="F30" s="61" t="s">
        <v>123</v>
      </c>
      <c r="G30" s="61"/>
      <c r="H30" s="61"/>
      <c r="I30" s="61"/>
      <c r="J30" s="61"/>
      <c r="K30" s="61"/>
      <c r="L30" s="120"/>
    </row>
    <row r="31" spans="2:12">
      <c r="B31" s="369"/>
      <c r="C31" s="358"/>
      <c r="D31" s="120"/>
      <c r="E31" s="120"/>
      <c r="F31" s="61"/>
      <c r="G31" s="61"/>
      <c r="H31" s="61"/>
      <c r="I31" s="61"/>
      <c r="J31" s="61"/>
      <c r="K31" s="61"/>
      <c r="L31" s="120"/>
    </row>
    <row r="32" spans="2:12">
      <c r="B32" s="359" t="s">
        <v>1258</v>
      </c>
      <c r="C32" s="356" t="s">
        <v>1474</v>
      </c>
      <c r="D32" s="120">
        <v>1</v>
      </c>
      <c r="E32" s="148" t="s">
        <v>1608</v>
      </c>
      <c r="F32" s="61" t="s">
        <v>87</v>
      </c>
      <c r="G32" s="61" t="s">
        <v>1609</v>
      </c>
      <c r="H32" s="61"/>
      <c r="I32" s="61"/>
      <c r="J32" s="61"/>
      <c r="K32" s="61"/>
      <c r="L32" s="120"/>
    </row>
    <row r="33" spans="2:12">
      <c r="B33" s="359"/>
      <c r="C33" s="357"/>
      <c r="D33" s="120">
        <v>2</v>
      </c>
      <c r="E33" s="120" t="s">
        <v>142</v>
      </c>
      <c r="F33" s="61" t="s">
        <v>122</v>
      </c>
      <c r="G33" s="61"/>
      <c r="H33" s="61"/>
      <c r="I33" s="61"/>
      <c r="J33" s="61"/>
      <c r="K33" s="61"/>
      <c r="L33" s="120"/>
    </row>
    <row r="34" spans="2:12">
      <c r="B34" s="359"/>
      <c r="C34" s="357"/>
      <c r="D34" s="180">
        <v>3</v>
      </c>
      <c r="E34" s="120" t="s">
        <v>36</v>
      </c>
      <c r="F34" s="61" t="s">
        <v>126</v>
      </c>
      <c r="G34" s="61">
        <v>1</v>
      </c>
      <c r="H34" s="61">
        <v>6</v>
      </c>
      <c r="I34" s="61"/>
      <c r="J34" s="61"/>
      <c r="K34" s="61"/>
      <c r="L34" s="120"/>
    </row>
    <row r="35" spans="2:12">
      <c r="B35" s="359"/>
      <c r="C35" s="357"/>
      <c r="D35" s="180">
        <v>4</v>
      </c>
      <c r="E35" s="120"/>
      <c r="F35" s="61" t="s">
        <v>125</v>
      </c>
      <c r="G35" s="61">
        <v>100</v>
      </c>
      <c r="H35" s="61"/>
      <c r="I35" s="61"/>
      <c r="J35" s="61"/>
      <c r="K35" s="61"/>
      <c r="L35" s="120"/>
    </row>
    <row r="36" spans="2:12">
      <c r="B36" s="359"/>
      <c r="C36" s="357"/>
      <c r="D36" s="180">
        <v>5</v>
      </c>
      <c r="E36" s="120" t="s">
        <v>166</v>
      </c>
      <c r="F36" s="61" t="s">
        <v>127</v>
      </c>
      <c r="G36" s="61">
        <v>1</v>
      </c>
      <c r="H36" s="61">
        <v>6</v>
      </c>
      <c r="I36" s="61">
        <v>1</v>
      </c>
      <c r="J36" s="61"/>
      <c r="K36" s="61"/>
      <c r="L36" s="120"/>
    </row>
    <row r="37" spans="2:12">
      <c r="B37" s="359"/>
      <c r="C37" s="357"/>
      <c r="D37" s="180">
        <v>6</v>
      </c>
      <c r="E37" s="120"/>
      <c r="F37" s="61" t="s">
        <v>1307</v>
      </c>
      <c r="G37" s="61">
        <v>100</v>
      </c>
      <c r="H37" s="61"/>
      <c r="I37" s="61"/>
      <c r="J37" s="61"/>
      <c r="K37" s="61"/>
      <c r="L37" s="120"/>
    </row>
    <row r="38" spans="2:12">
      <c r="B38" s="359"/>
      <c r="C38" s="357"/>
      <c r="D38" s="180">
        <v>7</v>
      </c>
      <c r="E38" s="180" t="s">
        <v>1524</v>
      </c>
      <c r="F38" s="61" t="s">
        <v>81</v>
      </c>
      <c r="G38" s="61" t="s">
        <v>1517</v>
      </c>
      <c r="H38" s="61"/>
      <c r="I38" s="61"/>
      <c r="J38" s="61"/>
      <c r="K38" s="61"/>
      <c r="L38" s="180"/>
    </row>
    <row r="39" spans="2:12">
      <c r="B39" s="359"/>
      <c r="C39" s="357"/>
      <c r="D39" s="180">
        <v>8</v>
      </c>
      <c r="E39" s="120" t="s">
        <v>163</v>
      </c>
      <c r="F39" s="61" t="s">
        <v>164</v>
      </c>
      <c r="G39" s="61">
        <v>1</v>
      </c>
      <c r="H39" s="61">
        <v>4</v>
      </c>
      <c r="I39" s="61" t="s">
        <v>165</v>
      </c>
      <c r="J39" s="61"/>
      <c r="K39" s="61"/>
      <c r="L39" s="120"/>
    </row>
    <row r="40" spans="2:12">
      <c r="B40" s="359"/>
      <c r="C40" s="357"/>
      <c r="D40" s="180">
        <v>9</v>
      </c>
      <c r="E40" s="120" t="s">
        <v>166</v>
      </c>
      <c r="F40" s="61" t="s">
        <v>127</v>
      </c>
      <c r="G40" s="61">
        <v>1</v>
      </c>
      <c r="H40" s="61">
        <v>6</v>
      </c>
      <c r="I40" s="61">
        <v>5</v>
      </c>
      <c r="J40" s="61"/>
      <c r="K40" s="61"/>
      <c r="L40" s="120"/>
    </row>
    <row r="41" spans="2:12">
      <c r="B41" s="359"/>
      <c r="C41" s="357"/>
      <c r="D41" s="180">
        <v>10</v>
      </c>
      <c r="E41" s="142" t="s">
        <v>194</v>
      </c>
      <c r="F41" s="61" t="s">
        <v>125</v>
      </c>
      <c r="G41" s="61" t="s">
        <v>1546</v>
      </c>
      <c r="H41" s="61"/>
      <c r="I41" s="61"/>
      <c r="J41" s="61"/>
      <c r="K41" s="61"/>
      <c r="L41" s="121"/>
    </row>
    <row r="42" spans="2:12">
      <c r="B42" s="359"/>
      <c r="C42" s="357"/>
      <c r="D42" s="180">
        <v>11</v>
      </c>
      <c r="E42" s="180" t="s">
        <v>1525</v>
      </c>
      <c r="F42" s="61" t="s">
        <v>81</v>
      </c>
      <c r="G42" s="61" t="s">
        <v>196</v>
      </c>
      <c r="H42" s="61" t="s">
        <v>197</v>
      </c>
      <c r="I42" s="61" t="s">
        <v>197</v>
      </c>
      <c r="J42" s="61"/>
      <c r="K42" s="61"/>
      <c r="L42" s="180"/>
    </row>
    <row r="43" spans="2:12">
      <c r="B43" s="359"/>
      <c r="C43" s="357"/>
      <c r="D43" s="180">
        <v>12</v>
      </c>
      <c r="E43" s="180"/>
      <c r="F43" s="61" t="s">
        <v>81</v>
      </c>
      <c r="G43" s="61" t="s">
        <v>198</v>
      </c>
      <c r="H43" s="61" t="s">
        <v>199</v>
      </c>
      <c r="I43" s="61" t="s">
        <v>197</v>
      </c>
      <c r="J43" s="61" t="s">
        <v>197</v>
      </c>
      <c r="K43" s="61">
        <v>1</v>
      </c>
      <c r="L43" s="180"/>
    </row>
    <row r="44" spans="2:12">
      <c r="B44" s="359"/>
      <c r="C44" s="357"/>
      <c r="D44" s="180">
        <v>13</v>
      </c>
      <c r="E44" s="120" t="s">
        <v>146</v>
      </c>
      <c r="F44" s="61" t="s">
        <v>123</v>
      </c>
      <c r="G44" s="61"/>
      <c r="H44" s="61"/>
      <c r="I44" s="61"/>
      <c r="J44" s="61"/>
      <c r="K44" s="61"/>
      <c r="L44" s="120"/>
    </row>
    <row r="45" spans="2:12">
      <c r="B45" s="359"/>
      <c r="C45" s="358"/>
      <c r="D45" s="120"/>
      <c r="E45" s="120"/>
      <c r="F45" s="61"/>
      <c r="G45" s="61"/>
      <c r="H45" s="61"/>
      <c r="I45" s="61"/>
      <c r="J45" s="61"/>
      <c r="K45" s="61"/>
      <c r="L45" s="120"/>
    </row>
    <row r="46" spans="2:12">
      <c r="B46" s="359" t="s">
        <v>1257</v>
      </c>
      <c r="C46" s="356" t="s">
        <v>1474</v>
      </c>
      <c r="D46" s="60">
        <v>1</v>
      </c>
      <c r="E46" s="148" t="s">
        <v>1608</v>
      </c>
      <c r="F46" s="61" t="s">
        <v>87</v>
      </c>
      <c r="G46" s="61" t="s">
        <v>1609</v>
      </c>
      <c r="H46" s="61"/>
      <c r="I46" s="61"/>
      <c r="J46" s="61"/>
      <c r="K46" s="61"/>
      <c r="L46" s="60"/>
    </row>
    <row r="47" spans="2:12">
      <c r="B47" s="359"/>
      <c r="C47" s="357"/>
      <c r="D47" s="60">
        <v>2</v>
      </c>
      <c r="E47" s="60" t="s">
        <v>142</v>
      </c>
      <c r="F47" s="61" t="s">
        <v>122</v>
      </c>
      <c r="G47" s="61"/>
      <c r="H47" s="61"/>
      <c r="I47" s="61"/>
      <c r="J47" s="61"/>
      <c r="K47" s="61"/>
      <c r="L47" s="60"/>
    </row>
    <row r="48" spans="2:12">
      <c r="B48" s="359"/>
      <c r="C48" s="357"/>
      <c r="D48" s="60">
        <v>3</v>
      </c>
      <c r="E48" s="60" t="s">
        <v>36</v>
      </c>
      <c r="F48" s="61" t="s">
        <v>126</v>
      </c>
      <c r="G48" s="61">
        <v>1</v>
      </c>
      <c r="H48" s="61">
        <v>6</v>
      </c>
      <c r="I48" s="61"/>
      <c r="J48" s="61"/>
      <c r="K48" s="61"/>
      <c r="L48" s="60"/>
    </row>
    <row r="49" spans="2:12">
      <c r="B49" s="359"/>
      <c r="C49" s="357"/>
      <c r="D49" s="60">
        <v>4</v>
      </c>
      <c r="E49" s="60"/>
      <c r="F49" s="61" t="s">
        <v>125</v>
      </c>
      <c r="G49" s="61">
        <v>100</v>
      </c>
      <c r="H49" s="61"/>
      <c r="I49" s="61"/>
      <c r="J49" s="61"/>
      <c r="K49" s="61"/>
      <c r="L49" s="60"/>
    </row>
    <row r="50" spans="2:12">
      <c r="B50" s="359"/>
      <c r="C50" s="357"/>
      <c r="D50" s="120">
        <v>5</v>
      </c>
      <c r="E50" s="60" t="s">
        <v>166</v>
      </c>
      <c r="F50" s="61" t="s">
        <v>127</v>
      </c>
      <c r="G50" s="61">
        <v>1</v>
      </c>
      <c r="H50" s="61">
        <v>6</v>
      </c>
      <c r="I50" s="61">
        <v>1</v>
      </c>
      <c r="J50" s="61"/>
      <c r="K50" s="61"/>
      <c r="L50" s="60"/>
    </row>
    <row r="51" spans="2:12">
      <c r="B51" s="359"/>
      <c r="C51" s="357"/>
      <c r="D51" s="120">
        <v>6</v>
      </c>
      <c r="E51" s="120"/>
      <c r="F51" s="61" t="s">
        <v>125</v>
      </c>
      <c r="G51" s="61">
        <v>100</v>
      </c>
      <c r="H51" s="61"/>
      <c r="I51" s="61"/>
      <c r="J51" s="61"/>
      <c r="K51" s="61"/>
      <c r="L51" s="120"/>
    </row>
    <row r="52" spans="2:12">
      <c r="B52" s="359"/>
      <c r="C52" s="357"/>
      <c r="D52" s="120">
        <v>7</v>
      </c>
      <c r="E52" s="60" t="s">
        <v>163</v>
      </c>
      <c r="F52" s="61" t="s">
        <v>164</v>
      </c>
      <c r="G52" s="61">
        <v>1</v>
      </c>
      <c r="H52" s="61">
        <v>4</v>
      </c>
      <c r="I52" s="61" t="s">
        <v>165</v>
      </c>
      <c r="J52" s="61"/>
      <c r="K52" s="61"/>
      <c r="L52" s="60"/>
    </row>
    <row r="53" spans="2:12">
      <c r="B53" s="359"/>
      <c r="C53" s="357"/>
      <c r="D53" s="120">
        <v>8</v>
      </c>
      <c r="E53" s="60" t="s">
        <v>166</v>
      </c>
      <c r="F53" s="61" t="s">
        <v>127</v>
      </c>
      <c r="G53" s="61">
        <v>1</v>
      </c>
      <c r="H53" s="61">
        <v>6</v>
      </c>
      <c r="I53" s="61">
        <v>5</v>
      </c>
      <c r="J53" s="61"/>
      <c r="K53" s="61"/>
      <c r="L53" s="60"/>
    </row>
    <row r="54" spans="2:12">
      <c r="B54" s="359"/>
      <c r="C54" s="357"/>
      <c r="D54" s="120">
        <v>9</v>
      </c>
      <c r="E54" s="60" t="s">
        <v>318</v>
      </c>
      <c r="F54" s="61" t="s">
        <v>300</v>
      </c>
      <c r="G54" s="61">
        <v>5000</v>
      </c>
      <c r="H54" s="61"/>
      <c r="I54" s="61"/>
      <c r="J54" s="61"/>
      <c r="K54" s="61"/>
      <c r="L54" s="60"/>
    </row>
    <row r="55" spans="2:12">
      <c r="B55" s="359"/>
      <c r="C55" s="357"/>
      <c r="D55" s="120">
        <v>10</v>
      </c>
      <c r="E55" s="60" t="s">
        <v>146</v>
      </c>
      <c r="F55" s="61" t="s">
        <v>123</v>
      </c>
      <c r="G55" s="61"/>
      <c r="H55" s="61"/>
      <c r="I55" s="61"/>
      <c r="J55" s="61"/>
      <c r="K55" s="61"/>
      <c r="L55" s="60"/>
    </row>
    <row r="56" spans="2:12">
      <c r="B56" s="359"/>
      <c r="C56" s="358"/>
      <c r="D56" s="60"/>
      <c r="E56" s="60"/>
      <c r="F56" s="61"/>
      <c r="G56" s="61"/>
      <c r="H56" s="61"/>
      <c r="I56" s="61"/>
      <c r="J56" s="61"/>
      <c r="K56" s="61"/>
      <c r="L56" s="60"/>
    </row>
    <row r="57" spans="2:12">
      <c r="B57" s="359" t="s">
        <v>1261</v>
      </c>
      <c r="C57" s="356" t="s">
        <v>1474</v>
      </c>
      <c r="D57" s="120">
        <v>1</v>
      </c>
      <c r="E57" s="148" t="s">
        <v>1608</v>
      </c>
      <c r="F57" s="61" t="s">
        <v>87</v>
      </c>
      <c r="G57" s="61" t="s">
        <v>1609</v>
      </c>
      <c r="H57" s="61"/>
      <c r="I57" s="61"/>
      <c r="J57" s="61"/>
      <c r="K57" s="61"/>
      <c r="L57" s="120"/>
    </row>
    <row r="58" spans="2:12">
      <c r="B58" s="359"/>
      <c r="C58" s="357"/>
      <c r="D58" s="120">
        <v>2</v>
      </c>
      <c r="E58" s="120" t="s">
        <v>142</v>
      </c>
      <c r="F58" s="61" t="s">
        <v>122</v>
      </c>
      <c r="G58" s="61"/>
      <c r="H58" s="61"/>
      <c r="I58" s="61"/>
      <c r="J58" s="61"/>
      <c r="K58" s="61"/>
      <c r="L58" s="120"/>
    </row>
    <row r="59" spans="2:12">
      <c r="B59" s="359"/>
      <c r="C59" s="357"/>
      <c r="D59" s="180">
        <v>3</v>
      </c>
      <c r="E59" s="120" t="s">
        <v>36</v>
      </c>
      <c r="F59" s="61" t="s">
        <v>126</v>
      </c>
      <c r="G59" s="61">
        <v>1</v>
      </c>
      <c r="H59" s="61">
        <v>2</v>
      </c>
      <c r="I59" s="61"/>
      <c r="J59" s="61"/>
      <c r="K59" s="61"/>
      <c r="L59" s="120"/>
    </row>
    <row r="60" spans="2:12">
      <c r="B60" s="359"/>
      <c r="C60" s="357"/>
      <c r="D60" s="180">
        <v>4</v>
      </c>
      <c r="E60" s="120"/>
      <c r="F60" s="61" t="s">
        <v>125</v>
      </c>
      <c r="G60" s="61">
        <v>100</v>
      </c>
      <c r="H60" s="61"/>
      <c r="I60" s="61"/>
      <c r="J60" s="61"/>
      <c r="K60" s="61"/>
      <c r="L60" s="120"/>
    </row>
    <row r="61" spans="2:12">
      <c r="B61" s="359"/>
      <c r="C61" s="357"/>
      <c r="D61" s="180">
        <v>5</v>
      </c>
      <c r="E61" s="120" t="s">
        <v>166</v>
      </c>
      <c r="F61" s="61" t="s">
        <v>127</v>
      </c>
      <c r="G61" s="61">
        <v>1</v>
      </c>
      <c r="H61" s="61">
        <v>2</v>
      </c>
      <c r="I61" s="61">
        <v>1</v>
      </c>
      <c r="J61" s="61"/>
      <c r="K61" s="61"/>
      <c r="L61" s="120"/>
    </row>
    <row r="62" spans="2:12">
      <c r="B62" s="359"/>
      <c r="C62" s="357"/>
      <c r="D62" s="180">
        <v>6</v>
      </c>
      <c r="E62" s="120"/>
      <c r="F62" s="61" t="s">
        <v>125</v>
      </c>
      <c r="G62" s="61">
        <v>100</v>
      </c>
      <c r="H62" s="61"/>
      <c r="I62" s="61"/>
      <c r="J62" s="61"/>
      <c r="K62" s="61"/>
      <c r="L62" s="120"/>
    </row>
    <row r="63" spans="2:12">
      <c r="B63" s="359"/>
      <c r="C63" s="357"/>
      <c r="D63" s="180">
        <v>7</v>
      </c>
      <c r="E63" s="120" t="s">
        <v>36</v>
      </c>
      <c r="F63" s="61" t="s">
        <v>126</v>
      </c>
      <c r="G63" s="61">
        <v>1</v>
      </c>
      <c r="H63" s="61">
        <v>6</v>
      </c>
      <c r="I63" s="61"/>
      <c r="J63" s="61"/>
      <c r="K63" s="61"/>
      <c r="L63" s="120"/>
    </row>
    <row r="64" spans="2:12">
      <c r="B64" s="359"/>
      <c r="C64" s="357"/>
      <c r="D64" s="180">
        <v>8</v>
      </c>
      <c r="E64" s="120"/>
      <c r="F64" s="61" t="s">
        <v>125</v>
      </c>
      <c r="G64" s="61">
        <v>100</v>
      </c>
      <c r="H64" s="61"/>
      <c r="I64" s="61"/>
      <c r="J64" s="61"/>
      <c r="K64" s="61"/>
      <c r="L64" s="120"/>
    </row>
    <row r="65" spans="2:12">
      <c r="B65" s="359"/>
      <c r="C65" s="357"/>
      <c r="D65" s="180">
        <v>9</v>
      </c>
      <c r="E65" s="180" t="s">
        <v>1524</v>
      </c>
      <c r="F65" s="61" t="s">
        <v>81</v>
      </c>
      <c r="G65" s="61" t="s">
        <v>1517</v>
      </c>
      <c r="H65" s="61"/>
      <c r="I65" s="61"/>
      <c r="J65" s="61"/>
      <c r="K65" s="61"/>
      <c r="L65" s="180"/>
    </row>
    <row r="66" spans="2:12">
      <c r="B66" s="359"/>
      <c r="C66" s="357"/>
      <c r="D66" s="180">
        <v>10</v>
      </c>
      <c r="E66" s="120" t="s">
        <v>163</v>
      </c>
      <c r="F66" s="61" t="s">
        <v>164</v>
      </c>
      <c r="G66" s="61">
        <v>1</v>
      </c>
      <c r="H66" s="61">
        <v>4</v>
      </c>
      <c r="I66" s="61" t="s">
        <v>165</v>
      </c>
      <c r="J66" s="61"/>
      <c r="K66" s="61"/>
      <c r="L66" s="120"/>
    </row>
    <row r="67" spans="2:12">
      <c r="B67" s="359"/>
      <c r="C67" s="357"/>
      <c r="D67" s="180">
        <v>11</v>
      </c>
      <c r="E67" s="120" t="s">
        <v>166</v>
      </c>
      <c r="F67" s="61" t="s">
        <v>127</v>
      </c>
      <c r="G67" s="61">
        <v>1</v>
      </c>
      <c r="H67" s="61">
        <v>6</v>
      </c>
      <c r="I67" s="61">
        <v>3</v>
      </c>
      <c r="J67" s="61"/>
      <c r="K67" s="61"/>
      <c r="L67" s="120"/>
    </row>
    <row r="68" spans="2:12">
      <c r="B68" s="359"/>
      <c r="C68" s="357"/>
      <c r="D68" s="180">
        <v>12</v>
      </c>
      <c r="E68" s="180" t="s">
        <v>194</v>
      </c>
      <c r="F68" s="61" t="s">
        <v>125</v>
      </c>
      <c r="G68" s="61" t="s">
        <v>1546</v>
      </c>
      <c r="H68" s="61"/>
      <c r="I68" s="61"/>
      <c r="J68" s="61"/>
      <c r="K68" s="61"/>
      <c r="L68" s="180"/>
    </row>
    <row r="69" spans="2:12">
      <c r="B69" s="359"/>
      <c r="C69" s="357"/>
      <c r="D69" s="180">
        <v>13</v>
      </c>
      <c r="E69" s="180" t="s">
        <v>1525</v>
      </c>
      <c r="F69" s="61" t="s">
        <v>81</v>
      </c>
      <c r="G69" s="61" t="s">
        <v>196</v>
      </c>
      <c r="H69" s="61" t="s">
        <v>197</v>
      </c>
      <c r="I69" s="61" t="s">
        <v>197</v>
      </c>
      <c r="J69" s="61"/>
      <c r="K69" s="61"/>
      <c r="L69" s="180"/>
    </row>
    <row r="70" spans="2:12">
      <c r="B70" s="359"/>
      <c r="C70" s="357"/>
      <c r="D70" s="180">
        <v>14</v>
      </c>
      <c r="E70" s="180"/>
      <c r="F70" s="61" t="s">
        <v>81</v>
      </c>
      <c r="G70" s="61" t="s">
        <v>198</v>
      </c>
      <c r="H70" s="61" t="s">
        <v>199</v>
      </c>
      <c r="I70" s="61" t="s">
        <v>197</v>
      </c>
      <c r="J70" s="61" t="s">
        <v>197</v>
      </c>
      <c r="K70" s="61">
        <v>1</v>
      </c>
      <c r="L70" s="180"/>
    </row>
    <row r="71" spans="2:12">
      <c r="B71" s="359"/>
      <c r="C71" s="357"/>
      <c r="D71" s="180">
        <v>15</v>
      </c>
      <c r="E71" s="120" t="s">
        <v>146</v>
      </c>
      <c r="F71" s="61" t="s">
        <v>123</v>
      </c>
      <c r="G71" s="61"/>
      <c r="H71" s="61"/>
      <c r="I71" s="61"/>
      <c r="J71" s="61"/>
      <c r="K71" s="61"/>
      <c r="L71" s="120"/>
    </row>
    <row r="72" spans="2:12">
      <c r="B72" s="359"/>
      <c r="C72" s="358"/>
      <c r="D72" s="120"/>
      <c r="E72" s="120"/>
      <c r="F72" s="61"/>
      <c r="G72" s="61"/>
      <c r="H72" s="61"/>
      <c r="I72" s="61"/>
      <c r="J72" s="61"/>
      <c r="K72" s="61"/>
      <c r="L72" s="120"/>
    </row>
    <row r="73" spans="2:12">
      <c r="B73" s="359" t="s">
        <v>1260</v>
      </c>
      <c r="C73" s="356" t="s">
        <v>1474</v>
      </c>
      <c r="D73" s="60">
        <v>1</v>
      </c>
      <c r="E73" s="148" t="s">
        <v>1608</v>
      </c>
      <c r="F73" s="61" t="s">
        <v>87</v>
      </c>
      <c r="G73" s="61" t="s">
        <v>1609</v>
      </c>
      <c r="H73" s="61"/>
      <c r="I73" s="61"/>
      <c r="J73" s="61"/>
      <c r="K73" s="61"/>
      <c r="L73" s="60"/>
    </row>
    <row r="74" spans="2:12">
      <c r="B74" s="359"/>
      <c r="C74" s="357"/>
      <c r="D74" s="60">
        <v>2</v>
      </c>
      <c r="E74" s="60" t="s">
        <v>142</v>
      </c>
      <c r="F74" s="61" t="s">
        <v>122</v>
      </c>
      <c r="G74" s="61"/>
      <c r="H74" s="61"/>
      <c r="I74" s="61"/>
      <c r="J74" s="61"/>
      <c r="K74" s="61"/>
      <c r="L74" s="60"/>
    </row>
    <row r="75" spans="2:12">
      <c r="B75" s="359"/>
      <c r="C75" s="357"/>
      <c r="D75" s="60">
        <v>3</v>
      </c>
      <c r="E75" s="60" t="s">
        <v>36</v>
      </c>
      <c r="F75" s="61" t="s">
        <v>126</v>
      </c>
      <c r="G75" s="61">
        <v>1</v>
      </c>
      <c r="H75" s="61">
        <v>2</v>
      </c>
      <c r="I75" s="61"/>
      <c r="J75" s="61"/>
      <c r="K75" s="61"/>
      <c r="L75" s="60"/>
    </row>
    <row r="76" spans="2:12">
      <c r="B76" s="359"/>
      <c r="C76" s="357"/>
      <c r="D76" s="60">
        <v>4</v>
      </c>
      <c r="E76" s="121" t="s">
        <v>1287</v>
      </c>
      <c r="F76" s="61" t="s">
        <v>1572</v>
      </c>
      <c r="G76" s="61">
        <v>100</v>
      </c>
      <c r="H76" s="61"/>
      <c r="I76" s="61"/>
      <c r="J76" s="61"/>
      <c r="K76" s="61"/>
      <c r="L76" s="60"/>
    </row>
    <row r="77" spans="2:12">
      <c r="B77" s="359"/>
      <c r="C77" s="357"/>
      <c r="D77" s="60">
        <v>5</v>
      </c>
      <c r="E77" s="60" t="s">
        <v>166</v>
      </c>
      <c r="F77" s="61" t="s">
        <v>127</v>
      </c>
      <c r="G77" s="61">
        <v>1</v>
      </c>
      <c r="H77" s="61">
        <v>2</v>
      </c>
      <c r="I77" s="61">
        <v>1</v>
      </c>
      <c r="J77" s="61"/>
      <c r="K77" s="61"/>
      <c r="L77" s="60"/>
    </row>
    <row r="78" spans="2:12">
      <c r="B78" s="359"/>
      <c r="C78" s="357"/>
      <c r="D78" s="120">
        <v>6</v>
      </c>
      <c r="E78" s="120"/>
      <c r="F78" s="61" t="s">
        <v>125</v>
      </c>
      <c r="G78" s="61">
        <v>100</v>
      </c>
      <c r="H78" s="61"/>
      <c r="I78" s="61"/>
      <c r="J78" s="61"/>
      <c r="K78" s="61"/>
      <c r="L78" s="120"/>
    </row>
    <row r="79" spans="2:12">
      <c r="B79" s="359"/>
      <c r="C79" s="357"/>
      <c r="D79" s="120">
        <v>7</v>
      </c>
      <c r="E79" s="120" t="s">
        <v>36</v>
      </c>
      <c r="F79" s="61" t="s">
        <v>126</v>
      </c>
      <c r="G79" s="61">
        <v>1</v>
      </c>
      <c r="H79" s="61">
        <v>6</v>
      </c>
      <c r="I79" s="61"/>
      <c r="J79" s="61"/>
      <c r="K79" s="61"/>
      <c r="L79" s="120"/>
    </row>
    <row r="80" spans="2:12">
      <c r="B80" s="359"/>
      <c r="C80" s="357"/>
      <c r="D80" s="120">
        <v>8</v>
      </c>
      <c r="E80" s="120"/>
      <c r="F80" s="61" t="s">
        <v>125</v>
      </c>
      <c r="G80" s="61">
        <v>100</v>
      </c>
      <c r="H80" s="61"/>
      <c r="I80" s="61"/>
      <c r="J80" s="61"/>
      <c r="K80" s="61"/>
      <c r="L80" s="120"/>
    </row>
    <row r="81" spans="2:12">
      <c r="B81" s="359"/>
      <c r="C81" s="357"/>
      <c r="D81" s="120">
        <v>9</v>
      </c>
      <c r="E81" s="60" t="s">
        <v>163</v>
      </c>
      <c r="F81" s="61" t="s">
        <v>164</v>
      </c>
      <c r="G81" s="61">
        <v>1</v>
      </c>
      <c r="H81" s="61">
        <v>4</v>
      </c>
      <c r="I81" s="61" t="s">
        <v>165</v>
      </c>
      <c r="J81" s="61"/>
      <c r="K81" s="61"/>
      <c r="L81" s="60"/>
    </row>
    <row r="82" spans="2:12">
      <c r="B82" s="359"/>
      <c r="C82" s="357"/>
      <c r="D82" s="120">
        <v>10</v>
      </c>
      <c r="E82" s="60" t="s">
        <v>166</v>
      </c>
      <c r="F82" s="61" t="s">
        <v>127</v>
      </c>
      <c r="G82" s="61">
        <v>1</v>
      </c>
      <c r="H82" s="61">
        <v>6</v>
      </c>
      <c r="I82" s="61">
        <v>3</v>
      </c>
      <c r="J82" s="61"/>
      <c r="K82" s="61"/>
      <c r="L82" s="60"/>
    </row>
    <row r="83" spans="2:12">
      <c r="B83" s="359"/>
      <c r="C83" s="357"/>
      <c r="D83" s="120">
        <v>11</v>
      </c>
      <c r="E83" s="60" t="s">
        <v>318</v>
      </c>
      <c r="F83" s="61" t="s">
        <v>300</v>
      </c>
      <c r="G83" s="61">
        <v>5000</v>
      </c>
      <c r="H83" s="61"/>
      <c r="I83" s="61"/>
      <c r="J83" s="61"/>
      <c r="K83" s="61"/>
      <c r="L83" s="60"/>
    </row>
    <row r="84" spans="2:12">
      <c r="B84" s="359"/>
      <c r="C84" s="357"/>
      <c r="D84" s="120">
        <v>12</v>
      </c>
      <c r="E84" s="60" t="s">
        <v>146</v>
      </c>
      <c r="F84" s="61" t="s">
        <v>123</v>
      </c>
      <c r="G84" s="61"/>
      <c r="H84" s="61"/>
      <c r="I84" s="61"/>
      <c r="J84" s="61"/>
      <c r="K84" s="61"/>
      <c r="L84" s="60"/>
    </row>
    <row r="85" spans="2:12">
      <c r="B85" s="359"/>
      <c r="C85" s="358"/>
      <c r="D85" s="60"/>
      <c r="E85" s="60"/>
      <c r="F85" s="61"/>
      <c r="G85" s="61"/>
      <c r="H85" s="61"/>
      <c r="I85" s="61"/>
      <c r="J85" s="61"/>
      <c r="K85" s="61"/>
      <c r="L85" s="60"/>
    </row>
    <row r="86" spans="2:12">
      <c r="B86" s="359" t="s">
        <v>1263</v>
      </c>
      <c r="C86" s="356" t="s">
        <v>1474</v>
      </c>
      <c r="D86" s="120">
        <v>1</v>
      </c>
      <c r="E86" s="148" t="s">
        <v>1608</v>
      </c>
      <c r="F86" s="61" t="s">
        <v>87</v>
      </c>
      <c r="G86" s="61" t="s">
        <v>1609</v>
      </c>
      <c r="H86" s="61"/>
      <c r="I86" s="61"/>
      <c r="J86" s="61"/>
      <c r="K86" s="61"/>
      <c r="L86" s="120"/>
    </row>
    <row r="87" spans="2:12">
      <c r="B87" s="359"/>
      <c r="C87" s="357"/>
      <c r="D87" s="120">
        <v>2</v>
      </c>
      <c r="E87" s="120" t="s">
        <v>142</v>
      </c>
      <c r="F87" s="61" t="s">
        <v>122</v>
      </c>
      <c r="G87" s="61"/>
      <c r="H87" s="61"/>
      <c r="I87" s="61"/>
      <c r="J87" s="61"/>
      <c r="K87" s="61"/>
      <c r="L87" s="120"/>
    </row>
    <row r="88" spans="2:12">
      <c r="B88" s="359"/>
      <c r="C88" s="357"/>
      <c r="D88" s="180">
        <v>3</v>
      </c>
      <c r="E88" s="120" t="s">
        <v>36</v>
      </c>
      <c r="F88" s="61" t="s">
        <v>126</v>
      </c>
      <c r="G88" s="61">
        <v>1</v>
      </c>
      <c r="H88" s="61">
        <v>5</v>
      </c>
      <c r="I88" s="61"/>
      <c r="J88" s="61"/>
      <c r="K88" s="61"/>
      <c r="L88" s="120"/>
    </row>
    <row r="89" spans="2:12">
      <c r="B89" s="359"/>
      <c r="C89" s="357"/>
      <c r="D89" s="180">
        <v>4</v>
      </c>
      <c r="E89" s="120"/>
      <c r="F89" s="61" t="s">
        <v>125</v>
      </c>
      <c r="G89" s="61">
        <v>100</v>
      </c>
      <c r="H89" s="61"/>
      <c r="I89" s="61"/>
      <c r="J89" s="61"/>
      <c r="K89" s="61"/>
      <c r="L89" s="120"/>
    </row>
    <row r="90" spans="2:12">
      <c r="B90" s="359"/>
      <c r="C90" s="357"/>
      <c r="D90" s="180">
        <v>5</v>
      </c>
      <c r="E90" s="120" t="s">
        <v>166</v>
      </c>
      <c r="F90" s="61" t="s">
        <v>127</v>
      </c>
      <c r="G90" s="61">
        <v>1</v>
      </c>
      <c r="H90" s="61">
        <v>5</v>
      </c>
      <c r="I90" s="61">
        <v>1</v>
      </c>
      <c r="J90" s="61"/>
      <c r="K90" s="61"/>
      <c r="L90" s="120"/>
    </row>
    <row r="91" spans="2:12">
      <c r="B91" s="359"/>
      <c r="C91" s="357"/>
      <c r="D91" s="180">
        <v>6</v>
      </c>
      <c r="E91" s="120"/>
      <c r="F91" s="61" t="s">
        <v>125</v>
      </c>
      <c r="G91" s="61">
        <v>100</v>
      </c>
      <c r="H91" s="61"/>
      <c r="I91" s="61"/>
      <c r="J91" s="61"/>
      <c r="K91" s="61"/>
      <c r="L91" s="120"/>
    </row>
    <row r="92" spans="2:12">
      <c r="B92" s="359"/>
      <c r="C92" s="357"/>
      <c r="D92" s="180">
        <v>7</v>
      </c>
      <c r="E92" s="120" t="s">
        <v>36</v>
      </c>
      <c r="F92" s="61" t="s">
        <v>126</v>
      </c>
      <c r="G92" s="61">
        <v>1</v>
      </c>
      <c r="H92" s="61">
        <v>6</v>
      </c>
      <c r="I92" s="61"/>
      <c r="J92" s="61"/>
      <c r="K92" s="61"/>
      <c r="L92" s="120"/>
    </row>
    <row r="93" spans="2:12">
      <c r="B93" s="359"/>
      <c r="C93" s="357"/>
      <c r="D93" s="180">
        <v>8</v>
      </c>
      <c r="E93" s="120"/>
      <c r="F93" s="61" t="s">
        <v>125</v>
      </c>
      <c r="G93" s="61">
        <v>100</v>
      </c>
      <c r="H93" s="61"/>
      <c r="I93" s="61"/>
      <c r="J93" s="61"/>
      <c r="K93" s="61"/>
      <c r="L93" s="120"/>
    </row>
    <row r="94" spans="2:12">
      <c r="B94" s="359"/>
      <c r="C94" s="357"/>
      <c r="D94" s="180">
        <v>9</v>
      </c>
      <c r="E94" s="180" t="s">
        <v>1524</v>
      </c>
      <c r="F94" s="61" t="s">
        <v>81</v>
      </c>
      <c r="G94" s="61" t="s">
        <v>1517</v>
      </c>
      <c r="H94" s="61"/>
      <c r="I94" s="61"/>
      <c r="J94" s="61"/>
      <c r="K94" s="61"/>
      <c r="L94" s="180"/>
    </row>
    <row r="95" spans="2:12">
      <c r="B95" s="359"/>
      <c r="C95" s="357"/>
      <c r="D95" s="180">
        <v>10</v>
      </c>
      <c r="E95" s="120" t="s">
        <v>163</v>
      </c>
      <c r="F95" s="61" t="s">
        <v>164</v>
      </c>
      <c r="G95" s="61">
        <v>1</v>
      </c>
      <c r="H95" s="61">
        <v>4</v>
      </c>
      <c r="I95" s="61" t="s">
        <v>165</v>
      </c>
      <c r="J95" s="61"/>
      <c r="K95" s="61"/>
      <c r="L95" s="120"/>
    </row>
    <row r="96" spans="2:12">
      <c r="B96" s="359"/>
      <c r="C96" s="357"/>
      <c r="D96" s="180">
        <v>11</v>
      </c>
      <c r="E96" s="120" t="s">
        <v>166</v>
      </c>
      <c r="F96" s="61" t="s">
        <v>127</v>
      </c>
      <c r="G96" s="61">
        <v>1</v>
      </c>
      <c r="H96" s="61">
        <v>5</v>
      </c>
      <c r="I96" s="61">
        <v>3</v>
      </c>
      <c r="J96" s="61"/>
      <c r="K96" s="61"/>
      <c r="L96" s="120"/>
    </row>
    <row r="97" spans="2:12">
      <c r="B97" s="359"/>
      <c r="C97" s="357"/>
      <c r="D97" s="180">
        <v>12</v>
      </c>
      <c r="E97" s="142" t="s">
        <v>194</v>
      </c>
      <c r="F97" s="61" t="s">
        <v>125</v>
      </c>
      <c r="G97" s="61" t="s">
        <v>1546</v>
      </c>
      <c r="H97" s="61"/>
      <c r="I97" s="61"/>
      <c r="J97" s="61"/>
      <c r="K97" s="61"/>
      <c r="L97" s="121"/>
    </row>
    <row r="98" spans="2:12">
      <c r="B98" s="359"/>
      <c r="C98" s="357"/>
      <c r="D98" s="180">
        <v>13</v>
      </c>
      <c r="E98" s="180" t="s">
        <v>1525</v>
      </c>
      <c r="F98" s="61" t="s">
        <v>81</v>
      </c>
      <c r="G98" s="61" t="s">
        <v>196</v>
      </c>
      <c r="H98" s="61" t="s">
        <v>197</v>
      </c>
      <c r="I98" s="61" t="s">
        <v>197</v>
      </c>
      <c r="J98" s="61"/>
      <c r="K98" s="61"/>
      <c r="L98" s="180"/>
    </row>
    <row r="99" spans="2:12">
      <c r="B99" s="359"/>
      <c r="C99" s="357"/>
      <c r="D99" s="180">
        <v>14</v>
      </c>
      <c r="E99" s="180"/>
      <c r="F99" s="61" t="s">
        <v>81</v>
      </c>
      <c r="G99" s="61" t="s">
        <v>198</v>
      </c>
      <c r="H99" s="61" t="s">
        <v>199</v>
      </c>
      <c r="I99" s="61" t="s">
        <v>197</v>
      </c>
      <c r="J99" s="61" t="s">
        <v>197</v>
      </c>
      <c r="K99" s="61">
        <v>1</v>
      </c>
      <c r="L99" s="180"/>
    </row>
    <row r="100" spans="2:12">
      <c r="B100" s="359"/>
      <c r="C100" s="357"/>
      <c r="D100" s="180">
        <v>15</v>
      </c>
      <c r="E100" s="120" t="s">
        <v>146</v>
      </c>
      <c r="F100" s="61" t="s">
        <v>123</v>
      </c>
      <c r="G100" s="61"/>
      <c r="H100" s="61"/>
      <c r="I100" s="61"/>
      <c r="J100" s="61"/>
      <c r="K100" s="61"/>
      <c r="L100" s="120"/>
    </row>
    <row r="101" spans="2:12">
      <c r="B101" s="359"/>
      <c r="C101" s="358"/>
      <c r="D101" s="120"/>
      <c r="E101" s="120"/>
      <c r="F101" s="61"/>
      <c r="G101" s="61"/>
      <c r="H101" s="61"/>
      <c r="I101" s="61"/>
      <c r="J101" s="61"/>
      <c r="K101" s="61"/>
      <c r="L101" s="120"/>
    </row>
    <row r="102" spans="2:12">
      <c r="B102" s="359" t="s">
        <v>1262</v>
      </c>
      <c r="C102" s="356" t="s">
        <v>1474</v>
      </c>
      <c r="D102" s="60">
        <v>1</v>
      </c>
      <c r="E102" s="148" t="s">
        <v>1608</v>
      </c>
      <c r="F102" s="61" t="s">
        <v>87</v>
      </c>
      <c r="G102" s="61" t="s">
        <v>1609</v>
      </c>
      <c r="H102" s="61"/>
      <c r="I102" s="61"/>
      <c r="J102" s="61"/>
      <c r="K102" s="61"/>
      <c r="L102" s="60"/>
    </row>
    <row r="103" spans="2:12">
      <c r="B103" s="359"/>
      <c r="C103" s="357"/>
      <c r="D103" s="60">
        <v>2</v>
      </c>
      <c r="E103" s="60" t="s">
        <v>142</v>
      </c>
      <c r="F103" s="61" t="s">
        <v>122</v>
      </c>
      <c r="G103" s="61"/>
      <c r="H103" s="61"/>
      <c r="I103" s="61"/>
      <c r="J103" s="61"/>
      <c r="K103" s="61"/>
      <c r="L103" s="60"/>
    </row>
    <row r="104" spans="2:12">
      <c r="B104" s="359"/>
      <c r="C104" s="357"/>
      <c r="D104" s="60">
        <v>3</v>
      </c>
      <c r="E104" s="60" t="s">
        <v>36</v>
      </c>
      <c r="F104" s="61" t="s">
        <v>126</v>
      </c>
      <c r="G104" s="61">
        <v>1</v>
      </c>
      <c r="H104" s="61">
        <v>5</v>
      </c>
      <c r="I104" s="61"/>
      <c r="J104" s="61"/>
      <c r="K104" s="61"/>
      <c r="L104" s="60"/>
    </row>
    <row r="105" spans="2:12">
      <c r="B105" s="359"/>
      <c r="C105" s="357"/>
      <c r="D105" s="60">
        <v>4</v>
      </c>
      <c r="E105" s="60"/>
      <c r="F105" s="61" t="s">
        <v>125</v>
      </c>
      <c r="G105" s="61">
        <v>100</v>
      </c>
      <c r="H105" s="61"/>
      <c r="I105" s="61"/>
      <c r="J105" s="61"/>
      <c r="K105" s="61"/>
      <c r="L105" s="60"/>
    </row>
    <row r="106" spans="2:12">
      <c r="B106" s="359"/>
      <c r="C106" s="357"/>
      <c r="D106" s="120">
        <v>5</v>
      </c>
      <c r="E106" s="60" t="s">
        <v>166</v>
      </c>
      <c r="F106" s="61" t="s">
        <v>127</v>
      </c>
      <c r="G106" s="61">
        <v>1</v>
      </c>
      <c r="H106" s="61">
        <v>5</v>
      </c>
      <c r="I106" s="61">
        <v>1</v>
      </c>
      <c r="J106" s="61"/>
      <c r="K106" s="61"/>
      <c r="L106" s="60"/>
    </row>
    <row r="107" spans="2:12">
      <c r="B107" s="359"/>
      <c r="C107" s="357"/>
      <c r="D107" s="120">
        <v>6</v>
      </c>
      <c r="E107" s="120"/>
      <c r="F107" s="61" t="s">
        <v>125</v>
      </c>
      <c r="G107" s="61">
        <v>100</v>
      </c>
      <c r="H107" s="61"/>
      <c r="I107" s="61"/>
      <c r="J107" s="61"/>
      <c r="K107" s="61"/>
      <c r="L107" s="120"/>
    </row>
    <row r="108" spans="2:12">
      <c r="B108" s="359"/>
      <c r="C108" s="357"/>
      <c r="D108" s="120">
        <v>7</v>
      </c>
      <c r="E108" s="120" t="s">
        <v>36</v>
      </c>
      <c r="F108" s="61" t="s">
        <v>126</v>
      </c>
      <c r="G108" s="61">
        <v>1</v>
      </c>
      <c r="H108" s="61">
        <v>6</v>
      </c>
      <c r="I108" s="61"/>
      <c r="J108" s="61"/>
      <c r="K108" s="61"/>
      <c r="L108" s="60"/>
    </row>
    <row r="109" spans="2:12">
      <c r="B109" s="359"/>
      <c r="C109" s="357"/>
      <c r="D109" s="120">
        <v>8</v>
      </c>
      <c r="E109" s="120"/>
      <c r="F109" s="61" t="s">
        <v>125</v>
      </c>
      <c r="G109" s="61">
        <v>100</v>
      </c>
      <c r="H109" s="61"/>
      <c r="I109" s="61"/>
      <c r="J109" s="61"/>
      <c r="K109" s="61"/>
      <c r="L109" s="120"/>
    </row>
    <row r="110" spans="2:12">
      <c r="B110" s="359"/>
      <c r="C110" s="357"/>
      <c r="D110" s="120">
        <v>9</v>
      </c>
      <c r="E110" s="60" t="s">
        <v>163</v>
      </c>
      <c r="F110" s="61" t="s">
        <v>164</v>
      </c>
      <c r="G110" s="61">
        <v>1</v>
      </c>
      <c r="H110" s="61">
        <v>4</v>
      </c>
      <c r="I110" s="61" t="s">
        <v>165</v>
      </c>
      <c r="J110" s="61"/>
      <c r="K110" s="61"/>
      <c r="L110" s="60"/>
    </row>
    <row r="111" spans="2:12">
      <c r="B111" s="359"/>
      <c r="C111" s="357"/>
      <c r="D111" s="120">
        <v>10</v>
      </c>
      <c r="E111" s="60" t="s">
        <v>166</v>
      </c>
      <c r="F111" s="61" t="s">
        <v>127</v>
      </c>
      <c r="G111" s="61">
        <v>1</v>
      </c>
      <c r="H111" s="61">
        <v>5</v>
      </c>
      <c r="I111" s="61">
        <v>3</v>
      </c>
      <c r="J111" s="61"/>
      <c r="K111" s="61"/>
      <c r="L111" s="60"/>
    </row>
    <row r="112" spans="2:12">
      <c r="B112" s="359"/>
      <c r="C112" s="357"/>
      <c r="D112" s="120">
        <v>11</v>
      </c>
      <c r="E112" s="60" t="s">
        <v>318</v>
      </c>
      <c r="F112" s="61" t="s">
        <v>300</v>
      </c>
      <c r="G112" s="61">
        <v>5000</v>
      </c>
      <c r="H112" s="61"/>
      <c r="I112" s="61"/>
      <c r="J112" s="61"/>
      <c r="K112" s="61"/>
      <c r="L112" s="60"/>
    </row>
    <row r="113" spans="2:12">
      <c r="B113" s="359"/>
      <c r="C113" s="357"/>
      <c r="D113" s="120">
        <v>12</v>
      </c>
      <c r="E113" s="60" t="s">
        <v>146</v>
      </c>
      <c r="F113" s="61" t="s">
        <v>123</v>
      </c>
      <c r="G113" s="61"/>
      <c r="H113" s="61"/>
      <c r="I113" s="61"/>
      <c r="J113" s="61"/>
      <c r="K113" s="61"/>
      <c r="L113" s="60"/>
    </row>
    <row r="114" spans="2:12">
      <c r="B114" s="359"/>
      <c r="C114" s="358"/>
      <c r="D114" s="60"/>
      <c r="E114" s="60"/>
      <c r="F114" s="61"/>
      <c r="G114" s="61"/>
      <c r="H114" s="61"/>
      <c r="I114" s="61"/>
      <c r="J114" s="61"/>
      <c r="K114" s="61"/>
      <c r="L114" s="60"/>
    </row>
    <row r="115" spans="2:12">
      <c r="B115" s="359" t="s">
        <v>1265</v>
      </c>
      <c r="C115" s="356" t="s">
        <v>1474</v>
      </c>
      <c r="D115" s="120">
        <v>1</v>
      </c>
      <c r="E115" s="148" t="s">
        <v>1608</v>
      </c>
      <c r="F115" s="61" t="s">
        <v>87</v>
      </c>
      <c r="G115" s="61" t="s">
        <v>1609</v>
      </c>
      <c r="H115" s="61"/>
      <c r="I115" s="61"/>
      <c r="J115" s="61"/>
      <c r="K115" s="61"/>
      <c r="L115" s="120"/>
    </row>
    <row r="116" spans="2:12">
      <c r="B116" s="359"/>
      <c r="C116" s="357"/>
      <c r="D116" s="120">
        <v>2</v>
      </c>
      <c r="E116" s="120" t="s">
        <v>142</v>
      </c>
      <c r="F116" s="61" t="s">
        <v>122</v>
      </c>
      <c r="G116" s="61"/>
      <c r="H116" s="61"/>
      <c r="I116" s="61"/>
      <c r="J116" s="61"/>
      <c r="K116" s="61"/>
      <c r="L116" s="120"/>
    </row>
    <row r="117" spans="2:12">
      <c r="B117" s="359"/>
      <c r="C117" s="357"/>
      <c r="D117" s="180">
        <v>3</v>
      </c>
      <c r="E117" s="120" t="s">
        <v>36</v>
      </c>
      <c r="F117" s="61" t="s">
        <v>126</v>
      </c>
      <c r="G117" s="61">
        <v>1</v>
      </c>
      <c r="H117" s="61">
        <v>5</v>
      </c>
      <c r="I117" s="61"/>
      <c r="J117" s="61"/>
      <c r="K117" s="61"/>
      <c r="L117" s="120"/>
    </row>
    <row r="118" spans="2:12">
      <c r="B118" s="359"/>
      <c r="C118" s="357"/>
      <c r="D118" s="180">
        <v>4</v>
      </c>
      <c r="E118" s="120"/>
      <c r="F118" s="61" t="s">
        <v>125</v>
      </c>
      <c r="G118" s="61">
        <v>100</v>
      </c>
      <c r="H118" s="61"/>
      <c r="I118" s="61"/>
      <c r="J118" s="61"/>
      <c r="K118" s="61"/>
      <c r="L118" s="120"/>
    </row>
    <row r="119" spans="2:12">
      <c r="B119" s="359"/>
      <c r="C119" s="357"/>
      <c r="D119" s="180">
        <v>5</v>
      </c>
      <c r="E119" s="120" t="s">
        <v>166</v>
      </c>
      <c r="F119" s="61" t="s">
        <v>127</v>
      </c>
      <c r="G119" s="61">
        <v>1</v>
      </c>
      <c r="H119" s="61">
        <v>5</v>
      </c>
      <c r="I119" s="61">
        <v>1</v>
      </c>
      <c r="J119" s="61"/>
      <c r="K119" s="61"/>
      <c r="L119" s="120"/>
    </row>
    <row r="120" spans="2:12">
      <c r="B120" s="359"/>
      <c r="C120" s="357"/>
      <c r="D120" s="180">
        <v>6</v>
      </c>
      <c r="E120" s="120"/>
      <c r="F120" s="61" t="s">
        <v>125</v>
      </c>
      <c r="G120" s="61">
        <v>100</v>
      </c>
      <c r="H120" s="61"/>
      <c r="I120" s="61"/>
      <c r="J120" s="61"/>
      <c r="K120" s="61"/>
      <c r="L120" s="120"/>
    </row>
    <row r="121" spans="2:12">
      <c r="B121" s="359"/>
      <c r="C121" s="357"/>
      <c r="D121" s="180">
        <v>7</v>
      </c>
      <c r="E121" s="120" t="s">
        <v>36</v>
      </c>
      <c r="F121" s="61" t="s">
        <v>126</v>
      </c>
      <c r="G121" s="61">
        <v>1</v>
      </c>
      <c r="H121" s="61">
        <v>6</v>
      </c>
      <c r="I121" s="61"/>
      <c r="J121" s="61"/>
      <c r="K121" s="61"/>
      <c r="L121" s="120"/>
    </row>
    <row r="122" spans="2:12">
      <c r="B122" s="359"/>
      <c r="C122" s="357"/>
      <c r="D122" s="180">
        <v>8</v>
      </c>
      <c r="E122" s="120"/>
      <c r="F122" s="61" t="s">
        <v>125</v>
      </c>
      <c r="G122" s="61">
        <v>100</v>
      </c>
      <c r="H122" s="61"/>
      <c r="I122" s="61"/>
      <c r="J122" s="61"/>
      <c r="K122" s="61"/>
      <c r="L122" s="120"/>
    </row>
    <row r="123" spans="2:12">
      <c r="B123" s="359"/>
      <c r="C123" s="357"/>
      <c r="D123" s="180">
        <v>9</v>
      </c>
      <c r="E123" s="180" t="s">
        <v>1524</v>
      </c>
      <c r="F123" s="61" t="s">
        <v>81</v>
      </c>
      <c r="G123" s="61" t="s">
        <v>1517</v>
      </c>
      <c r="H123" s="61"/>
      <c r="I123" s="61"/>
      <c r="J123" s="61"/>
      <c r="K123" s="61"/>
      <c r="L123" s="180"/>
    </row>
    <row r="124" spans="2:12">
      <c r="B124" s="359"/>
      <c r="C124" s="357"/>
      <c r="D124" s="180">
        <v>10</v>
      </c>
      <c r="E124" s="120" t="s">
        <v>163</v>
      </c>
      <c r="F124" s="61" t="s">
        <v>164</v>
      </c>
      <c r="G124" s="61">
        <v>1</v>
      </c>
      <c r="H124" s="61">
        <v>4</v>
      </c>
      <c r="I124" s="61" t="s">
        <v>165</v>
      </c>
      <c r="J124" s="61"/>
      <c r="K124" s="61"/>
      <c r="L124" s="120"/>
    </row>
    <row r="125" spans="2:12">
      <c r="B125" s="359"/>
      <c r="C125" s="357"/>
      <c r="D125" s="180">
        <v>11</v>
      </c>
      <c r="E125" s="120" t="s">
        <v>166</v>
      </c>
      <c r="F125" s="61" t="s">
        <v>127</v>
      </c>
      <c r="G125" s="61">
        <v>1</v>
      </c>
      <c r="H125" s="61">
        <v>5</v>
      </c>
      <c r="I125" s="61">
        <v>5</v>
      </c>
      <c r="J125" s="61"/>
      <c r="K125" s="61"/>
      <c r="L125" s="120"/>
    </row>
    <row r="126" spans="2:12">
      <c r="B126" s="359"/>
      <c r="C126" s="357"/>
      <c r="D126" s="180">
        <v>12</v>
      </c>
      <c r="E126" s="142" t="s">
        <v>194</v>
      </c>
      <c r="F126" s="61" t="s">
        <v>125</v>
      </c>
      <c r="G126" s="61" t="s">
        <v>1546</v>
      </c>
      <c r="H126" s="61"/>
      <c r="I126" s="61"/>
      <c r="J126" s="61"/>
      <c r="K126" s="61"/>
      <c r="L126" s="121"/>
    </row>
    <row r="127" spans="2:12">
      <c r="B127" s="359"/>
      <c r="C127" s="357"/>
      <c r="D127" s="180">
        <v>13</v>
      </c>
      <c r="E127" s="180" t="s">
        <v>1525</v>
      </c>
      <c r="F127" s="61" t="s">
        <v>81</v>
      </c>
      <c r="G127" s="61" t="s">
        <v>196</v>
      </c>
      <c r="H127" s="61" t="s">
        <v>197</v>
      </c>
      <c r="I127" s="61" t="s">
        <v>197</v>
      </c>
      <c r="J127" s="61"/>
      <c r="K127" s="61"/>
      <c r="L127" s="180"/>
    </row>
    <row r="128" spans="2:12">
      <c r="B128" s="359"/>
      <c r="C128" s="357"/>
      <c r="D128" s="180">
        <v>14</v>
      </c>
      <c r="E128" s="180"/>
      <c r="F128" s="61" t="s">
        <v>81</v>
      </c>
      <c r="G128" s="61" t="s">
        <v>198</v>
      </c>
      <c r="H128" s="61" t="s">
        <v>199</v>
      </c>
      <c r="I128" s="61" t="s">
        <v>197</v>
      </c>
      <c r="J128" s="61" t="s">
        <v>197</v>
      </c>
      <c r="K128" s="61">
        <v>1</v>
      </c>
      <c r="L128" s="180"/>
    </row>
    <row r="129" spans="2:12">
      <c r="B129" s="359"/>
      <c r="C129" s="357"/>
      <c r="D129" s="180">
        <v>15</v>
      </c>
      <c r="E129" s="120" t="s">
        <v>146</v>
      </c>
      <c r="F129" s="61" t="s">
        <v>123</v>
      </c>
      <c r="G129" s="61"/>
      <c r="H129" s="61"/>
      <c r="I129" s="61"/>
      <c r="J129" s="61"/>
      <c r="K129" s="61"/>
      <c r="L129" s="120"/>
    </row>
    <row r="130" spans="2:12">
      <c r="B130" s="359"/>
      <c r="C130" s="358"/>
      <c r="D130" s="120"/>
      <c r="E130" s="120"/>
      <c r="F130" s="61"/>
      <c r="G130" s="61"/>
      <c r="H130" s="61"/>
      <c r="I130" s="61"/>
      <c r="J130" s="61"/>
      <c r="K130" s="61"/>
      <c r="L130" s="120"/>
    </row>
    <row r="131" spans="2:12">
      <c r="B131" s="359" t="s">
        <v>1264</v>
      </c>
      <c r="C131" s="356" t="s">
        <v>1474</v>
      </c>
      <c r="D131" s="60">
        <v>1</v>
      </c>
      <c r="E131" s="148" t="s">
        <v>1608</v>
      </c>
      <c r="F131" s="61" t="s">
        <v>87</v>
      </c>
      <c r="G131" s="61" t="s">
        <v>1609</v>
      </c>
      <c r="H131" s="61"/>
      <c r="I131" s="61"/>
      <c r="J131" s="61"/>
      <c r="K131" s="61"/>
      <c r="L131" s="60"/>
    </row>
    <row r="132" spans="2:12">
      <c r="B132" s="359"/>
      <c r="C132" s="357"/>
      <c r="D132" s="60">
        <v>2</v>
      </c>
      <c r="E132" s="60" t="s">
        <v>142</v>
      </c>
      <c r="F132" s="61" t="s">
        <v>122</v>
      </c>
      <c r="G132" s="61"/>
      <c r="H132" s="61"/>
      <c r="I132" s="61"/>
      <c r="J132" s="61"/>
      <c r="K132" s="61"/>
      <c r="L132" s="60"/>
    </row>
    <row r="133" spans="2:12">
      <c r="B133" s="359"/>
      <c r="C133" s="357"/>
      <c r="D133" s="60">
        <v>3</v>
      </c>
      <c r="E133" s="60" t="s">
        <v>36</v>
      </c>
      <c r="F133" s="61" t="s">
        <v>126</v>
      </c>
      <c r="G133" s="61">
        <v>1</v>
      </c>
      <c r="H133" s="61">
        <v>5</v>
      </c>
      <c r="I133" s="61"/>
      <c r="J133" s="61"/>
      <c r="K133" s="61"/>
      <c r="L133" s="60"/>
    </row>
    <row r="134" spans="2:12">
      <c r="B134" s="359"/>
      <c r="C134" s="357"/>
      <c r="D134" s="60">
        <v>4</v>
      </c>
      <c r="E134" s="60"/>
      <c r="F134" s="61" t="s">
        <v>125</v>
      </c>
      <c r="G134" s="61">
        <v>100</v>
      </c>
      <c r="H134" s="61"/>
      <c r="I134" s="61"/>
      <c r="J134" s="61"/>
      <c r="K134" s="61"/>
      <c r="L134" s="60"/>
    </row>
    <row r="135" spans="2:12">
      <c r="B135" s="359"/>
      <c r="C135" s="357"/>
      <c r="D135" s="60">
        <v>5</v>
      </c>
      <c r="E135" s="60" t="s">
        <v>166</v>
      </c>
      <c r="F135" s="61" t="s">
        <v>127</v>
      </c>
      <c r="G135" s="61">
        <v>1</v>
      </c>
      <c r="H135" s="61">
        <v>5</v>
      </c>
      <c r="I135" s="61">
        <v>1</v>
      </c>
      <c r="J135" s="61"/>
      <c r="K135" s="61"/>
      <c r="L135" s="60"/>
    </row>
    <row r="136" spans="2:12">
      <c r="B136" s="359"/>
      <c r="C136" s="357"/>
      <c r="D136" s="120">
        <v>6</v>
      </c>
      <c r="E136" s="120"/>
      <c r="F136" s="61" t="s">
        <v>125</v>
      </c>
      <c r="G136" s="61">
        <v>100</v>
      </c>
      <c r="H136" s="61"/>
      <c r="I136" s="61"/>
      <c r="J136" s="61"/>
      <c r="K136" s="61"/>
      <c r="L136" s="120"/>
    </row>
    <row r="137" spans="2:12">
      <c r="B137" s="359"/>
      <c r="C137" s="357"/>
      <c r="D137" s="120">
        <v>7</v>
      </c>
      <c r="E137" s="60" t="s">
        <v>36</v>
      </c>
      <c r="F137" s="61" t="s">
        <v>126</v>
      </c>
      <c r="G137" s="61">
        <v>1</v>
      </c>
      <c r="H137" s="61">
        <v>6</v>
      </c>
      <c r="I137" s="61"/>
      <c r="J137" s="61"/>
      <c r="K137" s="61"/>
      <c r="L137" s="60"/>
    </row>
    <row r="138" spans="2:12">
      <c r="B138" s="359"/>
      <c r="C138" s="357"/>
      <c r="D138" s="120">
        <v>8</v>
      </c>
      <c r="E138" s="120"/>
      <c r="F138" s="61" t="s">
        <v>125</v>
      </c>
      <c r="G138" s="61">
        <v>100</v>
      </c>
      <c r="H138" s="61"/>
      <c r="I138" s="61"/>
      <c r="J138" s="61"/>
      <c r="K138" s="61"/>
      <c r="L138" s="120"/>
    </row>
    <row r="139" spans="2:12">
      <c r="B139" s="359"/>
      <c r="C139" s="357"/>
      <c r="D139" s="120">
        <v>9</v>
      </c>
      <c r="E139" s="60" t="s">
        <v>163</v>
      </c>
      <c r="F139" s="61" t="s">
        <v>164</v>
      </c>
      <c r="G139" s="61">
        <v>1</v>
      </c>
      <c r="H139" s="61">
        <v>4</v>
      </c>
      <c r="I139" s="61" t="s">
        <v>165</v>
      </c>
      <c r="J139" s="61"/>
      <c r="K139" s="61"/>
      <c r="L139" s="60"/>
    </row>
    <row r="140" spans="2:12">
      <c r="B140" s="359"/>
      <c r="C140" s="357"/>
      <c r="D140" s="120">
        <v>10</v>
      </c>
      <c r="E140" s="60" t="s">
        <v>166</v>
      </c>
      <c r="F140" s="61" t="s">
        <v>127</v>
      </c>
      <c r="G140" s="61">
        <v>1</v>
      </c>
      <c r="H140" s="61">
        <v>5</v>
      </c>
      <c r="I140" s="61">
        <v>5</v>
      </c>
      <c r="J140" s="61"/>
      <c r="K140" s="61"/>
      <c r="L140" s="60"/>
    </row>
    <row r="141" spans="2:12">
      <c r="B141" s="359"/>
      <c r="C141" s="357"/>
      <c r="D141" s="120">
        <v>11</v>
      </c>
      <c r="E141" s="60" t="s">
        <v>318</v>
      </c>
      <c r="F141" s="61" t="s">
        <v>300</v>
      </c>
      <c r="G141" s="61">
        <v>5000</v>
      </c>
      <c r="H141" s="61"/>
      <c r="I141" s="61"/>
      <c r="J141" s="61"/>
      <c r="K141" s="61"/>
      <c r="L141" s="60"/>
    </row>
    <row r="142" spans="2:12">
      <c r="B142" s="359"/>
      <c r="C142" s="357"/>
      <c r="D142" s="120">
        <v>12</v>
      </c>
      <c r="E142" s="60" t="s">
        <v>146</v>
      </c>
      <c r="F142" s="61" t="s">
        <v>123</v>
      </c>
      <c r="G142" s="61"/>
      <c r="H142" s="61"/>
      <c r="I142" s="61"/>
      <c r="J142" s="61"/>
      <c r="K142" s="61"/>
      <c r="L142" s="60"/>
    </row>
    <row r="143" spans="2:12">
      <c r="B143" s="359"/>
      <c r="C143" s="358"/>
      <c r="D143" s="60"/>
      <c r="E143" s="60"/>
      <c r="F143" s="61"/>
      <c r="G143" s="61"/>
      <c r="H143" s="61"/>
      <c r="I143" s="61"/>
      <c r="J143" s="61"/>
      <c r="K143" s="61"/>
      <c r="L143" s="60"/>
    </row>
    <row r="144" spans="2:12">
      <c r="B144" s="359" t="s">
        <v>1266</v>
      </c>
      <c r="C144" s="356" t="s">
        <v>1474</v>
      </c>
      <c r="D144" s="120">
        <v>1</v>
      </c>
      <c r="E144" s="148" t="s">
        <v>1608</v>
      </c>
      <c r="F144" s="61" t="s">
        <v>87</v>
      </c>
      <c r="G144" s="61" t="s">
        <v>1609</v>
      </c>
      <c r="H144" s="61"/>
      <c r="I144" s="61"/>
      <c r="J144" s="61"/>
      <c r="K144" s="61"/>
      <c r="L144" s="120"/>
    </row>
    <row r="145" spans="2:12">
      <c r="B145" s="359"/>
      <c r="C145" s="357"/>
      <c r="D145" s="120">
        <v>2</v>
      </c>
      <c r="E145" s="120" t="s">
        <v>142</v>
      </c>
      <c r="F145" s="61" t="s">
        <v>122</v>
      </c>
      <c r="G145" s="61"/>
      <c r="H145" s="61"/>
      <c r="I145" s="61"/>
      <c r="J145" s="61"/>
      <c r="K145" s="61"/>
      <c r="L145" s="120"/>
    </row>
    <row r="146" spans="2:12">
      <c r="B146" s="359"/>
      <c r="C146" s="357"/>
      <c r="D146" s="180">
        <v>3</v>
      </c>
      <c r="E146" s="120" t="s">
        <v>36</v>
      </c>
      <c r="F146" s="61" t="s">
        <v>126</v>
      </c>
      <c r="G146" s="61">
        <v>1</v>
      </c>
      <c r="H146" s="61">
        <v>1</v>
      </c>
      <c r="I146" s="61"/>
      <c r="J146" s="61"/>
      <c r="K146" s="61"/>
      <c r="L146" s="120"/>
    </row>
    <row r="147" spans="2:12">
      <c r="B147" s="359"/>
      <c r="C147" s="357"/>
      <c r="D147" s="180">
        <v>4</v>
      </c>
      <c r="E147" s="120"/>
      <c r="F147" s="61" t="s">
        <v>125</v>
      </c>
      <c r="G147" s="61">
        <v>100</v>
      </c>
      <c r="H147" s="61"/>
      <c r="I147" s="61"/>
      <c r="J147" s="61"/>
      <c r="K147" s="61"/>
      <c r="L147" s="120"/>
    </row>
    <row r="148" spans="2:12">
      <c r="B148" s="359"/>
      <c r="C148" s="357"/>
      <c r="D148" s="180">
        <v>5</v>
      </c>
      <c r="E148" s="120" t="s">
        <v>166</v>
      </c>
      <c r="F148" s="61" t="s">
        <v>127</v>
      </c>
      <c r="G148" s="61">
        <v>1</v>
      </c>
      <c r="H148" s="61">
        <v>1</v>
      </c>
      <c r="I148" s="61">
        <v>1</v>
      </c>
      <c r="J148" s="61"/>
      <c r="K148" s="61"/>
      <c r="L148" s="120"/>
    </row>
    <row r="149" spans="2:12">
      <c r="B149" s="359"/>
      <c r="C149" s="357"/>
      <c r="D149" s="180">
        <v>6</v>
      </c>
      <c r="E149" s="120"/>
      <c r="F149" s="61" t="s">
        <v>125</v>
      </c>
      <c r="G149" s="61">
        <v>100</v>
      </c>
      <c r="H149" s="61"/>
      <c r="I149" s="61"/>
      <c r="J149" s="61"/>
      <c r="K149" s="61"/>
      <c r="L149" s="120"/>
    </row>
    <row r="150" spans="2:12">
      <c r="B150" s="359"/>
      <c r="C150" s="357"/>
      <c r="D150" s="180">
        <v>7</v>
      </c>
      <c r="E150" s="120" t="s">
        <v>36</v>
      </c>
      <c r="F150" s="61" t="s">
        <v>126</v>
      </c>
      <c r="G150" s="61">
        <v>1</v>
      </c>
      <c r="H150" s="61">
        <v>6</v>
      </c>
      <c r="I150" s="61"/>
      <c r="J150" s="61"/>
      <c r="K150" s="61"/>
      <c r="L150" s="120"/>
    </row>
    <row r="151" spans="2:12">
      <c r="B151" s="359"/>
      <c r="C151" s="357"/>
      <c r="D151" s="180">
        <v>8</v>
      </c>
      <c r="E151" s="120"/>
      <c r="F151" s="61" t="s">
        <v>125</v>
      </c>
      <c r="G151" s="61">
        <v>100</v>
      </c>
      <c r="H151" s="61"/>
      <c r="I151" s="61"/>
      <c r="J151" s="61"/>
      <c r="K151" s="61"/>
      <c r="L151" s="120"/>
    </row>
    <row r="152" spans="2:12">
      <c r="B152" s="359"/>
      <c r="C152" s="357"/>
      <c r="D152" s="180">
        <v>9</v>
      </c>
      <c r="E152" s="180" t="s">
        <v>1524</v>
      </c>
      <c r="F152" s="61" t="s">
        <v>81</v>
      </c>
      <c r="G152" s="61" t="s">
        <v>1517</v>
      </c>
      <c r="H152" s="61"/>
      <c r="I152" s="61"/>
      <c r="J152" s="61"/>
      <c r="K152" s="61"/>
      <c r="L152" s="180"/>
    </row>
    <row r="153" spans="2:12">
      <c r="B153" s="359"/>
      <c r="C153" s="357"/>
      <c r="D153" s="180">
        <v>10</v>
      </c>
      <c r="E153" s="120" t="s">
        <v>163</v>
      </c>
      <c r="F153" s="61" t="s">
        <v>164</v>
      </c>
      <c r="G153" s="61">
        <v>1</v>
      </c>
      <c r="H153" s="61">
        <v>4</v>
      </c>
      <c r="I153" s="61" t="s">
        <v>165</v>
      </c>
      <c r="J153" s="61"/>
      <c r="K153" s="61"/>
      <c r="L153" s="120"/>
    </row>
    <row r="154" spans="2:12">
      <c r="B154" s="359"/>
      <c r="C154" s="357"/>
      <c r="D154" s="180">
        <v>11</v>
      </c>
      <c r="E154" s="120" t="s">
        <v>166</v>
      </c>
      <c r="F154" s="61" t="s">
        <v>127</v>
      </c>
      <c r="G154" s="61">
        <v>1</v>
      </c>
      <c r="H154" s="61">
        <v>5</v>
      </c>
      <c r="I154" s="61">
        <v>3</v>
      </c>
      <c r="J154" s="61"/>
      <c r="K154" s="61"/>
      <c r="L154" s="120"/>
    </row>
    <row r="155" spans="2:12">
      <c r="B155" s="359"/>
      <c r="C155" s="357"/>
      <c r="D155" s="180">
        <v>12</v>
      </c>
      <c r="E155" s="142" t="s">
        <v>194</v>
      </c>
      <c r="F155" s="61" t="s">
        <v>125</v>
      </c>
      <c r="G155" s="61" t="s">
        <v>1546</v>
      </c>
      <c r="H155" s="61"/>
      <c r="I155" s="61"/>
      <c r="J155" s="61"/>
      <c r="K155" s="61"/>
      <c r="L155" s="121"/>
    </row>
    <row r="156" spans="2:12">
      <c r="B156" s="359"/>
      <c r="C156" s="357"/>
      <c r="D156" s="180">
        <v>13</v>
      </c>
      <c r="E156" s="180" t="s">
        <v>1525</v>
      </c>
      <c r="F156" s="61" t="s">
        <v>81</v>
      </c>
      <c r="G156" s="61" t="s">
        <v>196</v>
      </c>
      <c r="H156" s="61" t="s">
        <v>197</v>
      </c>
      <c r="I156" s="61" t="s">
        <v>197</v>
      </c>
      <c r="J156" s="61"/>
      <c r="K156" s="61"/>
      <c r="L156" s="180"/>
    </row>
    <row r="157" spans="2:12">
      <c r="B157" s="359"/>
      <c r="C157" s="357"/>
      <c r="D157" s="180">
        <v>14</v>
      </c>
      <c r="E157" s="180"/>
      <c r="F157" s="61" t="s">
        <v>81</v>
      </c>
      <c r="G157" s="61" t="s">
        <v>198</v>
      </c>
      <c r="H157" s="61" t="s">
        <v>199</v>
      </c>
      <c r="I157" s="61" t="s">
        <v>197</v>
      </c>
      <c r="J157" s="61" t="s">
        <v>197</v>
      </c>
      <c r="K157" s="61">
        <v>1</v>
      </c>
      <c r="L157" s="180"/>
    </row>
    <row r="158" spans="2:12">
      <c r="B158" s="359"/>
      <c r="C158" s="357"/>
      <c r="D158" s="180">
        <v>15</v>
      </c>
      <c r="E158" s="120" t="s">
        <v>146</v>
      </c>
      <c r="F158" s="61" t="s">
        <v>123</v>
      </c>
      <c r="G158" s="61"/>
      <c r="H158" s="61"/>
      <c r="I158" s="61"/>
      <c r="J158" s="61"/>
      <c r="K158" s="61"/>
      <c r="L158" s="120"/>
    </row>
    <row r="159" spans="2:12">
      <c r="B159" s="359"/>
      <c r="C159" s="358"/>
      <c r="D159" s="120"/>
      <c r="E159" s="120"/>
      <c r="F159" s="61"/>
      <c r="G159" s="61"/>
      <c r="H159" s="61"/>
      <c r="I159" s="61"/>
      <c r="J159" s="61"/>
      <c r="K159" s="61"/>
      <c r="L159" s="120"/>
    </row>
    <row r="160" spans="2:12">
      <c r="B160" s="359" t="s">
        <v>1267</v>
      </c>
      <c r="C160" s="356" t="s">
        <v>1474</v>
      </c>
      <c r="D160" s="60">
        <v>1</v>
      </c>
      <c r="E160" s="148" t="s">
        <v>1608</v>
      </c>
      <c r="F160" s="61" t="s">
        <v>87</v>
      </c>
      <c r="G160" s="61" t="s">
        <v>1609</v>
      </c>
      <c r="H160" s="61"/>
      <c r="I160" s="61"/>
      <c r="J160" s="61"/>
      <c r="K160" s="61"/>
      <c r="L160" s="60"/>
    </row>
    <row r="161" spans="2:12">
      <c r="B161" s="359"/>
      <c r="C161" s="357"/>
      <c r="D161" s="60">
        <v>2</v>
      </c>
      <c r="E161" s="60" t="s">
        <v>142</v>
      </c>
      <c r="F161" s="61" t="s">
        <v>122</v>
      </c>
      <c r="G161" s="61"/>
      <c r="H161" s="61"/>
      <c r="I161" s="61"/>
      <c r="J161" s="61"/>
      <c r="K161" s="61"/>
      <c r="L161" s="60"/>
    </row>
    <row r="162" spans="2:12">
      <c r="B162" s="359"/>
      <c r="C162" s="357"/>
      <c r="D162" s="60">
        <v>3</v>
      </c>
      <c r="E162" s="60" t="s">
        <v>36</v>
      </c>
      <c r="F162" s="61" t="s">
        <v>126</v>
      </c>
      <c r="G162" s="61">
        <v>1</v>
      </c>
      <c r="H162" s="61">
        <v>1</v>
      </c>
      <c r="I162" s="61"/>
      <c r="J162" s="61"/>
      <c r="K162" s="61"/>
      <c r="L162" s="60"/>
    </row>
    <row r="163" spans="2:12">
      <c r="B163" s="359"/>
      <c r="C163" s="357"/>
      <c r="D163" s="60">
        <v>4</v>
      </c>
      <c r="E163" s="60"/>
      <c r="F163" s="61" t="s">
        <v>125</v>
      </c>
      <c r="G163" s="61">
        <v>100</v>
      </c>
      <c r="H163" s="61"/>
      <c r="I163" s="61"/>
      <c r="J163" s="61"/>
      <c r="K163" s="61"/>
      <c r="L163" s="60"/>
    </row>
    <row r="164" spans="2:12">
      <c r="B164" s="359"/>
      <c r="C164" s="357"/>
      <c r="D164" s="120">
        <v>5</v>
      </c>
      <c r="E164" s="60" t="s">
        <v>166</v>
      </c>
      <c r="F164" s="61" t="s">
        <v>127</v>
      </c>
      <c r="G164" s="61">
        <v>1</v>
      </c>
      <c r="H164" s="61">
        <v>1</v>
      </c>
      <c r="I164" s="61">
        <v>1</v>
      </c>
      <c r="J164" s="61"/>
      <c r="K164" s="61"/>
      <c r="L164" s="60"/>
    </row>
    <row r="165" spans="2:12">
      <c r="B165" s="359"/>
      <c r="C165" s="357"/>
      <c r="D165" s="120">
        <v>6</v>
      </c>
      <c r="E165" s="120"/>
      <c r="F165" s="61" t="s">
        <v>125</v>
      </c>
      <c r="G165" s="61">
        <v>100</v>
      </c>
      <c r="H165" s="61"/>
      <c r="I165" s="61"/>
      <c r="J165" s="61"/>
      <c r="K165" s="61"/>
      <c r="L165" s="120"/>
    </row>
    <row r="166" spans="2:12">
      <c r="B166" s="359"/>
      <c r="C166" s="357"/>
      <c r="D166" s="120">
        <v>7</v>
      </c>
      <c r="E166" s="120" t="s">
        <v>36</v>
      </c>
      <c r="F166" s="61" t="s">
        <v>126</v>
      </c>
      <c r="G166" s="61">
        <v>1</v>
      </c>
      <c r="H166" s="61">
        <v>6</v>
      </c>
      <c r="I166" s="61"/>
      <c r="J166" s="61"/>
      <c r="K166" s="61"/>
      <c r="L166" s="120"/>
    </row>
    <row r="167" spans="2:12">
      <c r="B167" s="359"/>
      <c r="C167" s="357"/>
      <c r="D167" s="120">
        <v>8</v>
      </c>
      <c r="E167" s="120"/>
      <c r="F167" s="61" t="s">
        <v>125</v>
      </c>
      <c r="G167" s="61">
        <v>100</v>
      </c>
      <c r="H167" s="61"/>
      <c r="I167" s="61"/>
      <c r="J167" s="61"/>
      <c r="K167" s="61"/>
      <c r="L167" s="120"/>
    </row>
    <row r="168" spans="2:12">
      <c r="B168" s="359"/>
      <c r="C168" s="357"/>
      <c r="D168" s="120">
        <v>9</v>
      </c>
      <c r="E168" s="60" t="s">
        <v>163</v>
      </c>
      <c r="F168" s="61" t="s">
        <v>164</v>
      </c>
      <c r="G168" s="61">
        <v>1</v>
      </c>
      <c r="H168" s="61">
        <v>4</v>
      </c>
      <c r="I168" s="61" t="s">
        <v>165</v>
      </c>
      <c r="J168" s="61"/>
      <c r="K168" s="61"/>
      <c r="L168" s="60"/>
    </row>
    <row r="169" spans="2:12">
      <c r="B169" s="359"/>
      <c r="C169" s="357"/>
      <c r="D169" s="120">
        <v>10</v>
      </c>
      <c r="E169" s="60" t="s">
        <v>166</v>
      </c>
      <c r="F169" s="61" t="s">
        <v>127</v>
      </c>
      <c r="G169" s="61">
        <v>1</v>
      </c>
      <c r="H169" s="61">
        <v>5</v>
      </c>
      <c r="I169" s="61">
        <v>3</v>
      </c>
      <c r="J169" s="61"/>
      <c r="K169" s="61"/>
      <c r="L169" s="60"/>
    </row>
    <row r="170" spans="2:12">
      <c r="B170" s="359"/>
      <c r="C170" s="357"/>
      <c r="D170" s="120">
        <v>11</v>
      </c>
      <c r="E170" s="60" t="s">
        <v>318</v>
      </c>
      <c r="F170" s="61" t="s">
        <v>300</v>
      </c>
      <c r="G170" s="61">
        <v>5000</v>
      </c>
      <c r="H170" s="61"/>
      <c r="I170" s="61"/>
      <c r="J170" s="61"/>
      <c r="K170" s="61"/>
      <c r="L170" s="60"/>
    </row>
    <row r="171" spans="2:12">
      <c r="B171" s="359"/>
      <c r="C171" s="357"/>
      <c r="D171" s="120">
        <v>12</v>
      </c>
      <c r="E171" s="60" t="s">
        <v>146</v>
      </c>
      <c r="F171" s="61" t="s">
        <v>123</v>
      </c>
      <c r="G171" s="61"/>
      <c r="H171" s="61"/>
      <c r="I171" s="61"/>
      <c r="J171" s="61"/>
      <c r="K171" s="61"/>
      <c r="L171" s="60"/>
    </row>
    <row r="172" spans="2:12">
      <c r="B172" s="359"/>
      <c r="C172" s="358"/>
      <c r="D172" s="60"/>
      <c r="E172" s="60"/>
      <c r="F172" s="61"/>
      <c r="G172" s="61"/>
      <c r="H172" s="61"/>
      <c r="I172" s="61"/>
      <c r="J172" s="61"/>
      <c r="K172" s="61"/>
      <c r="L172" s="60"/>
    </row>
    <row r="173" spans="2:12">
      <c r="B173" s="359" t="s">
        <v>1269</v>
      </c>
      <c r="C173" s="356" t="s">
        <v>1474</v>
      </c>
      <c r="D173" s="120">
        <v>1</v>
      </c>
      <c r="E173" s="148" t="s">
        <v>1608</v>
      </c>
      <c r="F173" s="61" t="s">
        <v>87</v>
      </c>
      <c r="G173" s="61" t="s">
        <v>1609</v>
      </c>
      <c r="H173" s="61"/>
      <c r="I173" s="61"/>
      <c r="J173" s="61"/>
      <c r="K173" s="61"/>
      <c r="L173" s="120"/>
    </row>
    <row r="174" spans="2:12">
      <c r="B174" s="359"/>
      <c r="C174" s="357"/>
      <c r="D174" s="120">
        <v>2</v>
      </c>
      <c r="E174" s="120" t="s">
        <v>142</v>
      </c>
      <c r="F174" s="61" t="s">
        <v>122</v>
      </c>
      <c r="G174" s="61"/>
      <c r="H174" s="61"/>
      <c r="I174" s="61"/>
      <c r="J174" s="61"/>
      <c r="K174" s="61"/>
      <c r="L174" s="120"/>
    </row>
    <row r="175" spans="2:12">
      <c r="B175" s="359"/>
      <c r="C175" s="357"/>
      <c r="D175" s="180">
        <v>3</v>
      </c>
      <c r="E175" s="120" t="s">
        <v>36</v>
      </c>
      <c r="F175" s="61" t="s">
        <v>126</v>
      </c>
      <c r="G175" s="61">
        <v>1</v>
      </c>
      <c r="H175" s="61">
        <v>6</v>
      </c>
      <c r="I175" s="61"/>
      <c r="J175" s="61"/>
      <c r="K175" s="61"/>
      <c r="L175" s="120"/>
    </row>
    <row r="176" spans="2:12">
      <c r="B176" s="359"/>
      <c r="C176" s="357"/>
      <c r="D176" s="180">
        <v>4</v>
      </c>
      <c r="E176" s="120"/>
      <c r="F176" s="61" t="s">
        <v>125</v>
      </c>
      <c r="G176" s="61">
        <v>100</v>
      </c>
      <c r="H176" s="61"/>
      <c r="I176" s="61"/>
      <c r="J176" s="61"/>
      <c r="K176" s="61"/>
      <c r="L176" s="120"/>
    </row>
    <row r="177" spans="2:12">
      <c r="B177" s="359"/>
      <c r="C177" s="357"/>
      <c r="D177" s="180">
        <v>5</v>
      </c>
      <c r="E177" s="120" t="s">
        <v>166</v>
      </c>
      <c r="F177" s="61" t="s">
        <v>127</v>
      </c>
      <c r="G177" s="61">
        <v>1</v>
      </c>
      <c r="H177" s="61">
        <v>7</v>
      </c>
      <c r="I177" s="61">
        <v>1</v>
      </c>
      <c r="J177" s="61"/>
      <c r="K177" s="61"/>
      <c r="L177" s="120"/>
    </row>
    <row r="178" spans="2:12">
      <c r="B178" s="359"/>
      <c r="C178" s="357"/>
      <c r="D178" s="180">
        <v>6</v>
      </c>
      <c r="E178" s="120"/>
      <c r="F178" s="61" t="s">
        <v>125</v>
      </c>
      <c r="G178" s="61">
        <v>100</v>
      </c>
      <c r="H178" s="61"/>
      <c r="I178" s="61"/>
      <c r="J178" s="61"/>
      <c r="K178" s="61"/>
      <c r="L178" s="120"/>
    </row>
    <row r="179" spans="2:12">
      <c r="B179" s="359"/>
      <c r="C179" s="357"/>
      <c r="D179" s="180">
        <v>7</v>
      </c>
      <c r="E179" s="180" t="s">
        <v>1524</v>
      </c>
      <c r="F179" s="61" t="s">
        <v>81</v>
      </c>
      <c r="G179" s="61" t="s">
        <v>1517</v>
      </c>
      <c r="H179" s="61"/>
      <c r="I179" s="61"/>
      <c r="J179" s="61"/>
      <c r="K179" s="61"/>
      <c r="L179" s="180"/>
    </row>
    <row r="180" spans="2:12">
      <c r="B180" s="359"/>
      <c r="C180" s="357"/>
      <c r="D180" s="180">
        <v>8</v>
      </c>
      <c r="E180" s="120" t="s">
        <v>163</v>
      </c>
      <c r="F180" s="61" t="s">
        <v>164</v>
      </c>
      <c r="G180" s="61">
        <v>1</v>
      </c>
      <c r="H180" s="61">
        <v>4</v>
      </c>
      <c r="I180" s="61" t="s">
        <v>165</v>
      </c>
      <c r="J180" s="61"/>
      <c r="K180" s="61"/>
      <c r="L180" s="120"/>
    </row>
    <row r="181" spans="2:12">
      <c r="B181" s="359"/>
      <c r="C181" s="357"/>
      <c r="D181" s="180">
        <v>9</v>
      </c>
      <c r="E181" s="120" t="s">
        <v>166</v>
      </c>
      <c r="F181" s="61" t="s">
        <v>127</v>
      </c>
      <c r="G181" s="61">
        <v>1</v>
      </c>
      <c r="H181" s="61">
        <v>7</v>
      </c>
      <c r="I181" s="61">
        <v>3</v>
      </c>
      <c r="J181" s="61"/>
      <c r="K181" s="61"/>
      <c r="L181" s="120"/>
    </row>
    <row r="182" spans="2:12">
      <c r="B182" s="359"/>
      <c r="C182" s="357"/>
      <c r="D182" s="180">
        <v>10</v>
      </c>
      <c r="E182" s="142" t="s">
        <v>194</v>
      </c>
      <c r="F182" s="61" t="s">
        <v>125</v>
      </c>
      <c r="G182" s="61" t="s">
        <v>1546</v>
      </c>
      <c r="H182" s="61"/>
      <c r="I182" s="61"/>
      <c r="J182" s="61"/>
      <c r="K182" s="61"/>
      <c r="L182" s="121"/>
    </row>
    <row r="183" spans="2:12">
      <c r="B183" s="359"/>
      <c r="C183" s="357"/>
      <c r="D183" s="180">
        <v>11</v>
      </c>
      <c r="E183" s="180" t="s">
        <v>1525</v>
      </c>
      <c r="F183" s="61" t="s">
        <v>81</v>
      </c>
      <c r="G183" s="61" t="s">
        <v>196</v>
      </c>
      <c r="H183" s="61" t="s">
        <v>197</v>
      </c>
      <c r="I183" s="61" t="s">
        <v>197</v>
      </c>
      <c r="J183" s="61"/>
      <c r="K183" s="61"/>
      <c r="L183" s="180"/>
    </row>
    <row r="184" spans="2:12">
      <c r="B184" s="359"/>
      <c r="C184" s="357"/>
      <c r="D184" s="180">
        <v>12</v>
      </c>
      <c r="E184" s="180"/>
      <c r="F184" s="61" t="s">
        <v>81</v>
      </c>
      <c r="G184" s="61" t="s">
        <v>198</v>
      </c>
      <c r="H184" s="61" t="s">
        <v>199</v>
      </c>
      <c r="I184" s="61" t="s">
        <v>197</v>
      </c>
      <c r="J184" s="61" t="s">
        <v>197</v>
      </c>
      <c r="K184" s="61">
        <v>1</v>
      </c>
      <c r="L184" s="180"/>
    </row>
    <row r="185" spans="2:12">
      <c r="B185" s="359"/>
      <c r="C185" s="357"/>
      <c r="D185" s="180">
        <v>13</v>
      </c>
      <c r="E185" s="120" t="s">
        <v>146</v>
      </c>
      <c r="F185" s="61" t="s">
        <v>123</v>
      </c>
      <c r="G185" s="61"/>
      <c r="H185" s="61"/>
      <c r="I185" s="61"/>
      <c r="J185" s="61"/>
      <c r="K185" s="61"/>
      <c r="L185" s="120"/>
    </row>
    <row r="186" spans="2:12">
      <c r="B186" s="359"/>
      <c r="C186" s="358"/>
      <c r="D186" s="120"/>
      <c r="E186" s="120"/>
      <c r="F186" s="61"/>
      <c r="G186" s="61"/>
      <c r="H186" s="61"/>
      <c r="I186" s="61"/>
      <c r="J186" s="61"/>
      <c r="K186" s="61"/>
      <c r="L186" s="120"/>
    </row>
    <row r="187" spans="2:12">
      <c r="B187" s="359" t="s">
        <v>1268</v>
      </c>
      <c r="C187" s="356" t="s">
        <v>1474</v>
      </c>
      <c r="D187" s="60">
        <v>1</v>
      </c>
      <c r="E187" s="148" t="s">
        <v>1608</v>
      </c>
      <c r="F187" s="61" t="s">
        <v>87</v>
      </c>
      <c r="G187" s="61" t="s">
        <v>1609</v>
      </c>
      <c r="H187" s="61"/>
      <c r="I187" s="61"/>
      <c r="J187" s="61"/>
      <c r="K187" s="61"/>
      <c r="L187" s="60"/>
    </row>
    <row r="188" spans="2:12">
      <c r="B188" s="359"/>
      <c r="C188" s="357"/>
      <c r="D188" s="60">
        <v>2</v>
      </c>
      <c r="E188" s="60" t="s">
        <v>142</v>
      </c>
      <c r="F188" s="61" t="s">
        <v>122</v>
      </c>
      <c r="G188" s="61"/>
      <c r="H188" s="61"/>
      <c r="I188" s="61"/>
      <c r="J188" s="61"/>
      <c r="K188" s="61"/>
      <c r="L188" s="60"/>
    </row>
    <row r="189" spans="2:12">
      <c r="B189" s="359"/>
      <c r="C189" s="357"/>
      <c r="D189" s="60">
        <v>3</v>
      </c>
      <c r="E189" s="60" t="s">
        <v>36</v>
      </c>
      <c r="F189" s="61" t="s">
        <v>126</v>
      </c>
      <c r="G189" s="61">
        <v>1</v>
      </c>
      <c r="H189" s="61">
        <v>6</v>
      </c>
      <c r="I189" s="61"/>
      <c r="J189" s="61"/>
      <c r="K189" s="61"/>
      <c r="L189" s="60"/>
    </row>
    <row r="190" spans="2:12">
      <c r="B190" s="359"/>
      <c r="C190" s="357"/>
      <c r="D190" s="120">
        <v>4</v>
      </c>
      <c r="E190" s="120"/>
      <c r="F190" s="61" t="s">
        <v>125</v>
      </c>
      <c r="G190" s="61">
        <v>100</v>
      </c>
      <c r="H190" s="61"/>
      <c r="I190" s="61"/>
      <c r="J190" s="61"/>
      <c r="K190" s="61"/>
      <c r="L190" s="120"/>
    </row>
    <row r="191" spans="2:12">
      <c r="B191" s="359"/>
      <c r="C191" s="357"/>
      <c r="D191" s="120">
        <v>5</v>
      </c>
      <c r="E191" s="60" t="s">
        <v>166</v>
      </c>
      <c r="F191" s="61" t="s">
        <v>127</v>
      </c>
      <c r="G191" s="61">
        <v>1</v>
      </c>
      <c r="H191" s="61">
        <v>7</v>
      </c>
      <c r="I191" s="61">
        <v>1</v>
      </c>
      <c r="J191" s="61"/>
      <c r="K191" s="61"/>
      <c r="L191" s="60"/>
    </row>
    <row r="192" spans="2:12">
      <c r="B192" s="359"/>
      <c r="C192" s="357"/>
      <c r="D192" s="120">
        <v>6</v>
      </c>
      <c r="E192" s="120"/>
      <c r="F192" s="61" t="s">
        <v>125</v>
      </c>
      <c r="G192" s="61">
        <v>100</v>
      </c>
      <c r="H192" s="61"/>
      <c r="I192" s="61"/>
      <c r="J192" s="61"/>
      <c r="K192" s="61"/>
      <c r="L192" s="120"/>
    </row>
    <row r="193" spans="2:12">
      <c r="B193" s="359"/>
      <c r="C193" s="357"/>
      <c r="D193" s="120">
        <v>7</v>
      </c>
      <c r="E193" s="60" t="s">
        <v>163</v>
      </c>
      <c r="F193" s="61" t="s">
        <v>164</v>
      </c>
      <c r="G193" s="61">
        <v>1</v>
      </c>
      <c r="H193" s="61">
        <v>4</v>
      </c>
      <c r="I193" s="61" t="s">
        <v>165</v>
      </c>
      <c r="J193" s="61"/>
      <c r="K193" s="61"/>
      <c r="L193" s="60"/>
    </row>
    <row r="194" spans="2:12">
      <c r="B194" s="359"/>
      <c r="C194" s="357"/>
      <c r="D194" s="120">
        <v>8</v>
      </c>
      <c r="E194" s="60" t="s">
        <v>166</v>
      </c>
      <c r="F194" s="61" t="s">
        <v>127</v>
      </c>
      <c r="G194" s="61">
        <v>1</v>
      </c>
      <c r="H194" s="61">
        <v>7</v>
      </c>
      <c r="I194" s="61">
        <v>3</v>
      </c>
      <c r="J194" s="61"/>
      <c r="K194" s="61"/>
      <c r="L194" s="60"/>
    </row>
    <row r="195" spans="2:12">
      <c r="B195" s="359"/>
      <c r="C195" s="357"/>
      <c r="D195" s="120">
        <v>9</v>
      </c>
      <c r="E195" s="60" t="s">
        <v>318</v>
      </c>
      <c r="F195" s="61" t="s">
        <v>300</v>
      </c>
      <c r="G195" s="61">
        <v>5000</v>
      </c>
      <c r="H195" s="61"/>
      <c r="I195" s="61"/>
      <c r="J195" s="61"/>
      <c r="K195" s="61"/>
      <c r="L195" s="60"/>
    </row>
    <row r="196" spans="2:12">
      <c r="B196" s="359"/>
      <c r="C196" s="357"/>
      <c r="D196" s="120">
        <v>10</v>
      </c>
      <c r="E196" s="60" t="s">
        <v>146</v>
      </c>
      <c r="F196" s="61" t="s">
        <v>123</v>
      </c>
      <c r="G196" s="61"/>
      <c r="H196" s="61"/>
      <c r="I196" s="61"/>
      <c r="J196" s="61"/>
      <c r="K196" s="61"/>
      <c r="L196" s="60"/>
    </row>
    <row r="197" spans="2:12">
      <c r="B197" s="359"/>
      <c r="C197" s="358"/>
      <c r="D197" s="60"/>
      <c r="E197" s="60"/>
      <c r="F197" s="61"/>
      <c r="G197" s="61"/>
      <c r="H197" s="61"/>
      <c r="I197" s="61"/>
      <c r="J197" s="61"/>
      <c r="K197" s="61"/>
      <c r="L197" s="60"/>
    </row>
    <row r="198" spans="2:12">
      <c r="B198" s="359" t="s">
        <v>1271</v>
      </c>
      <c r="C198" s="356" t="s">
        <v>1474</v>
      </c>
      <c r="D198" s="120">
        <v>1</v>
      </c>
      <c r="E198" s="148" t="s">
        <v>1608</v>
      </c>
      <c r="F198" s="61" t="s">
        <v>87</v>
      </c>
      <c r="G198" s="61" t="s">
        <v>1609</v>
      </c>
      <c r="H198" s="61"/>
      <c r="I198" s="61"/>
      <c r="J198" s="61"/>
      <c r="K198" s="61"/>
      <c r="L198" s="120"/>
    </row>
    <row r="199" spans="2:12">
      <c r="B199" s="359"/>
      <c r="C199" s="357"/>
      <c r="D199" s="120">
        <v>2</v>
      </c>
      <c r="E199" s="120" t="s">
        <v>142</v>
      </c>
      <c r="F199" s="61" t="s">
        <v>122</v>
      </c>
      <c r="G199" s="61"/>
      <c r="H199" s="61"/>
      <c r="I199" s="61"/>
      <c r="J199" s="61"/>
      <c r="K199" s="61"/>
      <c r="L199" s="120"/>
    </row>
    <row r="200" spans="2:12">
      <c r="B200" s="359"/>
      <c r="C200" s="357"/>
      <c r="D200" s="180">
        <v>3</v>
      </c>
      <c r="E200" s="120" t="s">
        <v>36</v>
      </c>
      <c r="F200" s="61" t="s">
        <v>126</v>
      </c>
      <c r="G200" s="61">
        <v>1</v>
      </c>
      <c r="H200" s="61">
        <v>6</v>
      </c>
      <c r="I200" s="61"/>
      <c r="J200" s="61"/>
      <c r="K200" s="61"/>
      <c r="L200" s="120"/>
    </row>
    <row r="201" spans="2:12">
      <c r="B201" s="359"/>
      <c r="C201" s="357"/>
      <c r="D201" s="180">
        <v>4</v>
      </c>
      <c r="E201" s="120"/>
      <c r="F201" s="61" t="s">
        <v>125</v>
      </c>
      <c r="G201" s="61">
        <v>100</v>
      </c>
      <c r="H201" s="61"/>
      <c r="I201" s="61"/>
      <c r="J201" s="61"/>
      <c r="K201" s="61"/>
      <c r="L201" s="120"/>
    </row>
    <row r="202" spans="2:12">
      <c r="B202" s="359"/>
      <c r="C202" s="357"/>
      <c r="D202" s="180">
        <v>5</v>
      </c>
      <c r="E202" s="120" t="s">
        <v>166</v>
      </c>
      <c r="F202" s="61" t="s">
        <v>127</v>
      </c>
      <c r="G202" s="61">
        <v>1</v>
      </c>
      <c r="H202" s="61">
        <v>7</v>
      </c>
      <c r="I202" s="61">
        <v>1</v>
      </c>
      <c r="J202" s="61"/>
      <c r="K202" s="61"/>
      <c r="L202" s="120"/>
    </row>
    <row r="203" spans="2:12">
      <c r="B203" s="359"/>
      <c r="C203" s="357"/>
      <c r="D203" s="180">
        <v>6</v>
      </c>
      <c r="E203" s="120"/>
      <c r="F203" s="61" t="s">
        <v>125</v>
      </c>
      <c r="G203" s="61">
        <v>100</v>
      </c>
      <c r="H203" s="61"/>
      <c r="I203" s="61"/>
      <c r="J203" s="61"/>
      <c r="K203" s="61"/>
      <c r="L203" s="120"/>
    </row>
    <row r="204" spans="2:12">
      <c r="B204" s="359"/>
      <c r="C204" s="357"/>
      <c r="D204" s="180">
        <v>7</v>
      </c>
      <c r="E204" s="180" t="s">
        <v>1524</v>
      </c>
      <c r="F204" s="61" t="s">
        <v>81</v>
      </c>
      <c r="G204" s="61" t="s">
        <v>1517</v>
      </c>
      <c r="H204" s="61"/>
      <c r="I204" s="61"/>
      <c r="J204" s="61"/>
      <c r="K204" s="61"/>
      <c r="L204" s="180"/>
    </row>
    <row r="205" spans="2:12">
      <c r="B205" s="359"/>
      <c r="C205" s="357"/>
      <c r="D205" s="180">
        <v>8</v>
      </c>
      <c r="E205" s="120" t="s">
        <v>163</v>
      </c>
      <c r="F205" s="61" t="s">
        <v>164</v>
      </c>
      <c r="G205" s="61">
        <v>1</v>
      </c>
      <c r="H205" s="61">
        <v>4</v>
      </c>
      <c r="I205" s="61" t="s">
        <v>165</v>
      </c>
      <c r="J205" s="61"/>
      <c r="K205" s="61"/>
      <c r="L205" s="120"/>
    </row>
    <row r="206" spans="2:12">
      <c r="B206" s="359"/>
      <c r="C206" s="357"/>
      <c r="D206" s="180">
        <v>9</v>
      </c>
      <c r="E206" s="120" t="s">
        <v>166</v>
      </c>
      <c r="F206" s="61" t="s">
        <v>127</v>
      </c>
      <c r="G206" s="61">
        <v>1</v>
      </c>
      <c r="H206" s="61">
        <v>7</v>
      </c>
      <c r="I206" s="61">
        <v>5</v>
      </c>
      <c r="J206" s="61"/>
      <c r="K206" s="61"/>
      <c r="L206" s="120"/>
    </row>
    <row r="207" spans="2:12">
      <c r="B207" s="359"/>
      <c r="C207" s="357"/>
      <c r="D207" s="180">
        <v>10</v>
      </c>
      <c r="E207" s="142" t="s">
        <v>194</v>
      </c>
      <c r="F207" s="61" t="s">
        <v>125</v>
      </c>
      <c r="G207" s="61" t="s">
        <v>1546</v>
      </c>
      <c r="H207" s="61"/>
      <c r="I207" s="61"/>
      <c r="J207" s="61"/>
      <c r="K207" s="61"/>
      <c r="L207" s="121"/>
    </row>
    <row r="208" spans="2:12">
      <c r="B208" s="359"/>
      <c r="C208" s="357"/>
      <c r="D208" s="180">
        <v>11</v>
      </c>
      <c r="E208" s="180" t="s">
        <v>1525</v>
      </c>
      <c r="F208" s="61" t="s">
        <v>81</v>
      </c>
      <c r="G208" s="61" t="s">
        <v>196</v>
      </c>
      <c r="H208" s="61" t="s">
        <v>197</v>
      </c>
      <c r="I208" s="61" t="s">
        <v>197</v>
      </c>
      <c r="J208" s="61"/>
      <c r="K208" s="61"/>
      <c r="L208" s="180"/>
    </row>
    <row r="209" spans="2:12">
      <c r="B209" s="359"/>
      <c r="C209" s="357"/>
      <c r="D209" s="180">
        <v>12</v>
      </c>
      <c r="E209" s="180"/>
      <c r="F209" s="61" t="s">
        <v>81</v>
      </c>
      <c r="G209" s="61" t="s">
        <v>198</v>
      </c>
      <c r="H209" s="61" t="s">
        <v>199</v>
      </c>
      <c r="I209" s="61" t="s">
        <v>197</v>
      </c>
      <c r="J209" s="61" t="s">
        <v>197</v>
      </c>
      <c r="K209" s="61">
        <v>1</v>
      </c>
      <c r="L209" s="180"/>
    </row>
    <row r="210" spans="2:12">
      <c r="B210" s="359"/>
      <c r="C210" s="357"/>
      <c r="D210" s="180">
        <v>13</v>
      </c>
      <c r="E210" s="120" t="s">
        <v>146</v>
      </c>
      <c r="F210" s="61" t="s">
        <v>123</v>
      </c>
      <c r="G210" s="61"/>
      <c r="H210" s="61"/>
      <c r="I210" s="61"/>
      <c r="J210" s="61"/>
      <c r="K210" s="61"/>
      <c r="L210" s="120"/>
    </row>
    <row r="211" spans="2:12">
      <c r="B211" s="359"/>
      <c r="C211" s="358"/>
      <c r="D211" s="120"/>
      <c r="E211" s="120"/>
      <c r="F211" s="61"/>
      <c r="G211" s="61"/>
      <c r="H211" s="61"/>
      <c r="I211" s="61"/>
      <c r="J211" s="61"/>
      <c r="K211" s="61"/>
      <c r="L211" s="120"/>
    </row>
    <row r="212" spans="2:12">
      <c r="B212" s="359" t="s">
        <v>1270</v>
      </c>
      <c r="C212" s="356" t="s">
        <v>1474</v>
      </c>
      <c r="D212" s="120">
        <v>1</v>
      </c>
      <c r="E212" s="148" t="s">
        <v>1608</v>
      </c>
      <c r="F212" s="61" t="s">
        <v>87</v>
      </c>
      <c r="G212" s="61" t="s">
        <v>1609</v>
      </c>
      <c r="H212" s="61"/>
      <c r="I212" s="61"/>
      <c r="J212" s="61"/>
      <c r="K212" s="61"/>
      <c r="L212" s="60"/>
    </row>
    <row r="213" spans="2:12">
      <c r="B213" s="359"/>
      <c r="C213" s="357"/>
      <c r="D213" s="120">
        <v>2</v>
      </c>
      <c r="E213" s="120" t="s">
        <v>142</v>
      </c>
      <c r="F213" s="61" t="s">
        <v>122</v>
      </c>
      <c r="G213" s="61"/>
      <c r="H213" s="61"/>
      <c r="I213" s="61"/>
      <c r="J213" s="61"/>
      <c r="K213" s="61"/>
      <c r="L213" s="60"/>
    </row>
    <row r="214" spans="2:12">
      <c r="B214" s="359"/>
      <c r="C214" s="357"/>
      <c r="D214" s="120">
        <v>3</v>
      </c>
      <c r="E214" s="120" t="s">
        <v>36</v>
      </c>
      <c r="F214" s="61" t="s">
        <v>126</v>
      </c>
      <c r="G214" s="61">
        <v>1</v>
      </c>
      <c r="H214" s="61">
        <v>6</v>
      </c>
      <c r="I214" s="61"/>
      <c r="J214" s="61"/>
      <c r="K214" s="61"/>
      <c r="L214" s="60"/>
    </row>
    <row r="215" spans="2:12">
      <c r="B215" s="359"/>
      <c r="C215" s="357"/>
      <c r="D215" s="120">
        <v>4</v>
      </c>
      <c r="E215" s="120"/>
      <c r="F215" s="61" t="s">
        <v>125</v>
      </c>
      <c r="G215" s="61">
        <v>100</v>
      </c>
      <c r="H215" s="61"/>
      <c r="I215" s="61"/>
      <c r="J215" s="61"/>
      <c r="K215" s="61"/>
      <c r="L215" s="60"/>
    </row>
    <row r="216" spans="2:12">
      <c r="B216" s="359"/>
      <c r="C216" s="357"/>
      <c r="D216" s="120">
        <v>5</v>
      </c>
      <c r="E216" s="120" t="s">
        <v>166</v>
      </c>
      <c r="F216" s="61" t="s">
        <v>127</v>
      </c>
      <c r="G216" s="61">
        <v>1</v>
      </c>
      <c r="H216" s="61">
        <v>7</v>
      </c>
      <c r="I216" s="61">
        <v>1</v>
      </c>
      <c r="J216" s="61"/>
      <c r="K216" s="61"/>
      <c r="L216" s="60"/>
    </row>
    <row r="217" spans="2:12">
      <c r="B217" s="359"/>
      <c r="C217" s="357"/>
      <c r="D217" s="120">
        <v>6</v>
      </c>
      <c r="E217" s="120"/>
      <c r="F217" s="61" t="s">
        <v>125</v>
      </c>
      <c r="G217" s="61">
        <v>100</v>
      </c>
      <c r="H217" s="61"/>
      <c r="I217" s="61"/>
      <c r="J217" s="61"/>
      <c r="K217" s="61"/>
      <c r="L217" s="60"/>
    </row>
    <row r="218" spans="2:12">
      <c r="B218" s="359"/>
      <c r="C218" s="357"/>
      <c r="D218" s="120">
        <v>7</v>
      </c>
      <c r="E218" s="120" t="s">
        <v>163</v>
      </c>
      <c r="F218" s="61" t="s">
        <v>164</v>
      </c>
      <c r="G218" s="61">
        <v>1</v>
      </c>
      <c r="H218" s="61">
        <v>4</v>
      </c>
      <c r="I218" s="61" t="s">
        <v>165</v>
      </c>
      <c r="J218" s="61"/>
      <c r="K218" s="61"/>
      <c r="L218" s="60"/>
    </row>
    <row r="219" spans="2:12">
      <c r="B219" s="359"/>
      <c r="C219" s="357"/>
      <c r="D219" s="120">
        <v>8</v>
      </c>
      <c r="E219" s="120" t="s">
        <v>166</v>
      </c>
      <c r="F219" s="61" t="s">
        <v>127</v>
      </c>
      <c r="G219" s="61">
        <v>1</v>
      </c>
      <c r="H219" s="61">
        <v>7</v>
      </c>
      <c r="I219" s="61">
        <v>5</v>
      </c>
      <c r="J219" s="61"/>
      <c r="K219" s="61"/>
      <c r="L219" s="60"/>
    </row>
    <row r="220" spans="2:12">
      <c r="B220" s="359"/>
      <c r="C220" s="357"/>
      <c r="D220" s="120">
        <v>9</v>
      </c>
      <c r="E220" s="120" t="s">
        <v>318</v>
      </c>
      <c r="F220" s="61" t="s">
        <v>125</v>
      </c>
      <c r="G220" s="61">
        <v>5000</v>
      </c>
      <c r="H220" s="61"/>
      <c r="I220" s="61"/>
      <c r="J220" s="61"/>
      <c r="K220" s="61"/>
      <c r="L220" s="60"/>
    </row>
    <row r="221" spans="2:12">
      <c r="B221" s="359"/>
      <c r="C221" s="357"/>
      <c r="D221" s="120">
        <v>10</v>
      </c>
      <c r="E221" s="120" t="s">
        <v>146</v>
      </c>
      <c r="F221" s="61" t="s">
        <v>123</v>
      </c>
      <c r="G221" s="61"/>
      <c r="H221" s="61"/>
      <c r="I221" s="61"/>
      <c r="J221" s="61"/>
      <c r="K221" s="61"/>
      <c r="L221" s="60"/>
    </row>
    <row r="222" spans="2:12">
      <c r="B222" s="359"/>
      <c r="C222" s="358"/>
      <c r="D222" s="60"/>
      <c r="E222" s="60"/>
      <c r="F222" s="61"/>
      <c r="G222" s="61"/>
      <c r="H222" s="61"/>
      <c r="I222" s="61"/>
      <c r="J222" s="61"/>
      <c r="K222" s="61"/>
      <c r="L222" s="60"/>
    </row>
    <row r="223" spans="2:12">
      <c r="B223" s="359" t="s">
        <v>1273</v>
      </c>
      <c r="C223" s="356" t="s">
        <v>1474</v>
      </c>
      <c r="D223" s="120">
        <v>1</v>
      </c>
      <c r="E223" s="148" t="s">
        <v>1608</v>
      </c>
      <c r="F223" s="61" t="s">
        <v>87</v>
      </c>
      <c r="G223" s="61" t="s">
        <v>1609</v>
      </c>
      <c r="H223" s="61"/>
      <c r="I223" s="61"/>
      <c r="J223" s="61"/>
      <c r="K223" s="61"/>
      <c r="L223" s="120"/>
    </row>
    <row r="224" spans="2:12">
      <c r="B224" s="359"/>
      <c r="C224" s="357"/>
      <c r="D224" s="120">
        <v>2</v>
      </c>
      <c r="E224" s="120" t="s">
        <v>142</v>
      </c>
      <c r="F224" s="61" t="s">
        <v>122</v>
      </c>
      <c r="G224" s="61"/>
      <c r="H224" s="61"/>
      <c r="I224" s="61"/>
      <c r="J224" s="61"/>
      <c r="K224" s="61"/>
      <c r="L224" s="120"/>
    </row>
    <row r="225" spans="2:12">
      <c r="B225" s="359"/>
      <c r="C225" s="357"/>
      <c r="D225" s="180">
        <v>3</v>
      </c>
      <c r="E225" s="120" t="s">
        <v>36</v>
      </c>
      <c r="F225" s="61" t="s">
        <v>126</v>
      </c>
      <c r="G225" s="61">
        <v>1</v>
      </c>
      <c r="H225" s="61">
        <v>2</v>
      </c>
      <c r="I225" s="61"/>
      <c r="J225" s="61"/>
      <c r="K225" s="61"/>
      <c r="L225" s="120"/>
    </row>
    <row r="226" spans="2:12">
      <c r="B226" s="359"/>
      <c r="C226" s="357"/>
      <c r="D226" s="180">
        <v>4</v>
      </c>
      <c r="E226" s="120"/>
      <c r="F226" s="61" t="s">
        <v>125</v>
      </c>
      <c r="G226" s="61">
        <v>100</v>
      </c>
      <c r="H226" s="61"/>
      <c r="I226" s="61"/>
      <c r="J226" s="61"/>
      <c r="K226" s="61"/>
      <c r="L226" s="120"/>
    </row>
    <row r="227" spans="2:12">
      <c r="B227" s="359"/>
      <c r="C227" s="357"/>
      <c r="D227" s="180">
        <v>5</v>
      </c>
      <c r="E227" s="120" t="s">
        <v>166</v>
      </c>
      <c r="F227" s="61" t="s">
        <v>127</v>
      </c>
      <c r="G227" s="61">
        <v>1</v>
      </c>
      <c r="H227" s="61">
        <v>3</v>
      </c>
      <c r="I227" s="61">
        <v>1</v>
      </c>
      <c r="J227" s="61"/>
      <c r="K227" s="61"/>
      <c r="L227" s="120"/>
    </row>
    <row r="228" spans="2:12">
      <c r="B228" s="359"/>
      <c r="C228" s="357"/>
      <c r="D228" s="180">
        <v>6</v>
      </c>
      <c r="E228" s="120"/>
      <c r="F228" s="61" t="s">
        <v>125</v>
      </c>
      <c r="G228" s="61">
        <v>100</v>
      </c>
      <c r="H228" s="61"/>
      <c r="I228" s="61"/>
      <c r="J228" s="61"/>
      <c r="K228" s="61"/>
      <c r="L228" s="120"/>
    </row>
    <row r="229" spans="2:12">
      <c r="B229" s="359"/>
      <c r="C229" s="357"/>
      <c r="D229" s="180">
        <v>7</v>
      </c>
      <c r="E229" s="120" t="s">
        <v>36</v>
      </c>
      <c r="F229" s="61" t="s">
        <v>126</v>
      </c>
      <c r="G229" s="61">
        <v>1</v>
      </c>
      <c r="H229" s="61">
        <v>6</v>
      </c>
      <c r="I229" s="61"/>
      <c r="J229" s="61"/>
      <c r="K229" s="61"/>
      <c r="L229" s="120"/>
    </row>
    <row r="230" spans="2:12">
      <c r="B230" s="359"/>
      <c r="C230" s="357"/>
      <c r="D230" s="180">
        <v>8</v>
      </c>
      <c r="E230" s="120"/>
      <c r="F230" s="61" t="s">
        <v>125</v>
      </c>
      <c r="G230" s="61">
        <v>100</v>
      </c>
      <c r="H230" s="61"/>
      <c r="I230" s="61"/>
      <c r="J230" s="61"/>
      <c r="K230" s="61"/>
      <c r="L230" s="120"/>
    </row>
    <row r="231" spans="2:12">
      <c r="B231" s="359"/>
      <c r="C231" s="357"/>
      <c r="D231" s="180">
        <v>9</v>
      </c>
      <c r="E231" s="180" t="s">
        <v>1524</v>
      </c>
      <c r="F231" s="61" t="s">
        <v>81</v>
      </c>
      <c r="G231" s="61" t="s">
        <v>1517</v>
      </c>
      <c r="H231" s="61"/>
      <c r="I231" s="61"/>
      <c r="J231" s="61"/>
      <c r="K231" s="61"/>
      <c r="L231" s="180"/>
    </row>
    <row r="232" spans="2:12">
      <c r="B232" s="359"/>
      <c r="C232" s="357"/>
      <c r="D232" s="180">
        <v>10</v>
      </c>
      <c r="E232" s="120" t="s">
        <v>163</v>
      </c>
      <c r="F232" s="61" t="s">
        <v>164</v>
      </c>
      <c r="G232" s="61">
        <v>1</v>
      </c>
      <c r="H232" s="61">
        <v>4</v>
      </c>
      <c r="I232" s="61" t="s">
        <v>165</v>
      </c>
      <c r="J232" s="61"/>
      <c r="K232" s="61"/>
      <c r="L232" s="120"/>
    </row>
    <row r="233" spans="2:12">
      <c r="B233" s="359"/>
      <c r="C233" s="357"/>
      <c r="D233" s="180">
        <v>11</v>
      </c>
      <c r="E233" s="120" t="s">
        <v>166</v>
      </c>
      <c r="F233" s="61" t="s">
        <v>127</v>
      </c>
      <c r="G233" s="61">
        <v>1</v>
      </c>
      <c r="H233" s="61">
        <v>7</v>
      </c>
      <c r="I233" s="61">
        <v>3</v>
      </c>
      <c r="J233" s="61"/>
      <c r="K233" s="61"/>
      <c r="L233" s="120"/>
    </row>
    <row r="234" spans="2:12">
      <c r="B234" s="359"/>
      <c r="C234" s="357"/>
      <c r="D234" s="180">
        <v>12</v>
      </c>
      <c r="E234" s="142" t="s">
        <v>194</v>
      </c>
      <c r="F234" s="61" t="s">
        <v>125</v>
      </c>
      <c r="G234" s="61" t="s">
        <v>1546</v>
      </c>
      <c r="H234" s="61"/>
      <c r="I234" s="61"/>
      <c r="J234" s="61"/>
      <c r="K234" s="61"/>
      <c r="L234" s="121"/>
    </row>
    <row r="235" spans="2:12">
      <c r="B235" s="359"/>
      <c r="C235" s="357"/>
      <c r="D235" s="180">
        <v>13</v>
      </c>
      <c r="E235" s="180" t="s">
        <v>1525</v>
      </c>
      <c r="F235" s="61" t="s">
        <v>81</v>
      </c>
      <c r="G235" s="61" t="s">
        <v>196</v>
      </c>
      <c r="H235" s="61" t="s">
        <v>197</v>
      </c>
      <c r="I235" s="61" t="s">
        <v>197</v>
      </c>
      <c r="J235" s="61"/>
      <c r="K235" s="61"/>
      <c r="L235" s="180"/>
    </row>
    <row r="236" spans="2:12">
      <c r="B236" s="359"/>
      <c r="C236" s="357"/>
      <c r="D236" s="180">
        <v>14</v>
      </c>
      <c r="E236" s="180"/>
      <c r="F236" s="61" t="s">
        <v>81</v>
      </c>
      <c r="G236" s="61" t="s">
        <v>198</v>
      </c>
      <c r="H236" s="61" t="s">
        <v>199</v>
      </c>
      <c r="I236" s="61" t="s">
        <v>197</v>
      </c>
      <c r="J236" s="61" t="s">
        <v>197</v>
      </c>
      <c r="K236" s="61">
        <v>1</v>
      </c>
      <c r="L236" s="180"/>
    </row>
    <row r="237" spans="2:12">
      <c r="B237" s="359"/>
      <c r="C237" s="357"/>
      <c r="D237" s="180">
        <v>15</v>
      </c>
      <c r="E237" s="120" t="s">
        <v>146</v>
      </c>
      <c r="F237" s="61" t="s">
        <v>123</v>
      </c>
      <c r="G237" s="61"/>
      <c r="H237" s="61"/>
      <c r="I237" s="61"/>
      <c r="J237" s="61"/>
      <c r="K237" s="61"/>
      <c r="L237" s="120"/>
    </row>
    <row r="238" spans="2:12">
      <c r="B238" s="359"/>
      <c r="C238" s="358"/>
      <c r="D238" s="120"/>
      <c r="E238" s="120"/>
      <c r="F238" s="61"/>
      <c r="G238" s="61"/>
      <c r="H238" s="61"/>
      <c r="I238" s="61"/>
      <c r="J238" s="61"/>
      <c r="K238" s="61"/>
      <c r="L238" s="120"/>
    </row>
    <row r="239" spans="2:12">
      <c r="B239" s="359" t="s">
        <v>1272</v>
      </c>
      <c r="C239" s="356" t="s">
        <v>1474</v>
      </c>
      <c r="D239" s="60">
        <v>1</v>
      </c>
      <c r="E239" s="148" t="s">
        <v>1608</v>
      </c>
      <c r="F239" s="61" t="s">
        <v>87</v>
      </c>
      <c r="G239" s="61" t="s">
        <v>1609</v>
      </c>
      <c r="H239" s="61"/>
      <c r="I239" s="61"/>
      <c r="J239" s="61"/>
      <c r="K239" s="61"/>
      <c r="L239" s="60"/>
    </row>
    <row r="240" spans="2:12">
      <c r="B240" s="359"/>
      <c r="C240" s="357"/>
      <c r="D240" s="60">
        <v>2</v>
      </c>
      <c r="E240" s="60" t="s">
        <v>142</v>
      </c>
      <c r="F240" s="61" t="s">
        <v>122</v>
      </c>
      <c r="G240" s="61"/>
      <c r="H240" s="61"/>
      <c r="I240" s="61"/>
      <c r="J240" s="61"/>
      <c r="K240" s="61"/>
      <c r="L240" s="60"/>
    </row>
    <row r="241" spans="2:12">
      <c r="B241" s="359"/>
      <c r="C241" s="357"/>
      <c r="D241" s="60">
        <v>3</v>
      </c>
      <c r="E241" s="60" t="s">
        <v>36</v>
      </c>
      <c r="F241" s="61" t="s">
        <v>126</v>
      </c>
      <c r="G241" s="61">
        <v>1</v>
      </c>
      <c r="H241" s="61">
        <v>2</v>
      </c>
      <c r="I241" s="61"/>
      <c r="J241" s="61"/>
      <c r="K241" s="61"/>
      <c r="L241" s="60"/>
    </row>
    <row r="242" spans="2:12">
      <c r="B242" s="359"/>
      <c r="C242" s="357"/>
      <c r="D242" s="60">
        <v>4</v>
      </c>
      <c r="E242" s="60"/>
      <c r="F242" s="61" t="s">
        <v>125</v>
      </c>
      <c r="G242" s="61">
        <v>100</v>
      </c>
      <c r="H242" s="61"/>
      <c r="I242" s="61"/>
      <c r="J242" s="61"/>
      <c r="K242" s="61"/>
      <c r="L242" s="60"/>
    </row>
    <row r="243" spans="2:12">
      <c r="B243" s="359"/>
      <c r="C243" s="357"/>
      <c r="D243" s="120">
        <v>5</v>
      </c>
      <c r="E243" s="60" t="s">
        <v>166</v>
      </c>
      <c r="F243" s="61" t="s">
        <v>127</v>
      </c>
      <c r="G243" s="61">
        <v>1</v>
      </c>
      <c r="H243" s="61">
        <v>3</v>
      </c>
      <c r="I243" s="61">
        <v>1</v>
      </c>
      <c r="J243" s="61"/>
      <c r="K243" s="61"/>
      <c r="L243" s="60"/>
    </row>
    <row r="244" spans="2:12">
      <c r="B244" s="359"/>
      <c r="C244" s="357"/>
      <c r="D244" s="120">
        <v>6</v>
      </c>
      <c r="E244" s="60"/>
      <c r="F244" s="61" t="s">
        <v>125</v>
      </c>
      <c r="G244" s="61">
        <v>100</v>
      </c>
      <c r="H244" s="61"/>
      <c r="I244" s="61"/>
      <c r="J244" s="61"/>
      <c r="K244" s="61"/>
      <c r="L244" s="60"/>
    </row>
    <row r="245" spans="2:12">
      <c r="B245" s="359"/>
      <c r="C245" s="357"/>
      <c r="D245" s="120">
        <v>7</v>
      </c>
      <c r="E245" s="60" t="s">
        <v>36</v>
      </c>
      <c r="F245" s="61" t="s">
        <v>126</v>
      </c>
      <c r="G245" s="61">
        <v>1</v>
      </c>
      <c r="H245" s="61">
        <v>6</v>
      </c>
      <c r="I245" s="61"/>
      <c r="J245" s="61"/>
      <c r="K245" s="61"/>
      <c r="L245" s="60"/>
    </row>
    <row r="246" spans="2:12">
      <c r="B246" s="359"/>
      <c r="C246" s="357"/>
      <c r="D246" s="120">
        <v>8</v>
      </c>
      <c r="E246" s="120"/>
      <c r="F246" s="61" t="s">
        <v>125</v>
      </c>
      <c r="G246" s="61">
        <v>100</v>
      </c>
      <c r="H246" s="61"/>
      <c r="I246" s="61"/>
      <c r="J246" s="61"/>
      <c r="K246" s="61"/>
      <c r="L246" s="120"/>
    </row>
    <row r="247" spans="2:12">
      <c r="B247" s="359"/>
      <c r="C247" s="357"/>
      <c r="D247" s="120">
        <v>9</v>
      </c>
      <c r="E247" s="60" t="s">
        <v>163</v>
      </c>
      <c r="F247" s="61" t="s">
        <v>164</v>
      </c>
      <c r="G247" s="61">
        <v>1</v>
      </c>
      <c r="H247" s="61">
        <v>4</v>
      </c>
      <c r="I247" s="61" t="s">
        <v>165</v>
      </c>
      <c r="J247" s="61"/>
      <c r="K247" s="61"/>
      <c r="L247" s="60"/>
    </row>
    <row r="248" spans="2:12">
      <c r="B248" s="359"/>
      <c r="C248" s="357"/>
      <c r="D248" s="120">
        <v>10</v>
      </c>
      <c r="E248" s="60" t="s">
        <v>166</v>
      </c>
      <c r="F248" s="61" t="s">
        <v>127</v>
      </c>
      <c r="G248" s="61">
        <v>1</v>
      </c>
      <c r="H248" s="61">
        <v>7</v>
      </c>
      <c r="I248" s="61">
        <v>3</v>
      </c>
      <c r="J248" s="61"/>
      <c r="K248" s="61"/>
      <c r="L248" s="60"/>
    </row>
    <row r="249" spans="2:12">
      <c r="B249" s="359"/>
      <c r="C249" s="357"/>
      <c r="D249" s="120">
        <v>11</v>
      </c>
      <c r="E249" s="60" t="s">
        <v>318</v>
      </c>
      <c r="F249" s="61" t="s">
        <v>300</v>
      </c>
      <c r="G249" s="61">
        <v>5000</v>
      </c>
      <c r="H249" s="61"/>
      <c r="I249" s="61"/>
      <c r="J249" s="61"/>
      <c r="K249" s="61"/>
      <c r="L249" s="60"/>
    </row>
    <row r="250" spans="2:12">
      <c r="B250" s="359"/>
      <c r="C250" s="357"/>
      <c r="D250" s="120">
        <v>12</v>
      </c>
      <c r="E250" s="60" t="s">
        <v>146</v>
      </c>
      <c r="F250" s="61" t="s">
        <v>123</v>
      </c>
      <c r="G250" s="61"/>
      <c r="H250" s="61"/>
      <c r="I250" s="61"/>
      <c r="J250" s="61"/>
      <c r="K250" s="61"/>
      <c r="L250" s="60"/>
    </row>
    <row r="251" spans="2:12">
      <c r="B251" s="359"/>
      <c r="C251" s="358"/>
      <c r="D251" s="60"/>
      <c r="E251" s="60"/>
      <c r="F251" s="61"/>
      <c r="G251" s="61"/>
      <c r="H251" s="61"/>
      <c r="I251" s="61"/>
      <c r="J251" s="61"/>
      <c r="K251" s="61"/>
      <c r="L251" s="60"/>
    </row>
    <row r="252" spans="2:12">
      <c r="B252" s="359" t="s">
        <v>1275</v>
      </c>
      <c r="C252" s="356" t="s">
        <v>1474</v>
      </c>
      <c r="D252" s="120">
        <v>1</v>
      </c>
      <c r="E252" s="148" t="s">
        <v>1608</v>
      </c>
      <c r="F252" s="61" t="s">
        <v>87</v>
      </c>
      <c r="G252" s="61" t="s">
        <v>1609</v>
      </c>
      <c r="H252" s="61"/>
      <c r="I252" s="61"/>
      <c r="J252" s="61"/>
      <c r="K252" s="61"/>
      <c r="L252" s="120"/>
    </row>
    <row r="253" spans="2:12">
      <c r="B253" s="359"/>
      <c r="C253" s="357"/>
      <c r="D253" s="120">
        <v>2</v>
      </c>
      <c r="E253" s="120" t="s">
        <v>142</v>
      </c>
      <c r="F253" s="61" t="s">
        <v>122</v>
      </c>
      <c r="G253" s="61"/>
      <c r="H253" s="61"/>
      <c r="I253" s="61"/>
      <c r="J253" s="61"/>
      <c r="K253" s="61"/>
      <c r="L253" s="120"/>
    </row>
    <row r="254" spans="2:12">
      <c r="B254" s="359"/>
      <c r="C254" s="357"/>
      <c r="D254" s="180">
        <v>3</v>
      </c>
      <c r="E254" s="120" t="s">
        <v>36</v>
      </c>
      <c r="F254" s="61" t="s">
        <v>126</v>
      </c>
      <c r="G254" s="61">
        <v>1</v>
      </c>
      <c r="H254" s="61">
        <v>4</v>
      </c>
      <c r="I254" s="61"/>
      <c r="J254" s="61"/>
      <c r="K254" s="61"/>
      <c r="L254" s="120"/>
    </row>
    <row r="255" spans="2:12">
      <c r="B255" s="359"/>
      <c r="C255" s="357"/>
      <c r="D255" s="180">
        <v>4</v>
      </c>
      <c r="E255" s="120"/>
      <c r="F255" s="61" t="s">
        <v>125</v>
      </c>
      <c r="G255" s="61">
        <v>100</v>
      </c>
      <c r="H255" s="61"/>
      <c r="I255" s="61"/>
      <c r="J255" s="61"/>
      <c r="K255" s="61"/>
      <c r="L255" s="120"/>
    </row>
    <row r="256" spans="2:12">
      <c r="B256" s="359"/>
      <c r="C256" s="357"/>
      <c r="D256" s="180">
        <v>5</v>
      </c>
      <c r="E256" s="120" t="s">
        <v>166</v>
      </c>
      <c r="F256" s="61" t="s">
        <v>127</v>
      </c>
      <c r="G256" s="61">
        <v>1</v>
      </c>
      <c r="H256" s="61">
        <v>4</v>
      </c>
      <c r="I256" s="61">
        <v>1</v>
      </c>
      <c r="J256" s="61"/>
      <c r="K256" s="61"/>
      <c r="L256" s="120"/>
    </row>
    <row r="257" spans="2:12">
      <c r="B257" s="359"/>
      <c r="C257" s="357"/>
      <c r="D257" s="180">
        <v>6</v>
      </c>
      <c r="E257" s="120"/>
      <c r="F257" s="61" t="s">
        <v>125</v>
      </c>
      <c r="G257" s="61">
        <v>100</v>
      </c>
      <c r="H257" s="61"/>
      <c r="I257" s="61"/>
      <c r="J257" s="61"/>
      <c r="K257" s="61"/>
      <c r="L257" s="120"/>
    </row>
    <row r="258" spans="2:12">
      <c r="B258" s="359"/>
      <c r="C258" s="357"/>
      <c r="D258" s="180">
        <v>7</v>
      </c>
      <c r="E258" s="120" t="s">
        <v>36</v>
      </c>
      <c r="F258" s="61" t="s">
        <v>126</v>
      </c>
      <c r="G258" s="61">
        <v>1</v>
      </c>
      <c r="H258" s="61">
        <v>6</v>
      </c>
      <c r="I258" s="61"/>
      <c r="J258" s="61"/>
      <c r="K258" s="61"/>
      <c r="L258" s="120"/>
    </row>
    <row r="259" spans="2:12">
      <c r="B259" s="359"/>
      <c r="C259" s="357"/>
      <c r="D259" s="180">
        <v>8</v>
      </c>
      <c r="E259" s="120"/>
      <c r="F259" s="61" t="s">
        <v>125</v>
      </c>
      <c r="G259" s="61">
        <v>100</v>
      </c>
      <c r="H259" s="61"/>
      <c r="I259" s="61"/>
      <c r="J259" s="61"/>
      <c r="K259" s="61"/>
      <c r="L259" s="120"/>
    </row>
    <row r="260" spans="2:12">
      <c r="B260" s="359"/>
      <c r="C260" s="357"/>
      <c r="D260" s="180">
        <v>9</v>
      </c>
      <c r="E260" s="180" t="s">
        <v>1524</v>
      </c>
      <c r="F260" s="61" t="s">
        <v>81</v>
      </c>
      <c r="G260" s="61" t="s">
        <v>1517</v>
      </c>
      <c r="H260" s="61"/>
      <c r="I260" s="61"/>
      <c r="J260" s="61"/>
      <c r="K260" s="61"/>
      <c r="L260" s="180"/>
    </row>
    <row r="261" spans="2:12">
      <c r="B261" s="359"/>
      <c r="C261" s="357"/>
      <c r="D261" s="180">
        <v>10</v>
      </c>
      <c r="E261" s="120" t="s">
        <v>163</v>
      </c>
      <c r="F261" s="61" t="s">
        <v>164</v>
      </c>
      <c r="G261" s="61">
        <v>1</v>
      </c>
      <c r="H261" s="61">
        <v>4</v>
      </c>
      <c r="I261" s="61" t="s">
        <v>165</v>
      </c>
      <c r="J261" s="61"/>
      <c r="K261" s="61"/>
      <c r="L261" s="120"/>
    </row>
    <row r="262" spans="2:12">
      <c r="B262" s="359"/>
      <c r="C262" s="357"/>
      <c r="D262" s="180">
        <v>11</v>
      </c>
      <c r="E262" s="120" t="s">
        <v>166</v>
      </c>
      <c r="F262" s="61" t="s">
        <v>127</v>
      </c>
      <c r="G262" s="61">
        <v>1</v>
      </c>
      <c r="H262" s="61">
        <v>4</v>
      </c>
      <c r="I262" s="61">
        <v>3</v>
      </c>
      <c r="J262" s="61"/>
      <c r="K262" s="61"/>
      <c r="L262" s="120"/>
    </row>
    <row r="263" spans="2:12">
      <c r="B263" s="359"/>
      <c r="C263" s="357"/>
      <c r="D263" s="180">
        <v>12</v>
      </c>
      <c r="E263" s="142" t="s">
        <v>194</v>
      </c>
      <c r="F263" s="61" t="s">
        <v>125</v>
      </c>
      <c r="G263" s="61" t="s">
        <v>1546</v>
      </c>
      <c r="H263" s="61"/>
      <c r="I263" s="61"/>
      <c r="J263" s="61"/>
      <c r="K263" s="61"/>
      <c r="L263" s="121"/>
    </row>
    <row r="264" spans="2:12">
      <c r="B264" s="359"/>
      <c r="C264" s="357"/>
      <c r="D264" s="180">
        <v>13</v>
      </c>
      <c r="E264" s="180" t="s">
        <v>1525</v>
      </c>
      <c r="F264" s="61" t="s">
        <v>81</v>
      </c>
      <c r="G264" s="61" t="s">
        <v>196</v>
      </c>
      <c r="H264" s="61" t="s">
        <v>197</v>
      </c>
      <c r="I264" s="61" t="s">
        <v>197</v>
      </c>
      <c r="J264" s="61"/>
      <c r="K264" s="61"/>
      <c r="L264" s="180"/>
    </row>
    <row r="265" spans="2:12">
      <c r="B265" s="359"/>
      <c r="C265" s="357"/>
      <c r="D265" s="180">
        <v>14</v>
      </c>
      <c r="E265" s="180"/>
      <c r="F265" s="61" t="s">
        <v>81</v>
      </c>
      <c r="G265" s="61" t="s">
        <v>198</v>
      </c>
      <c r="H265" s="61" t="s">
        <v>199</v>
      </c>
      <c r="I265" s="61" t="s">
        <v>197</v>
      </c>
      <c r="J265" s="61" t="s">
        <v>197</v>
      </c>
      <c r="K265" s="61">
        <v>1</v>
      </c>
      <c r="L265" s="180"/>
    </row>
    <row r="266" spans="2:12">
      <c r="B266" s="359"/>
      <c r="C266" s="357"/>
      <c r="D266" s="180">
        <v>15</v>
      </c>
      <c r="E266" s="120" t="s">
        <v>146</v>
      </c>
      <c r="F266" s="61" t="s">
        <v>123</v>
      </c>
      <c r="G266" s="61"/>
      <c r="H266" s="61"/>
      <c r="I266" s="61"/>
      <c r="J266" s="61"/>
      <c r="K266" s="61"/>
      <c r="L266" s="120"/>
    </row>
    <row r="267" spans="2:12">
      <c r="B267" s="359"/>
      <c r="C267" s="358"/>
      <c r="D267" s="120"/>
      <c r="E267" s="120"/>
      <c r="F267" s="61"/>
      <c r="G267" s="61"/>
      <c r="H267" s="61"/>
      <c r="I267" s="61"/>
      <c r="J267" s="61"/>
      <c r="K267" s="61"/>
      <c r="L267" s="120"/>
    </row>
    <row r="268" spans="2:12">
      <c r="B268" s="359" t="s">
        <v>1274</v>
      </c>
      <c r="C268" s="356" t="s">
        <v>37</v>
      </c>
      <c r="D268" s="60">
        <v>1</v>
      </c>
      <c r="E268" s="148" t="s">
        <v>1608</v>
      </c>
      <c r="F268" s="61" t="s">
        <v>87</v>
      </c>
      <c r="G268" s="61" t="s">
        <v>1609</v>
      </c>
      <c r="H268" s="61"/>
      <c r="I268" s="61"/>
      <c r="J268" s="61"/>
      <c r="K268" s="61"/>
      <c r="L268" s="60"/>
    </row>
    <row r="269" spans="2:12">
      <c r="B269" s="359"/>
      <c r="C269" s="357"/>
      <c r="D269" s="60">
        <v>2</v>
      </c>
      <c r="E269" s="60" t="s">
        <v>142</v>
      </c>
      <c r="F269" s="61" t="s">
        <v>122</v>
      </c>
      <c r="G269" s="61"/>
      <c r="H269" s="61"/>
      <c r="I269" s="61"/>
      <c r="J269" s="61"/>
      <c r="K269" s="61"/>
      <c r="L269" s="60"/>
    </row>
    <row r="270" spans="2:12">
      <c r="B270" s="359"/>
      <c r="C270" s="357"/>
      <c r="D270" s="60">
        <v>3</v>
      </c>
      <c r="E270" s="60" t="s">
        <v>36</v>
      </c>
      <c r="F270" s="61" t="s">
        <v>126</v>
      </c>
      <c r="G270" s="61">
        <v>1</v>
      </c>
      <c r="H270" s="61">
        <v>4</v>
      </c>
      <c r="I270" s="61"/>
      <c r="J270" s="61"/>
      <c r="K270" s="61"/>
      <c r="L270" s="60"/>
    </row>
    <row r="271" spans="2:12">
      <c r="B271" s="359"/>
      <c r="C271" s="357"/>
      <c r="D271" s="60">
        <v>4</v>
      </c>
      <c r="E271" s="60"/>
      <c r="F271" s="61" t="s">
        <v>125</v>
      </c>
      <c r="G271" s="61">
        <v>100</v>
      </c>
      <c r="H271" s="61"/>
      <c r="I271" s="61"/>
      <c r="J271" s="61"/>
      <c r="K271" s="61"/>
      <c r="L271" s="60"/>
    </row>
    <row r="272" spans="2:12">
      <c r="B272" s="359"/>
      <c r="C272" s="357"/>
      <c r="D272" s="60">
        <v>5</v>
      </c>
      <c r="E272" s="60" t="s">
        <v>166</v>
      </c>
      <c r="F272" s="61" t="s">
        <v>127</v>
      </c>
      <c r="G272" s="61">
        <v>1</v>
      </c>
      <c r="H272" s="61">
        <v>4</v>
      </c>
      <c r="I272" s="61">
        <v>1</v>
      </c>
      <c r="J272" s="61"/>
      <c r="K272" s="61"/>
      <c r="L272" s="60"/>
    </row>
    <row r="273" spans="2:12">
      <c r="B273" s="359"/>
      <c r="C273" s="357"/>
      <c r="D273" s="120">
        <v>6</v>
      </c>
      <c r="E273" s="120"/>
      <c r="F273" s="61" t="s">
        <v>125</v>
      </c>
      <c r="G273" s="61">
        <v>100</v>
      </c>
      <c r="H273" s="61"/>
      <c r="I273" s="61"/>
      <c r="J273" s="61"/>
      <c r="K273" s="61"/>
      <c r="L273" s="120"/>
    </row>
    <row r="274" spans="2:12">
      <c r="B274" s="359"/>
      <c r="C274" s="357"/>
      <c r="D274" s="120">
        <v>7</v>
      </c>
      <c r="E274" s="60" t="s">
        <v>36</v>
      </c>
      <c r="F274" s="61" t="s">
        <v>126</v>
      </c>
      <c r="G274" s="61">
        <v>1</v>
      </c>
      <c r="H274" s="61">
        <v>6</v>
      </c>
      <c r="I274" s="61"/>
      <c r="J274" s="61"/>
      <c r="K274" s="61"/>
      <c r="L274" s="60"/>
    </row>
    <row r="275" spans="2:12">
      <c r="B275" s="359"/>
      <c r="C275" s="357"/>
      <c r="D275" s="120">
        <v>8</v>
      </c>
      <c r="E275" s="120"/>
      <c r="F275" s="61" t="s">
        <v>125</v>
      </c>
      <c r="G275" s="61">
        <v>100</v>
      </c>
      <c r="H275" s="61"/>
      <c r="I275" s="61"/>
      <c r="J275" s="61"/>
      <c r="K275" s="61"/>
      <c r="L275" s="120"/>
    </row>
    <row r="276" spans="2:12">
      <c r="B276" s="359"/>
      <c r="C276" s="357"/>
      <c r="D276" s="120">
        <v>9</v>
      </c>
      <c r="E276" s="60" t="s">
        <v>163</v>
      </c>
      <c r="F276" s="61" t="s">
        <v>164</v>
      </c>
      <c r="G276" s="61">
        <v>1</v>
      </c>
      <c r="H276" s="61">
        <v>4</v>
      </c>
      <c r="I276" s="61" t="s">
        <v>165</v>
      </c>
      <c r="J276" s="61"/>
      <c r="K276" s="61"/>
      <c r="L276" s="60"/>
    </row>
    <row r="277" spans="2:12">
      <c r="B277" s="359"/>
      <c r="C277" s="357"/>
      <c r="D277" s="120">
        <v>10</v>
      </c>
      <c r="E277" s="60" t="s">
        <v>166</v>
      </c>
      <c r="F277" s="61" t="s">
        <v>127</v>
      </c>
      <c r="G277" s="61">
        <v>1</v>
      </c>
      <c r="H277" s="61">
        <v>4</v>
      </c>
      <c r="I277" s="61">
        <v>3</v>
      </c>
      <c r="J277" s="61"/>
      <c r="K277" s="61"/>
      <c r="L277" s="60"/>
    </row>
    <row r="278" spans="2:12">
      <c r="B278" s="359"/>
      <c r="C278" s="357"/>
      <c r="D278" s="120">
        <v>11</v>
      </c>
      <c r="E278" s="60" t="s">
        <v>318</v>
      </c>
      <c r="F278" s="61" t="s">
        <v>300</v>
      </c>
      <c r="G278" s="61">
        <v>5000</v>
      </c>
      <c r="H278" s="61"/>
      <c r="I278" s="61"/>
      <c r="J278" s="61"/>
      <c r="K278" s="61"/>
      <c r="L278" s="60"/>
    </row>
    <row r="279" spans="2:12">
      <c r="B279" s="359"/>
      <c r="C279" s="357"/>
      <c r="D279" s="120">
        <v>12</v>
      </c>
      <c r="E279" s="60" t="s">
        <v>146</v>
      </c>
      <c r="F279" s="61" t="s">
        <v>123</v>
      </c>
      <c r="G279" s="61"/>
      <c r="H279" s="61"/>
      <c r="I279" s="61"/>
      <c r="J279" s="61"/>
      <c r="K279" s="61"/>
      <c r="L279" s="60"/>
    </row>
    <row r="280" spans="2:12">
      <c r="B280" s="359"/>
      <c r="C280" s="358"/>
      <c r="D280" s="60"/>
      <c r="E280" s="60"/>
      <c r="F280" s="61"/>
      <c r="G280" s="61"/>
      <c r="H280" s="61"/>
      <c r="I280" s="61"/>
      <c r="J280" s="61"/>
      <c r="K280" s="61"/>
      <c r="L280" s="60"/>
    </row>
    <row r="281" spans="2:12">
      <c r="B281" s="359" t="s">
        <v>1277</v>
      </c>
      <c r="C281" s="356" t="s">
        <v>37</v>
      </c>
      <c r="D281" s="120">
        <v>1</v>
      </c>
      <c r="E281" s="148" t="s">
        <v>1608</v>
      </c>
      <c r="F281" s="61" t="s">
        <v>87</v>
      </c>
      <c r="G281" s="61" t="s">
        <v>1609</v>
      </c>
      <c r="H281" s="61"/>
      <c r="I281" s="61"/>
      <c r="J281" s="61"/>
      <c r="K281" s="61"/>
      <c r="L281" s="120"/>
    </row>
    <row r="282" spans="2:12">
      <c r="B282" s="359"/>
      <c r="C282" s="357"/>
      <c r="D282" s="120">
        <v>2</v>
      </c>
      <c r="E282" s="120" t="s">
        <v>142</v>
      </c>
      <c r="F282" s="61" t="s">
        <v>122</v>
      </c>
      <c r="G282" s="61"/>
      <c r="H282" s="61"/>
      <c r="I282" s="61"/>
      <c r="J282" s="61"/>
      <c r="K282" s="61"/>
      <c r="L282" s="120"/>
    </row>
    <row r="283" spans="2:12">
      <c r="B283" s="359"/>
      <c r="C283" s="357"/>
      <c r="D283" s="180">
        <v>3</v>
      </c>
      <c r="E283" s="120" t="s">
        <v>36</v>
      </c>
      <c r="F283" s="61" t="s">
        <v>126</v>
      </c>
      <c r="G283" s="61">
        <v>1</v>
      </c>
      <c r="H283" s="61">
        <v>4</v>
      </c>
      <c r="I283" s="61"/>
      <c r="J283" s="61"/>
      <c r="K283" s="61"/>
      <c r="L283" s="120"/>
    </row>
    <row r="284" spans="2:12">
      <c r="B284" s="359"/>
      <c r="C284" s="357"/>
      <c r="D284" s="180">
        <v>4</v>
      </c>
      <c r="E284" s="120"/>
      <c r="F284" s="61" t="s">
        <v>125</v>
      </c>
      <c r="G284" s="61">
        <v>100</v>
      </c>
      <c r="H284" s="61"/>
      <c r="I284" s="61"/>
      <c r="J284" s="61"/>
      <c r="K284" s="61"/>
      <c r="L284" s="120"/>
    </row>
    <row r="285" spans="2:12">
      <c r="B285" s="359"/>
      <c r="C285" s="357"/>
      <c r="D285" s="180">
        <v>5</v>
      </c>
      <c r="E285" s="120" t="s">
        <v>166</v>
      </c>
      <c r="F285" s="61" t="s">
        <v>127</v>
      </c>
      <c r="G285" s="61">
        <v>1</v>
      </c>
      <c r="H285" s="61">
        <v>4</v>
      </c>
      <c r="I285" s="61">
        <v>1</v>
      </c>
      <c r="J285" s="61"/>
      <c r="K285" s="61"/>
      <c r="L285" s="120"/>
    </row>
    <row r="286" spans="2:12">
      <c r="B286" s="359"/>
      <c r="C286" s="357"/>
      <c r="D286" s="180">
        <v>6</v>
      </c>
      <c r="E286" s="120"/>
      <c r="F286" s="61" t="s">
        <v>125</v>
      </c>
      <c r="G286" s="61">
        <v>100</v>
      </c>
      <c r="H286" s="61"/>
      <c r="I286" s="61"/>
      <c r="J286" s="61"/>
      <c r="K286" s="61"/>
      <c r="L286" s="120"/>
    </row>
    <row r="287" spans="2:12">
      <c r="B287" s="359"/>
      <c r="C287" s="357"/>
      <c r="D287" s="180">
        <v>7</v>
      </c>
      <c r="E287" s="120" t="s">
        <v>36</v>
      </c>
      <c r="F287" s="61" t="s">
        <v>126</v>
      </c>
      <c r="G287" s="61">
        <v>1</v>
      </c>
      <c r="H287" s="61">
        <v>6</v>
      </c>
      <c r="I287" s="61"/>
      <c r="J287" s="61"/>
      <c r="K287" s="61"/>
      <c r="L287" s="120"/>
    </row>
    <row r="288" spans="2:12">
      <c r="B288" s="359"/>
      <c r="C288" s="357"/>
      <c r="D288" s="180">
        <v>8</v>
      </c>
      <c r="E288" s="120"/>
      <c r="F288" s="61" t="s">
        <v>125</v>
      </c>
      <c r="G288" s="61">
        <v>100</v>
      </c>
      <c r="H288" s="61"/>
      <c r="I288" s="61"/>
      <c r="J288" s="61"/>
      <c r="K288" s="61"/>
      <c r="L288" s="120"/>
    </row>
    <row r="289" spans="2:12">
      <c r="B289" s="359"/>
      <c r="C289" s="357"/>
      <c r="D289" s="180">
        <v>9</v>
      </c>
      <c r="E289" s="180" t="s">
        <v>1524</v>
      </c>
      <c r="F289" s="61" t="s">
        <v>81</v>
      </c>
      <c r="G289" s="61" t="s">
        <v>1517</v>
      </c>
      <c r="H289" s="61"/>
      <c r="I289" s="61"/>
      <c r="J289" s="61"/>
      <c r="K289" s="61"/>
      <c r="L289" s="180"/>
    </row>
    <row r="290" spans="2:12">
      <c r="B290" s="359"/>
      <c r="C290" s="357"/>
      <c r="D290" s="180">
        <v>10</v>
      </c>
      <c r="E290" s="120" t="s">
        <v>163</v>
      </c>
      <c r="F290" s="61" t="s">
        <v>164</v>
      </c>
      <c r="G290" s="61">
        <v>1</v>
      </c>
      <c r="H290" s="61">
        <v>4</v>
      </c>
      <c r="I290" s="61" t="s">
        <v>165</v>
      </c>
      <c r="J290" s="61"/>
      <c r="K290" s="61"/>
      <c r="L290" s="120"/>
    </row>
    <row r="291" spans="2:12">
      <c r="B291" s="359"/>
      <c r="C291" s="357"/>
      <c r="D291" s="180">
        <v>11</v>
      </c>
      <c r="E291" s="120" t="s">
        <v>166</v>
      </c>
      <c r="F291" s="61" t="s">
        <v>127</v>
      </c>
      <c r="G291" s="61">
        <v>1</v>
      </c>
      <c r="H291" s="61">
        <v>4</v>
      </c>
      <c r="I291" s="61">
        <v>5</v>
      </c>
      <c r="J291" s="61"/>
      <c r="K291" s="61"/>
      <c r="L291" s="120"/>
    </row>
    <row r="292" spans="2:12">
      <c r="B292" s="359"/>
      <c r="C292" s="357"/>
      <c r="D292" s="180">
        <v>12</v>
      </c>
      <c r="E292" s="142" t="s">
        <v>194</v>
      </c>
      <c r="F292" s="61" t="s">
        <v>125</v>
      </c>
      <c r="G292" s="61" t="s">
        <v>1546</v>
      </c>
      <c r="H292" s="61"/>
      <c r="I292" s="61"/>
      <c r="J292" s="61"/>
      <c r="K292" s="61"/>
      <c r="L292" s="121"/>
    </row>
    <row r="293" spans="2:12">
      <c r="B293" s="359"/>
      <c r="C293" s="357"/>
      <c r="D293" s="180">
        <v>13</v>
      </c>
      <c r="E293" s="180" t="s">
        <v>1525</v>
      </c>
      <c r="F293" s="61" t="s">
        <v>81</v>
      </c>
      <c r="G293" s="61" t="s">
        <v>196</v>
      </c>
      <c r="H293" s="61" t="s">
        <v>197</v>
      </c>
      <c r="I293" s="61" t="s">
        <v>197</v>
      </c>
      <c r="J293" s="61"/>
      <c r="K293" s="61"/>
      <c r="L293" s="180"/>
    </row>
    <row r="294" spans="2:12">
      <c r="B294" s="359"/>
      <c r="C294" s="357"/>
      <c r="D294" s="180">
        <v>14</v>
      </c>
      <c r="E294" s="180"/>
      <c r="F294" s="61" t="s">
        <v>81</v>
      </c>
      <c r="G294" s="61" t="s">
        <v>198</v>
      </c>
      <c r="H294" s="61" t="s">
        <v>199</v>
      </c>
      <c r="I294" s="61" t="s">
        <v>197</v>
      </c>
      <c r="J294" s="61" t="s">
        <v>197</v>
      </c>
      <c r="K294" s="61">
        <v>1</v>
      </c>
      <c r="L294" s="180"/>
    </row>
    <row r="295" spans="2:12">
      <c r="B295" s="359"/>
      <c r="C295" s="357"/>
      <c r="D295" s="180">
        <v>15</v>
      </c>
      <c r="E295" s="120" t="s">
        <v>146</v>
      </c>
      <c r="F295" s="61" t="s">
        <v>123</v>
      </c>
      <c r="G295" s="61"/>
      <c r="H295" s="61"/>
      <c r="I295" s="61"/>
      <c r="J295" s="61"/>
      <c r="K295" s="61"/>
      <c r="L295" s="120"/>
    </row>
    <row r="296" spans="2:12">
      <c r="B296" s="359"/>
      <c r="C296" s="358"/>
      <c r="D296" s="120"/>
      <c r="E296" s="120"/>
      <c r="F296" s="61"/>
      <c r="G296" s="61"/>
      <c r="H296" s="61"/>
      <c r="I296" s="61"/>
      <c r="J296" s="61"/>
      <c r="K296" s="61"/>
      <c r="L296" s="120"/>
    </row>
    <row r="297" spans="2:12">
      <c r="B297" s="359" t="s">
        <v>1276</v>
      </c>
      <c r="C297" s="356" t="s">
        <v>37</v>
      </c>
      <c r="D297" s="60">
        <v>1</v>
      </c>
      <c r="E297" s="148" t="s">
        <v>1608</v>
      </c>
      <c r="F297" s="61" t="s">
        <v>87</v>
      </c>
      <c r="G297" s="61" t="s">
        <v>1609</v>
      </c>
      <c r="H297" s="61"/>
      <c r="I297" s="61"/>
      <c r="J297" s="61"/>
      <c r="K297" s="61"/>
      <c r="L297" s="60"/>
    </row>
    <row r="298" spans="2:12">
      <c r="B298" s="359"/>
      <c r="C298" s="357"/>
      <c r="D298" s="60">
        <v>2</v>
      </c>
      <c r="E298" s="60" t="s">
        <v>142</v>
      </c>
      <c r="F298" s="61" t="s">
        <v>122</v>
      </c>
      <c r="G298" s="61"/>
      <c r="H298" s="61"/>
      <c r="I298" s="61"/>
      <c r="J298" s="61"/>
      <c r="K298" s="61"/>
      <c r="L298" s="60"/>
    </row>
    <row r="299" spans="2:12">
      <c r="B299" s="359"/>
      <c r="C299" s="357"/>
      <c r="D299" s="60">
        <v>3</v>
      </c>
      <c r="E299" s="60" t="s">
        <v>36</v>
      </c>
      <c r="F299" s="61" t="s">
        <v>126</v>
      </c>
      <c r="G299" s="61">
        <v>1</v>
      </c>
      <c r="H299" s="61">
        <v>4</v>
      </c>
      <c r="I299" s="61"/>
      <c r="J299" s="61"/>
      <c r="K299" s="61"/>
      <c r="L299" s="60"/>
    </row>
    <row r="300" spans="2:12">
      <c r="B300" s="359"/>
      <c r="C300" s="357"/>
      <c r="D300" s="60">
        <v>4</v>
      </c>
      <c r="E300" s="60"/>
      <c r="F300" s="61" t="s">
        <v>125</v>
      </c>
      <c r="G300" s="61">
        <v>100</v>
      </c>
      <c r="H300" s="61"/>
      <c r="I300" s="61"/>
      <c r="J300" s="61"/>
      <c r="K300" s="61"/>
      <c r="L300" s="60"/>
    </row>
    <row r="301" spans="2:12">
      <c r="B301" s="359"/>
      <c r="C301" s="357"/>
      <c r="D301" s="120">
        <v>5</v>
      </c>
      <c r="E301" s="60" t="s">
        <v>166</v>
      </c>
      <c r="F301" s="61" t="s">
        <v>127</v>
      </c>
      <c r="G301" s="61">
        <v>1</v>
      </c>
      <c r="H301" s="61">
        <v>4</v>
      </c>
      <c r="I301" s="61">
        <v>1</v>
      </c>
      <c r="J301" s="61"/>
      <c r="K301" s="61"/>
      <c r="L301" s="60"/>
    </row>
    <row r="302" spans="2:12">
      <c r="B302" s="359"/>
      <c r="C302" s="357"/>
      <c r="D302" s="120">
        <v>6</v>
      </c>
      <c r="E302" s="120"/>
      <c r="F302" s="61" t="s">
        <v>125</v>
      </c>
      <c r="G302" s="61">
        <v>100</v>
      </c>
      <c r="H302" s="61"/>
      <c r="I302" s="61"/>
      <c r="J302" s="61"/>
      <c r="K302" s="61"/>
      <c r="L302" s="120"/>
    </row>
    <row r="303" spans="2:12">
      <c r="B303" s="359"/>
      <c r="C303" s="357"/>
      <c r="D303" s="120">
        <v>7</v>
      </c>
      <c r="E303" s="60" t="s">
        <v>36</v>
      </c>
      <c r="F303" s="61" t="s">
        <v>126</v>
      </c>
      <c r="G303" s="61">
        <v>1</v>
      </c>
      <c r="H303" s="61">
        <v>6</v>
      </c>
      <c r="I303" s="61"/>
      <c r="J303" s="61"/>
      <c r="K303" s="61"/>
      <c r="L303" s="60"/>
    </row>
    <row r="304" spans="2:12">
      <c r="B304" s="359"/>
      <c r="C304" s="357"/>
      <c r="D304" s="120">
        <v>8</v>
      </c>
      <c r="E304" s="120"/>
      <c r="F304" s="61" t="s">
        <v>125</v>
      </c>
      <c r="G304" s="61">
        <v>100</v>
      </c>
      <c r="H304" s="61"/>
      <c r="I304" s="61"/>
      <c r="J304" s="61"/>
      <c r="K304" s="61"/>
      <c r="L304" s="120"/>
    </row>
    <row r="305" spans="2:12">
      <c r="B305" s="359"/>
      <c r="C305" s="357"/>
      <c r="D305" s="120">
        <v>9</v>
      </c>
      <c r="E305" s="60" t="s">
        <v>163</v>
      </c>
      <c r="F305" s="61" t="s">
        <v>164</v>
      </c>
      <c r="G305" s="61">
        <v>1</v>
      </c>
      <c r="H305" s="61">
        <v>4</v>
      </c>
      <c r="I305" s="61" t="s">
        <v>165</v>
      </c>
      <c r="J305" s="61"/>
      <c r="K305" s="61"/>
      <c r="L305" s="60"/>
    </row>
    <row r="306" spans="2:12">
      <c r="B306" s="359"/>
      <c r="C306" s="357"/>
      <c r="D306" s="120">
        <v>10</v>
      </c>
      <c r="E306" s="60" t="s">
        <v>166</v>
      </c>
      <c r="F306" s="61" t="s">
        <v>127</v>
      </c>
      <c r="G306" s="61">
        <v>1</v>
      </c>
      <c r="H306" s="61">
        <v>4</v>
      </c>
      <c r="I306" s="61">
        <v>5</v>
      </c>
      <c r="J306" s="61"/>
      <c r="K306" s="61"/>
      <c r="L306" s="60"/>
    </row>
    <row r="307" spans="2:12">
      <c r="B307" s="359"/>
      <c r="C307" s="357"/>
      <c r="D307" s="120">
        <v>11</v>
      </c>
      <c r="E307" s="60" t="s">
        <v>318</v>
      </c>
      <c r="F307" s="61" t="s">
        <v>300</v>
      </c>
      <c r="G307" s="61">
        <v>5000</v>
      </c>
      <c r="H307" s="61"/>
      <c r="I307" s="61"/>
      <c r="J307" s="61"/>
      <c r="K307" s="61"/>
      <c r="L307" s="60"/>
    </row>
    <row r="308" spans="2:12">
      <c r="B308" s="359"/>
      <c r="C308" s="357"/>
      <c r="D308" s="120">
        <v>12</v>
      </c>
      <c r="E308" s="60" t="s">
        <v>146</v>
      </c>
      <c r="F308" s="61" t="s">
        <v>123</v>
      </c>
      <c r="G308" s="61"/>
      <c r="H308" s="61"/>
      <c r="I308" s="61"/>
      <c r="J308" s="61"/>
      <c r="K308" s="61"/>
      <c r="L308" s="60"/>
    </row>
    <row r="309" spans="2:12">
      <c r="B309" s="359"/>
      <c r="C309" s="358"/>
      <c r="D309" s="60"/>
      <c r="E309" s="60"/>
      <c r="F309" s="61"/>
      <c r="G309" s="61"/>
      <c r="H309" s="61"/>
      <c r="I309" s="61"/>
      <c r="J309" s="61"/>
      <c r="K309" s="61"/>
      <c r="L309" s="60"/>
    </row>
    <row r="310" spans="2:12">
      <c r="B310" s="359" t="s">
        <v>1279</v>
      </c>
      <c r="C310" s="356" t="s">
        <v>1475</v>
      </c>
      <c r="D310" s="120">
        <v>1</v>
      </c>
      <c r="E310" s="148" t="s">
        <v>1608</v>
      </c>
      <c r="F310" s="61" t="s">
        <v>87</v>
      </c>
      <c r="G310" s="61" t="s">
        <v>1609</v>
      </c>
      <c r="H310" s="61"/>
      <c r="I310" s="61"/>
      <c r="J310" s="61"/>
      <c r="K310" s="61"/>
      <c r="L310" s="120"/>
    </row>
    <row r="311" spans="2:12">
      <c r="B311" s="359"/>
      <c r="C311" s="357"/>
      <c r="D311" s="120">
        <v>2</v>
      </c>
      <c r="E311" s="120" t="s">
        <v>142</v>
      </c>
      <c r="F311" s="61" t="s">
        <v>122</v>
      </c>
      <c r="G311" s="61"/>
      <c r="H311" s="61"/>
      <c r="I311" s="61"/>
      <c r="J311" s="61"/>
      <c r="K311" s="61"/>
      <c r="L311" s="120"/>
    </row>
    <row r="312" spans="2:12">
      <c r="B312" s="359"/>
      <c r="C312" s="357"/>
      <c r="D312" s="180">
        <v>3</v>
      </c>
      <c r="E312" s="120" t="s">
        <v>36</v>
      </c>
      <c r="F312" s="61" t="s">
        <v>126</v>
      </c>
      <c r="G312" s="61">
        <v>1</v>
      </c>
      <c r="H312" s="61">
        <v>1</v>
      </c>
      <c r="I312" s="61"/>
      <c r="J312" s="61"/>
      <c r="K312" s="61"/>
      <c r="L312" s="120"/>
    </row>
    <row r="313" spans="2:12">
      <c r="B313" s="359"/>
      <c r="C313" s="357"/>
      <c r="D313" s="180">
        <v>4</v>
      </c>
      <c r="E313" s="120"/>
      <c r="F313" s="61" t="s">
        <v>125</v>
      </c>
      <c r="G313" s="61">
        <v>100</v>
      </c>
      <c r="H313" s="61"/>
      <c r="I313" s="61"/>
      <c r="J313" s="61"/>
      <c r="K313" s="61"/>
      <c r="L313" s="120"/>
    </row>
    <row r="314" spans="2:12">
      <c r="B314" s="359"/>
      <c r="C314" s="357"/>
      <c r="D314" s="180">
        <v>5</v>
      </c>
      <c r="E314" s="120" t="s">
        <v>166</v>
      </c>
      <c r="F314" s="61" t="s">
        <v>127</v>
      </c>
      <c r="G314" s="61">
        <v>1</v>
      </c>
      <c r="H314" s="61">
        <v>1</v>
      </c>
      <c r="I314" s="61">
        <v>1</v>
      </c>
      <c r="J314" s="61"/>
      <c r="K314" s="61"/>
      <c r="L314" s="120"/>
    </row>
    <row r="315" spans="2:12">
      <c r="B315" s="359"/>
      <c r="C315" s="357"/>
      <c r="D315" s="180">
        <v>6</v>
      </c>
      <c r="E315" s="120"/>
      <c r="F315" s="61" t="s">
        <v>125</v>
      </c>
      <c r="G315" s="61">
        <v>100</v>
      </c>
      <c r="H315" s="61"/>
      <c r="I315" s="61"/>
      <c r="J315" s="61"/>
      <c r="K315" s="61"/>
      <c r="L315" s="120"/>
    </row>
    <row r="316" spans="2:12">
      <c r="B316" s="359"/>
      <c r="C316" s="357"/>
      <c r="D316" s="180">
        <v>7</v>
      </c>
      <c r="E316" s="120" t="s">
        <v>36</v>
      </c>
      <c r="F316" s="61" t="s">
        <v>126</v>
      </c>
      <c r="G316" s="61">
        <v>1</v>
      </c>
      <c r="H316" s="61">
        <v>7</v>
      </c>
      <c r="I316" s="61"/>
      <c r="J316" s="61"/>
      <c r="K316" s="61"/>
      <c r="L316" s="120"/>
    </row>
    <row r="317" spans="2:12">
      <c r="B317" s="359"/>
      <c r="C317" s="357"/>
      <c r="D317" s="180">
        <v>8</v>
      </c>
      <c r="E317" s="120"/>
      <c r="F317" s="61" t="s">
        <v>125</v>
      </c>
      <c r="G317" s="61">
        <v>100</v>
      </c>
      <c r="H317" s="61"/>
      <c r="I317" s="61"/>
      <c r="J317" s="61"/>
      <c r="K317" s="61"/>
      <c r="L317" s="120"/>
    </row>
    <row r="318" spans="2:12">
      <c r="B318" s="359"/>
      <c r="C318" s="357"/>
      <c r="D318" s="180">
        <v>9</v>
      </c>
      <c r="E318" s="180" t="s">
        <v>1524</v>
      </c>
      <c r="F318" s="61" t="s">
        <v>81</v>
      </c>
      <c r="G318" s="61" t="s">
        <v>1517</v>
      </c>
      <c r="H318" s="61"/>
      <c r="I318" s="61"/>
      <c r="J318" s="61"/>
      <c r="K318" s="61"/>
      <c r="L318" s="180"/>
    </row>
    <row r="319" spans="2:12">
      <c r="B319" s="359"/>
      <c r="C319" s="357"/>
      <c r="D319" s="180">
        <v>10</v>
      </c>
      <c r="E319" s="120" t="s">
        <v>163</v>
      </c>
      <c r="F319" s="61" t="s">
        <v>164</v>
      </c>
      <c r="G319" s="61">
        <v>1</v>
      </c>
      <c r="H319" s="61">
        <v>4</v>
      </c>
      <c r="I319" s="61" t="s">
        <v>165</v>
      </c>
      <c r="J319" s="61"/>
      <c r="K319" s="61"/>
      <c r="L319" s="120"/>
    </row>
    <row r="320" spans="2:12">
      <c r="B320" s="359"/>
      <c r="C320" s="357"/>
      <c r="D320" s="180">
        <v>11</v>
      </c>
      <c r="E320" s="120" t="s">
        <v>166</v>
      </c>
      <c r="F320" s="61" t="s">
        <v>127</v>
      </c>
      <c r="G320" s="61">
        <v>1</v>
      </c>
      <c r="H320" s="61">
        <v>5</v>
      </c>
      <c r="I320" s="61">
        <v>3</v>
      </c>
      <c r="J320" s="61"/>
      <c r="K320" s="61"/>
      <c r="L320" s="120"/>
    </row>
    <row r="321" spans="2:12">
      <c r="B321" s="359"/>
      <c r="C321" s="357"/>
      <c r="D321" s="180">
        <v>12</v>
      </c>
      <c r="E321" s="142" t="s">
        <v>194</v>
      </c>
      <c r="F321" s="61" t="s">
        <v>125</v>
      </c>
      <c r="G321" s="61" t="s">
        <v>1546</v>
      </c>
      <c r="H321" s="61"/>
      <c r="I321" s="61"/>
      <c r="J321" s="61"/>
      <c r="K321" s="61"/>
      <c r="L321" s="121"/>
    </row>
    <row r="322" spans="2:12">
      <c r="B322" s="359"/>
      <c r="C322" s="357"/>
      <c r="D322" s="180">
        <v>13</v>
      </c>
      <c r="E322" s="180" t="s">
        <v>1525</v>
      </c>
      <c r="F322" s="61" t="s">
        <v>81</v>
      </c>
      <c r="G322" s="61" t="s">
        <v>196</v>
      </c>
      <c r="H322" s="61" t="s">
        <v>197</v>
      </c>
      <c r="I322" s="61" t="s">
        <v>197</v>
      </c>
      <c r="J322" s="61"/>
      <c r="K322" s="61"/>
      <c r="L322" s="180"/>
    </row>
    <row r="323" spans="2:12">
      <c r="B323" s="359"/>
      <c r="C323" s="357"/>
      <c r="D323" s="180">
        <v>14</v>
      </c>
      <c r="E323" s="180"/>
      <c r="F323" s="61" t="s">
        <v>81</v>
      </c>
      <c r="G323" s="61" t="s">
        <v>198</v>
      </c>
      <c r="H323" s="61" t="s">
        <v>199</v>
      </c>
      <c r="I323" s="61" t="s">
        <v>197</v>
      </c>
      <c r="J323" s="61" t="s">
        <v>197</v>
      </c>
      <c r="K323" s="61">
        <v>1</v>
      </c>
      <c r="L323" s="180"/>
    </row>
    <row r="324" spans="2:12">
      <c r="B324" s="359"/>
      <c r="C324" s="357"/>
      <c r="D324" s="180">
        <v>15</v>
      </c>
      <c r="E324" s="120" t="s">
        <v>146</v>
      </c>
      <c r="F324" s="61" t="s">
        <v>123</v>
      </c>
      <c r="G324" s="61"/>
      <c r="H324" s="61"/>
      <c r="I324" s="61"/>
      <c r="J324" s="61"/>
      <c r="K324" s="61"/>
      <c r="L324" s="120"/>
    </row>
    <row r="325" spans="2:12">
      <c r="B325" s="359"/>
      <c r="C325" s="358"/>
      <c r="D325" s="120"/>
      <c r="E325" s="120"/>
      <c r="F325" s="61"/>
      <c r="G325" s="61"/>
      <c r="H325" s="61"/>
      <c r="I325" s="61"/>
      <c r="J325" s="61"/>
      <c r="K325" s="61"/>
      <c r="L325" s="120"/>
    </row>
    <row r="326" spans="2:12">
      <c r="B326" s="359" t="s">
        <v>1278</v>
      </c>
      <c r="C326" s="356" t="s">
        <v>37</v>
      </c>
      <c r="D326" s="60">
        <v>1</v>
      </c>
      <c r="E326" s="148" t="s">
        <v>1608</v>
      </c>
      <c r="F326" s="61" t="s">
        <v>87</v>
      </c>
      <c r="G326" s="61" t="s">
        <v>1609</v>
      </c>
      <c r="H326" s="61"/>
      <c r="I326" s="61"/>
      <c r="J326" s="61"/>
      <c r="K326" s="61"/>
      <c r="L326" s="60"/>
    </row>
    <row r="327" spans="2:12">
      <c r="B327" s="359"/>
      <c r="C327" s="357"/>
      <c r="D327" s="60">
        <v>2</v>
      </c>
      <c r="E327" s="60" t="s">
        <v>142</v>
      </c>
      <c r="F327" s="61" t="s">
        <v>122</v>
      </c>
      <c r="G327" s="61"/>
      <c r="H327" s="61"/>
      <c r="I327" s="61"/>
      <c r="J327" s="61"/>
      <c r="K327" s="61"/>
      <c r="L327" s="60"/>
    </row>
    <row r="328" spans="2:12">
      <c r="B328" s="359"/>
      <c r="C328" s="357"/>
      <c r="D328" s="60">
        <v>3</v>
      </c>
      <c r="E328" s="60" t="s">
        <v>36</v>
      </c>
      <c r="F328" s="61" t="s">
        <v>126</v>
      </c>
      <c r="G328" s="61">
        <v>1</v>
      </c>
      <c r="H328" s="61">
        <v>1</v>
      </c>
      <c r="I328" s="61"/>
      <c r="J328" s="61"/>
      <c r="K328" s="61"/>
      <c r="L328" s="60"/>
    </row>
    <row r="329" spans="2:12">
      <c r="B329" s="359"/>
      <c r="C329" s="357"/>
      <c r="D329" s="120">
        <v>4</v>
      </c>
      <c r="E329" s="60"/>
      <c r="F329" s="61" t="s">
        <v>125</v>
      </c>
      <c r="G329" s="61">
        <v>100</v>
      </c>
      <c r="H329" s="61"/>
      <c r="I329" s="61"/>
      <c r="J329" s="61"/>
      <c r="K329" s="61"/>
      <c r="L329" s="60"/>
    </row>
    <row r="330" spans="2:12">
      <c r="B330" s="359"/>
      <c r="C330" s="357"/>
      <c r="D330" s="120">
        <v>5</v>
      </c>
      <c r="E330" s="60" t="s">
        <v>166</v>
      </c>
      <c r="F330" s="61" t="s">
        <v>127</v>
      </c>
      <c r="G330" s="61">
        <v>1</v>
      </c>
      <c r="H330" s="61">
        <v>1</v>
      </c>
      <c r="I330" s="61">
        <v>1</v>
      </c>
      <c r="J330" s="61"/>
      <c r="K330" s="61"/>
      <c r="L330" s="60"/>
    </row>
    <row r="331" spans="2:12">
      <c r="B331" s="359"/>
      <c r="C331" s="357"/>
      <c r="D331" s="120">
        <v>6</v>
      </c>
      <c r="E331" s="120"/>
      <c r="F331" s="61" t="s">
        <v>125</v>
      </c>
      <c r="G331" s="61">
        <v>100</v>
      </c>
      <c r="H331" s="61"/>
      <c r="I331" s="61"/>
      <c r="J331" s="61"/>
      <c r="K331" s="61"/>
      <c r="L331" s="120"/>
    </row>
    <row r="332" spans="2:12">
      <c r="B332" s="359"/>
      <c r="C332" s="357"/>
      <c r="D332" s="120">
        <v>7</v>
      </c>
      <c r="E332" s="60" t="s">
        <v>36</v>
      </c>
      <c r="F332" s="61" t="s">
        <v>126</v>
      </c>
      <c r="G332" s="61">
        <v>1</v>
      </c>
      <c r="H332" s="61">
        <v>7</v>
      </c>
      <c r="I332" s="61"/>
      <c r="J332" s="61"/>
      <c r="K332" s="61"/>
      <c r="L332" s="60"/>
    </row>
    <row r="333" spans="2:12">
      <c r="B333" s="359"/>
      <c r="C333" s="357"/>
      <c r="D333" s="120">
        <v>8</v>
      </c>
      <c r="E333" s="120"/>
      <c r="F333" s="61" t="s">
        <v>125</v>
      </c>
      <c r="G333" s="61">
        <v>100</v>
      </c>
      <c r="H333" s="61"/>
      <c r="I333" s="61"/>
      <c r="J333" s="61"/>
      <c r="K333" s="61"/>
      <c r="L333" s="120"/>
    </row>
    <row r="334" spans="2:12">
      <c r="B334" s="359"/>
      <c r="C334" s="357"/>
      <c r="D334" s="120">
        <v>9</v>
      </c>
      <c r="E334" s="60" t="s">
        <v>163</v>
      </c>
      <c r="F334" s="61" t="s">
        <v>164</v>
      </c>
      <c r="G334" s="61">
        <v>1</v>
      </c>
      <c r="H334" s="61">
        <v>4</v>
      </c>
      <c r="I334" s="61" t="s">
        <v>165</v>
      </c>
      <c r="J334" s="61"/>
      <c r="K334" s="61"/>
      <c r="L334" s="60"/>
    </row>
    <row r="335" spans="2:12">
      <c r="B335" s="359"/>
      <c r="C335" s="357"/>
      <c r="D335" s="120">
        <v>10</v>
      </c>
      <c r="E335" s="60" t="s">
        <v>166</v>
      </c>
      <c r="F335" s="61" t="s">
        <v>127</v>
      </c>
      <c r="G335" s="61">
        <v>1</v>
      </c>
      <c r="H335" s="61">
        <v>5</v>
      </c>
      <c r="I335" s="61">
        <v>3</v>
      </c>
      <c r="J335" s="61"/>
      <c r="K335" s="61"/>
      <c r="L335" s="60"/>
    </row>
    <row r="336" spans="2:12">
      <c r="B336" s="359"/>
      <c r="C336" s="357"/>
      <c r="D336" s="120">
        <v>11</v>
      </c>
      <c r="E336" s="60" t="s">
        <v>318</v>
      </c>
      <c r="F336" s="61" t="s">
        <v>300</v>
      </c>
      <c r="G336" s="61">
        <v>5000</v>
      </c>
      <c r="H336" s="61"/>
      <c r="I336" s="61"/>
      <c r="J336" s="61"/>
      <c r="K336" s="61"/>
      <c r="L336" s="60"/>
    </row>
    <row r="337" spans="2:12">
      <c r="B337" s="359"/>
      <c r="C337" s="357"/>
      <c r="D337" s="120">
        <v>12</v>
      </c>
      <c r="E337" s="60" t="s">
        <v>146</v>
      </c>
      <c r="F337" s="61" t="s">
        <v>123</v>
      </c>
      <c r="G337" s="61"/>
      <c r="H337" s="61"/>
      <c r="I337" s="61"/>
      <c r="J337" s="61"/>
      <c r="K337" s="61"/>
      <c r="L337" s="60"/>
    </row>
    <row r="338" spans="2:12">
      <c r="B338" s="359"/>
      <c r="C338" s="358"/>
      <c r="D338" s="60"/>
      <c r="E338" s="60"/>
      <c r="F338" s="61"/>
      <c r="G338" s="61"/>
      <c r="H338" s="61"/>
      <c r="I338" s="61"/>
      <c r="J338" s="61"/>
      <c r="K338" s="61"/>
      <c r="L338" s="60"/>
    </row>
    <row r="339" spans="2:12">
      <c r="B339" s="359" t="s">
        <v>1281</v>
      </c>
      <c r="C339" s="356" t="s">
        <v>1475</v>
      </c>
      <c r="D339" s="120">
        <v>1</v>
      </c>
      <c r="E339" s="148" t="s">
        <v>1608</v>
      </c>
      <c r="F339" s="61" t="s">
        <v>87</v>
      </c>
      <c r="G339" s="61" t="s">
        <v>1609</v>
      </c>
      <c r="H339" s="61"/>
      <c r="I339" s="61"/>
      <c r="J339" s="61"/>
      <c r="K339" s="61"/>
      <c r="L339" s="120"/>
    </row>
    <row r="340" spans="2:12">
      <c r="B340" s="359"/>
      <c r="C340" s="357"/>
      <c r="D340" s="120">
        <v>2</v>
      </c>
      <c r="E340" s="120" t="s">
        <v>142</v>
      </c>
      <c r="F340" s="61" t="s">
        <v>122</v>
      </c>
      <c r="G340" s="61"/>
      <c r="H340" s="61"/>
      <c r="I340" s="61"/>
      <c r="J340" s="61"/>
      <c r="K340" s="61"/>
      <c r="L340" s="120"/>
    </row>
    <row r="341" spans="2:12">
      <c r="B341" s="359"/>
      <c r="C341" s="357"/>
      <c r="D341" s="180">
        <v>3</v>
      </c>
      <c r="E341" s="120" t="s">
        <v>1932</v>
      </c>
      <c r="F341" s="61" t="s">
        <v>126</v>
      </c>
      <c r="G341" s="61">
        <v>1</v>
      </c>
      <c r="H341" s="61">
        <v>6</v>
      </c>
      <c r="I341" s="61"/>
      <c r="J341" s="61"/>
      <c r="K341" s="61"/>
      <c r="L341" s="120"/>
    </row>
    <row r="342" spans="2:12">
      <c r="B342" s="359"/>
      <c r="C342" s="357"/>
      <c r="D342" s="180">
        <v>4</v>
      </c>
      <c r="E342" s="120"/>
      <c r="F342" s="61" t="s">
        <v>125</v>
      </c>
      <c r="G342" s="61">
        <v>100</v>
      </c>
      <c r="H342" s="61"/>
      <c r="I342" s="61"/>
      <c r="J342" s="61"/>
      <c r="K342" s="61"/>
      <c r="L342" s="120"/>
    </row>
    <row r="343" spans="2:12">
      <c r="B343" s="359"/>
      <c r="C343" s="357"/>
      <c r="D343" s="180">
        <v>5</v>
      </c>
      <c r="E343" s="120" t="s">
        <v>166</v>
      </c>
      <c r="F343" s="61" t="s">
        <v>127</v>
      </c>
      <c r="G343" s="61">
        <v>1</v>
      </c>
      <c r="H343" s="61">
        <v>8</v>
      </c>
      <c r="I343" s="61">
        <v>1</v>
      </c>
      <c r="J343" s="61"/>
      <c r="K343" s="61"/>
      <c r="L343" s="120"/>
    </row>
    <row r="344" spans="2:12">
      <c r="B344" s="359"/>
      <c r="C344" s="357"/>
      <c r="D344" s="180">
        <v>6</v>
      </c>
      <c r="E344" s="120"/>
      <c r="F344" s="61" t="s">
        <v>125</v>
      </c>
      <c r="G344" s="61">
        <v>100</v>
      </c>
      <c r="H344" s="61"/>
      <c r="I344" s="61"/>
      <c r="J344" s="61"/>
      <c r="K344" s="61"/>
      <c r="L344" s="120"/>
    </row>
    <row r="345" spans="2:12">
      <c r="B345" s="359"/>
      <c r="C345" s="357"/>
      <c r="D345" s="180">
        <v>7</v>
      </c>
      <c r="E345" s="180" t="s">
        <v>1524</v>
      </c>
      <c r="F345" s="61" t="s">
        <v>81</v>
      </c>
      <c r="G345" s="61" t="s">
        <v>1517</v>
      </c>
      <c r="H345" s="61"/>
      <c r="I345" s="61"/>
      <c r="J345" s="61"/>
      <c r="K345" s="61"/>
      <c r="L345" s="180"/>
    </row>
    <row r="346" spans="2:12">
      <c r="B346" s="359"/>
      <c r="C346" s="357"/>
      <c r="D346" s="180">
        <v>8</v>
      </c>
      <c r="E346" s="120" t="s">
        <v>163</v>
      </c>
      <c r="F346" s="61" t="s">
        <v>164</v>
      </c>
      <c r="G346" s="61">
        <v>1</v>
      </c>
      <c r="H346" s="61">
        <v>4</v>
      </c>
      <c r="I346" s="61" t="s">
        <v>165</v>
      </c>
      <c r="J346" s="61"/>
      <c r="K346" s="61"/>
      <c r="L346" s="120"/>
    </row>
    <row r="347" spans="2:12">
      <c r="B347" s="359"/>
      <c r="C347" s="357"/>
      <c r="D347" s="180">
        <v>9</v>
      </c>
      <c r="E347" s="120" t="s">
        <v>166</v>
      </c>
      <c r="F347" s="61" t="s">
        <v>127</v>
      </c>
      <c r="G347" s="61">
        <v>1</v>
      </c>
      <c r="H347" s="61">
        <v>8</v>
      </c>
      <c r="I347" s="61">
        <v>3</v>
      </c>
      <c r="J347" s="61"/>
      <c r="K347" s="61"/>
      <c r="L347" s="120"/>
    </row>
    <row r="348" spans="2:12">
      <c r="B348" s="359"/>
      <c r="C348" s="357"/>
      <c r="D348" s="180">
        <v>10</v>
      </c>
      <c r="E348" s="142" t="s">
        <v>194</v>
      </c>
      <c r="F348" s="61" t="s">
        <v>125</v>
      </c>
      <c r="G348" s="61" t="s">
        <v>1546</v>
      </c>
      <c r="H348" s="61"/>
      <c r="I348" s="61"/>
      <c r="J348" s="61"/>
      <c r="K348" s="61"/>
      <c r="L348" s="121"/>
    </row>
    <row r="349" spans="2:12">
      <c r="B349" s="359"/>
      <c r="C349" s="357"/>
      <c r="D349" s="180">
        <v>11</v>
      </c>
      <c r="E349" s="180" t="s">
        <v>1525</v>
      </c>
      <c r="F349" s="61" t="s">
        <v>81</v>
      </c>
      <c r="G349" s="61" t="s">
        <v>196</v>
      </c>
      <c r="H349" s="61" t="s">
        <v>197</v>
      </c>
      <c r="I349" s="61" t="s">
        <v>197</v>
      </c>
      <c r="J349" s="61"/>
      <c r="K349" s="61"/>
      <c r="L349" s="180"/>
    </row>
    <row r="350" spans="2:12">
      <c r="B350" s="359"/>
      <c r="C350" s="357"/>
      <c r="D350" s="180">
        <v>12</v>
      </c>
      <c r="E350" s="180"/>
      <c r="F350" s="61" t="s">
        <v>81</v>
      </c>
      <c r="G350" s="61" t="s">
        <v>198</v>
      </c>
      <c r="H350" s="61" t="s">
        <v>199</v>
      </c>
      <c r="I350" s="61" t="s">
        <v>197</v>
      </c>
      <c r="J350" s="61" t="s">
        <v>197</v>
      </c>
      <c r="K350" s="61">
        <v>1</v>
      </c>
      <c r="L350" s="180"/>
    </row>
    <row r="351" spans="2:12">
      <c r="B351" s="359"/>
      <c r="C351" s="357"/>
      <c r="D351" s="180">
        <v>13</v>
      </c>
      <c r="E351" s="120" t="s">
        <v>146</v>
      </c>
      <c r="F351" s="61" t="s">
        <v>123</v>
      </c>
      <c r="G351" s="61"/>
      <c r="H351" s="61"/>
      <c r="I351" s="61"/>
      <c r="J351" s="61"/>
      <c r="K351" s="61"/>
      <c r="L351" s="120"/>
    </row>
    <row r="352" spans="2:12">
      <c r="B352" s="359"/>
      <c r="C352" s="358"/>
      <c r="D352" s="120"/>
      <c r="E352" s="120"/>
      <c r="F352" s="61"/>
      <c r="G352" s="61"/>
      <c r="H352" s="61"/>
      <c r="I352" s="61"/>
      <c r="J352" s="61"/>
      <c r="K352" s="61"/>
      <c r="L352" s="120"/>
    </row>
    <row r="353" spans="2:12">
      <c r="B353" s="359" t="s">
        <v>1280</v>
      </c>
      <c r="C353" s="356" t="s">
        <v>1475</v>
      </c>
      <c r="D353" s="60">
        <v>1</v>
      </c>
      <c r="E353" s="148" t="s">
        <v>1608</v>
      </c>
      <c r="F353" s="61" t="s">
        <v>87</v>
      </c>
      <c r="G353" s="61" t="s">
        <v>1609</v>
      </c>
      <c r="H353" s="61"/>
      <c r="I353" s="61"/>
      <c r="J353" s="61"/>
      <c r="K353" s="61"/>
      <c r="L353" s="60"/>
    </row>
    <row r="354" spans="2:12">
      <c r="B354" s="359"/>
      <c r="C354" s="357"/>
      <c r="D354" s="60">
        <v>2</v>
      </c>
      <c r="E354" s="60" t="s">
        <v>142</v>
      </c>
      <c r="F354" s="61" t="s">
        <v>122</v>
      </c>
      <c r="G354" s="61"/>
      <c r="H354" s="61"/>
      <c r="I354" s="61"/>
      <c r="J354" s="61"/>
      <c r="K354" s="61"/>
      <c r="L354" s="60"/>
    </row>
    <row r="355" spans="2:12">
      <c r="B355" s="359"/>
      <c r="C355" s="357"/>
      <c r="D355" s="60">
        <v>3</v>
      </c>
      <c r="E355" s="60" t="s">
        <v>36</v>
      </c>
      <c r="F355" s="61" t="s">
        <v>126</v>
      </c>
      <c r="G355" s="61">
        <v>1</v>
      </c>
      <c r="H355" s="61">
        <v>6</v>
      </c>
      <c r="I355" s="61"/>
      <c r="J355" s="61"/>
      <c r="K355" s="61"/>
      <c r="L355" s="60"/>
    </row>
    <row r="356" spans="2:12">
      <c r="B356" s="359"/>
      <c r="C356" s="357"/>
      <c r="D356" s="60">
        <v>4</v>
      </c>
      <c r="E356" s="60"/>
      <c r="F356" s="61" t="s">
        <v>125</v>
      </c>
      <c r="G356" s="61">
        <v>100</v>
      </c>
      <c r="H356" s="61"/>
      <c r="I356" s="61"/>
      <c r="J356" s="61"/>
      <c r="K356" s="61"/>
      <c r="L356" s="60"/>
    </row>
    <row r="357" spans="2:12">
      <c r="B357" s="359"/>
      <c r="C357" s="357"/>
      <c r="D357" s="60">
        <v>5</v>
      </c>
      <c r="E357" s="60" t="s">
        <v>166</v>
      </c>
      <c r="F357" s="61" t="s">
        <v>127</v>
      </c>
      <c r="G357" s="61">
        <v>1</v>
      </c>
      <c r="H357" s="61">
        <v>8</v>
      </c>
      <c r="I357" s="61">
        <v>1</v>
      </c>
      <c r="J357" s="61"/>
      <c r="K357" s="61"/>
      <c r="L357" s="60"/>
    </row>
    <row r="358" spans="2:12">
      <c r="B358" s="359"/>
      <c r="C358" s="357"/>
      <c r="D358" s="120">
        <v>6</v>
      </c>
      <c r="E358" s="120"/>
      <c r="F358" s="61" t="s">
        <v>125</v>
      </c>
      <c r="G358" s="61">
        <v>100</v>
      </c>
      <c r="H358" s="61"/>
      <c r="I358" s="61"/>
      <c r="J358" s="61"/>
      <c r="K358" s="61"/>
      <c r="L358" s="120"/>
    </row>
    <row r="359" spans="2:12">
      <c r="B359" s="359"/>
      <c r="C359" s="357"/>
      <c r="D359" s="120">
        <v>7</v>
      </c>
      <c r="E359" s="60" t="s">
        <v>163</v>
      </c>
      <c r="F359" s="61" t="s">
        <v>164</v>
      </c>
      <c r="G359" s="61">
        <v>1</v>
      </c>
      <c r="H359" s="61">
        <v>4</v>
      </c>
      <c r="I359" s="61" t="s">
        <v>165</v>
      </c>
      <c r="J359" s="61"/>
      <c r="K359" s="61"/>
      <c r="L359" s="60"/>
    </row>
    <row r="360" spans="2:12">
      <c r="B360" s="359"/>
      <c r="C360" s="357"/>
      <c r="D360" s="120">
        <v>8</v>
      </c>
      <c r="E360" s="60" t="s">
        <v>166</v>
      </c>
      <c r="F360" s="61" t="s">
        <v>127</v>
      </c>
      <c r="G360" s="61">
        <v>1</v>
      </c>
      <c r="H360" s="61">
        <v>8</v>
      </c>
      <c r="I360" s="61">
        <v>3</v>
      </c>
      <c r="J360" s="61"/>
      <c r="K360" s="61"/>
      <c r="L360" s="60"/>
    </row>
    <row r="361" spans="2:12">
      <c r="B361" s="359"/>
      <c r="C361" s="357"/>
      <c r="D361" s="120">
        <v>9</v>
      </c>
      <c r="E361" s="60" t="s">
        <v>318</v>
      </c>
      <c r="F361" s="61" t="s">
        <v>300</v>
      </c>
      <c r="G361" s="61">
        <v>5000</v>
      </c>
      <c r="H361" s="61"/>
      <c r="I361" s="61"/>
      <c r="J361" s="61"/>
      <c r="K361" s="61"/>
      <c r="L361" s="60"/>
    </row>
    <row r="362" spans="2:12">
      <c r="B362" s="359"/>
      <c r="C362" s="357"/>
      <c r="D362" s="120">
        <v>10</v>
      </c>
      <c r="E362" s="60" t="s">
        <v>146</v>
      </c>
      <c r="F362" s="61" t="s">
        <v>123</v>
      </c>
      <c r="G362" s="61"/>
      <c r="H362" s="61"/>
      <c r="I362" s="61"/>
      <c r="J362" s="61"/>
      <c r="K362" s="61"/>
      <c r="L362" s="60"/>
    </row>
    <row r="363" spans="2:12">
      <c r="B363" s="359"/>
      <c r="C363" s="358"/>
      <c r="D363" s="60"/>
      <c r="E363" s="60"/>
      <c r="F363" s="61"/>
      <c r="G363" s="61"/>
      <c r="H363" s="61"/>
      <c r="I363" s="61"/>
      <c r="J363" s="61"/>
      <c r="K363" s="61"/>
      <c r="L363" s="60"/>
    </row>
    <row r="364" spans="2:12">
      <c r="B364" s="359" t="s">
        <v>1283</v>
      </c>
      <c r="C364" s="356" t="s">
        <v>37</v>
      </c>
      <c r="D364" s="120">
        <v>1</v>
      </c>
      <c r="E364" s="148" t="s">
        <v>1608</v>
      </c>
      <c r="F364" s="61" t="s">
        <v>87</v>
      </c>
      <c r="G364" s="61" t="s">
        <v>1609</v>
      </c>
      <c r="H364" s="61"/>
      <c r="I364" s="61"/>
      <c r="J364" s="61"/>
      <c r="K364" s="61"/>
      <c r="L364" s="120"/>
    </row>
    <row r="365" spans="2:12">
      <c r="B365" s="359"/>
      <c r="C365" s="357"/>
      <c r="D365" s="120">
        <v>2</v>
      </c>
      <c r="E365" s="120" t="s">
        <v>142</v>
      </c>
      <c r="F365" s="61" t="s">
        <v>122</v>
      </c>
      <c r="G365" s="61"/>
      <c r="H365" s="61"/>
      <c r="I365" s="61"/>
      <c r="J365" s="61"/>
      <c r="K365" s="61"/>
      <c r="L365" s="120"/>
    </row>
    <row r="366" spans="2:12">
      <c r="B366" s="359"/>
      <c r="C366" s="357"/>
      <c r="D366" s="180">
        <v>3</v>
      </c>
      <c r="E366" s="120" t="s">
        <v>36</v>
      </c>
      <c r="F366" s="61" t="s">
        <v>126</v>
      </c>
      <c r="G366" s="61">
        <v>1</v>
      </c>
      <c r="H366" s="61">
        <v>6</v>
      </c>
      <c r="I366" s="61"/>
      <c r="J366" s="61"/>
      <c r="K366" s="61"/>
      <c r="L366" s="120"/>
    </row>
    <row r="367" spans="2:12">
      <c r="B367" s="359"/>
      <c r="C367" s="357"/>
      <c r="D367" s="180">
        <v>4</v>
      </c>
      <c r="E367" s="120"/>
      <c r="F367" s="61" t="s">
        <v>125</v>
      </c>
      <c r="G367" s="61">
        <v>100</v>
      </c>
      <c r="H367" s="61"/>
      <c r="I367" s="61"/>
      <c r="J367" s="61"/>
      <c r="K367" s="61"/>
      <c r="L367" s="120"/>
    </row>
    <row r="368" spans="2:12">
      <c r="B368" s="359"/>
      <c r="C368" s="357"/>
      <c r="D368" s="180">
        <v>5</v>
      </c>
      <c r="E368" s="120" t="s">
        <v>166</v>
      </c>
      <c r="F368" s="61" t="s">
        <v>127</v>
      </c>
      <c r="G368" s="61">
        <v>1</v>
      </c>
      <c r="H368" s="61">
        <v>8</v>
      </c>
      <c r="I368" s="61">
        <v>1</v>
      </c>
      <c r="J368" s="61"/>
      <c r="K368" s="61"/>
      <c r="L368" s="120"/>
    </row>
    <row r="369" spans="2:12">
      <c r="B369" s="359"/>
      <c r="C369" s="357"/>
      <c r="D369" s="180">
        <v>6</v>
      </c>
      <c r="E369" s="120"/>
      <c r="F369" s="61" t="s">
        <v>125</v>
      </c>
      <c r="G369" s="61">
        <v>100</v>
      </c>
      <c r="H369" s="61"/>
      <c r="I369" s="61"/>
      <c r="J369" s="61"/>
      <c r="K369" s="61"/>
      <c r="L369" s="120"/>
    </row>
    <row r="370" spans="2:12">
      <c r="B370" s="359"/>
      <c r="C370" s="357"/>
      <c r="D370" s="180">
        <v>7</v>
      </c>
      <c r="E370" s="180" t="s">
        <v>1524</v>
      </c>
      <c r="F370" s="61" t="s">
        <v>81</v>
      </c>
      <c r="G370" s="61" t="s">
        <v>1517</v>
      </c>
      <c r="H370" s="61"/>
      <c r="I370" s="61"/>
      <c r="J370" s="61"/>
      <c r="K370" s="61"/>
      <c r="L370" s="180"/>
    </row>
    <row r="371" spans="2:12">
      <c r="B371" s="359"/>
      <c r="C371" s="357"/>
      <c r="D371" s="180">
        <v>8</v>
      </c>
      <c r="E371" s="120" t="s">
        <v>163</v>
      </c>
      <c r="F371" s="61" t="s">
        <v>164</v>
      </c>
      <c r="G371" s="61">
        <v>1</v>
      </c>
      <c r="H371" s="61">
        <v>4</v>
      </c>
      <c r="I371" s="61" t="s">
        <v>165</v>
      </c>
      <c r="J371" s="61"/>
      <c r="K371" s="61"/>
      <c r="L371" s="120"/>
    </row>
    <row r="372" spans="2:12">
      <c r="B372" s="359"/>
      <c r="C372" s="357"/>
      <c r="D372" s="180">
        <v>9</v>
      </c>
      <c r="E372" s="120" t="s">
        <v>166</v>
      </c>
      <c r="F372" s="61" t="s">
        <v>127</v>
      </c>
      <c r="G372" s="61">
        <v>1</v>
      </c>
      <c r="H372" s="61">
        <v>8</v>
      </c>
      <c r="I372" s="61">
        <v>5</v>
      </c>
      <c r="J372" s="61"/>
      <c r="K372" s="61"/>
      <c r="L372" s="120"/>
    </row>
    <row r="373" spans="2:12">
      <c r="B373" s="359"/>
      <c r="C373" s="357"/>
      <c r="D373" s="180">
        <v>10</v>
      </c>
      <c r="E373" s="142" t="s">
        <v>194</v>
      </c>
      <c r="F373" s="61" t="s">
        <v>125</v>
      </c>
      <c r="G373" s="61" t="s">
        <v>1546</v>
      </c>
      <c r="H373" s="61"/>
      <c r="I373" s="61"/>
      <c r="J373" s="61"/>
      <c r="K373" s="61"/>
      <c r="L373" s="121"/>
    </row>
    <row r="374" spans="2:12">
      <c r="B374" s="359"/>
      <c r="C374" s="357"/>
      <c r="D374" s="180">
        <v>11</v>
      </c>
      <c r="E374" s="180" t="s">
        <v>1525</v>
      </c>
      <c r="F374" s="61" t="s">
        <v>81</v>
      </c>
      <c r="G374" s="61" t="s">
        <v>196</v>
      </c>
      <c r="H374" s="61" t="s">
        <v>197</v>
      </c>
      <c r="I374" s="61" t="s">
        <v>197</v>
      </c>
      <c r="J374" s="61"/>
      <c r="K374" s="61"/>
      <c r="L374" s="180"/>
    </row>
    <row r="375" spans="2:12">
      <c r="B375" s="359"/>
      <c r="C375" s="357"/>
      <c r="D375" s="180">
        <v>12</v>
      </c>
      <c r="E375" s="180"/>
      <c r="F375" s="61" t="s">
        <v>81</v>
      </c>
      <c r="G375" s="61" t="s">
        <v>198</v>
      </c>
      <c r="H375" s="61" t="s">
        <v>199</v>
      </c>
      <c r="I375" s="61" t="s">
        <v>197</v>
      </c>
      <c r="J375" s="61" t="s">
        <v>197</v>
      </c>
      <c r="K375" s="61">
        <v>1</v>
      </c>
      <c r="L375" s="180"/>
    </row>
    <row r="376" spans="2:12">
      <c r="B376" s="359"/>
      <c r="C376" s="357"/>
      <c r="D376" s="180">
        <v>13</v>
      </c>
      <c r="E376" s="120" t="s">
        <v>146</v>
      </c>
      <c r="F376" s="61" t="s">
        <v>123</v>
      </c>
      <c r="G376" s="61"/>
      <c r="H376" s="61"/>
      <c r="I376" s="61"/>
      <c r="J376" s="61"/>
      <c r="K376" s="61"/>
      <c r="L376" s="120"/>
    </row>
    <row r="377" spans="2:12">
      <c r="B377" s="359"/>
      <c r="C377" s="358"/>
      <c r="D377" s="120"/>
      <c r="E377" s="120"/>
      <c r="F377" s="61"/>
      <c r="G377" s="61"/>
      <c r="H377" s="61"/>
      <c r="I377" s="61"/>
      <c r="J377" s="61"/>
      <c r="K377" s="61"/>
      <c r="L377" s="120"/>
    </row>
    <row r="378" spans="2:12">
      <c r="B378" s="359" t="s">
        <v>1282</v>
      </c>
      <c r="C378" s="356" t="s">
        <v>1475</v>
      </c>
      <c r="D378" s="60">
        <v>1</v>
      </c>
      <c r="E378" s="148" t="s">
        <v>1608</v>
      </c>
      <c r="F378" s="61" t="s">
        <v>87</v>
      </c>
      <c r="G378" s="61" t="s">
        <v>1609</v>
      </c>
      <c r="H378" s="61"/>
      <c r="I378" s="61"/>
      <c r="J378" s="61"/>
      <c r="K378" s="61"/>
      <c r="L378" s="60"/>
    </row>
    <row r="379" spans="2:12">
      <c r="B379" s="359"/>
      <c r="C379" s="357"/>
      <c r="D379" s="60">
        <v>2</v>
      </c>
      <c r="E379" s="60" t="s">
        <v>142</v>
      </c>
      <c r="F379" s="61" t="s">
        <v>122</v>
      </c>
      <c r="G379" s="61"/>
      <c r="H379" s="61"/>
      <c r="I379" s="61"/>
      <c r="J379" s="61"/>
      <c r="K379" s="61"/>
      <c r="L379" s="60"/>
    </row>
    <row r="380" spans="2:12">
      <c r="B380" s="359"/>
      <c r="C380" s="357"/>
      <c r="D380" s="60">
        <v>3</v>
      </c>
      <c r="E380" s="60" t="s">
        <v>36</v>
      </c>
      <c r="F380" s="61" t="s">
        <v>126</v>
      </c>
      <c r="G380" s="61">
        <v>1</v>
      </c>
      <c r="H380" s="61">
        <v>6</v>
      </c>
      <c r="I380" s="61"/>
      <c r="J380" s="61"/>
      <c r="K380" s="61"/>
      <c r="L380" s="60"/>
    </row>
    <row r="381" spans="2:12">
      <c r="B381" s="359"/>
      <c r="C381" s="357"/>
      <c r="D381" s="60">
        <v>4</v>
      </c>
      <c r="E381" s="60"/>
      <c r="F381" s="61" t="s">
        <v>125</v>
      </c>
      <c r="G381" s="61">
        <v>100</v>
      </c>
      <c r="H381" s="61"/>
      <c r="I381" s="61"/>
      <c r="J381" s="61"/>
      <c r="K381" s="61"/>
      <c r="L381" s="60"/>
    </row>
    <row r="382" spans="2:12">
      <c r="B382" s="359"/>
      <c r="C382" s="357"/>
      <c r="D382" s="120">
        <v>5</v>
      </c>
      <c r="E382" s="60" t="s">
        <v>166</v>
      </c>
      <c r="F382" s="61" t="s">
        <v>127</v>
      </c>
      <c r="G382" s="61">
        <v>1</v>
      </c>
      <c r="H382" s="61">
        <v>8</v>
      </c>
      <c r="I382" s="61">
        <v>1</v>
      </c>
      <c r="J382" s="61"/>
      <c r="K382" s="61"/>
      <c r="L382" s="60"/>
    </row>
    <row r="383" spans="2:12">
      <c r="B383" s="359"/>
      <c r="C383" s="357"/>
      <c r="D383" s="120">
        <v>6</v>
      </c>
      <c r="E383" s="120"/>
      <c r="F383" s="61" t="s">
        <v>125</v>
      </c>
      <c r="G383" s="61">
        <v>100</v>
      </c>
      <c r="H383" s="61"/>
      <c r="I383" s="61"/>
      <c r="J383" s="61"/>
      <c r="K383" s="61"/>
      <c r="L383" s="120"/>
    </row>
    <row r="384" spans="2:12">
      <c r="B384" s="359"/>
      <c r="C384" s="357"/>
      <c r="D384" s="120">
        <v>7</v>
      </c>
      <c r="E384" s="60" t="s">
        <v>163</v>
      </c>
      <c r="F384" s="61" t="s">
        <v>164</v>
      </c>
      <c r="G384" s="61">
        <v>1</v>
      </c>
      <c r="H384" s="61">
        <v>4</v>
      </c>
      <c r="I384" s="61" t="s">
        <v>165</v>
      </c>
      <c r="J384" s="61"/>
      <c r="K384" s="61"/>
      <c r="L384" s="60"/>
    </row>
    <row r="385" spans="2:12">
      <c r="B385" s="359"/>
      <c r="C385" s="357"/>
      <c r="D385" s="120">
        <v>8</v>
      </c>
      <c r="E385" s="60" t="s">
        <v>166</v>
      </c>
      <c r="F385" s="61" t="s">
        <v>127</v>
      </c>
      <c r="G385" s="61">
        <v>1</v>
      </c>
      <c r="H385" s="61">
        <v>8</v>
      </c>
      <c r="I385" s="61">
        <v>5</v>
      </c>
      <c r="J385" s="61"/>
      <c r="K385" s="61"/>
      <c r="L385" s="60"/>
    </row>
    <row r="386" spans="2:12">
      <c r="B386" s="359"/>
      <c r="C386" s="357"/>
      <c r="D386" s="120">
        <v>9</v>
      </c>
      <c r="E386" s="60" t="s">
        <v>318</v>
      </c>
      <c r="F386" s="61" t="s">
        <v>300</v>
      </c>
      <c r="G386" s="61">
        <v>5000</v>
      </c>
      <c r="H386" s="61"/>
      <c r="I386" s="61"/>
      <c r="J386" s="61"/>
      <c r="K386" s="61"/>
      <c r="L386" s="60"/>
    </row>
    <row r="387" spans="2:12">
      <c r="B387" s="359"/>
      <c r="C387" s="357"/>
      <c r="D387" s="120">
        <v>10</v>
      </c>
      <c r="E387" s="60" t="s">
        <v>146</v>
      </c>
      <c r="F387" s="61" t="s">
        <v>123</v>
      </c>
      <c r="G387" s="61"/>
      <c r="H387" s="61"/>
      <c r="I387" s="61"/>
      <c r="J387" s="61"/>
      <c r="K387" s="61"/>
      <c r="L387" s="60"/>
    </row>
    <row r="388" spans="2:12">
      <c r="B388" s="359"/>
      <c r="C388" s="358"/>
      <c r="D388" s="60"/>
      <c r="E388" s="60"/>
      <c r="F388" s="61"/>
      <c r="G388" s="61"/>
      <c r="H388" s="61"/>
      <c r="I388" s="61"/>
      <c r="J388" s="61"/>
      <c r="K388" s="61"/>
      <c r="L388" s="60"/>
    </row>
    <row r="389" spans="2:12">
      <c r="B389" s="359" t="s">
        <v>1285</v>
      </c>
      <c r="C389" s="356" t="s">
        <v>1475</v>
      </c>
      <c r="D389" s="120">
        <v>1</v>
      </c>
      <c r="E389" s="148" t="s">
        <v>1608</v>
      </c>
      <c r="F389" s="61" t="s">
        <v>87</v>
      </c>
      <c r="G389" s="61" t="s">
        <v>1609</v>
      </c>
      <c r="H389" s="61"/>
      <c r="I389" s="61"/>
      <c r="J389" s="61"/>
      <c r="K389" s="61"/>
      <c r="L389" s="120"/>
    </row>
    <row r="390" spans="2:12">
      <c r="B390" s="359"/>
      <c r="C390" s="357"/>
      <c r="D390" s="120">
        <v>2</v>
      </c>
      <c r="E390" s="120" t="s">
        <v>142</v>
      </c>
      <c r="F390" s="61" t="s">
        <v>122</v>
      </c>
      <c r="G390" s="61"/>
      <c r="H390" s="61"/>
      <c r="I390" s="61"/>
      <c r="J390" s="61"/>
      <c r="K390" s="61"/>
      <c r="L390" s="120"/>
    </row>
    <row r="391" spans="2:12">
      <c r="B391" s="359"/>
      <c r="C391" s="357"/>
      <c r="D391" s="180">
        <v>3</v>
      </c>
      <c r="E391" s="120" t="s">
        <v>36</v>
      </c>
      <c r="F391" s="61" t="s">
        <v>126</v>
      </c>
      <c r="G391" s="61">
        <v>1</v>
      </c>
      <c r="H391" s="61">
        <v>1</v>
      </c>
      <c r="I391" s="61"/>
      <c r="J391" s="61"/>
      <c r="K391" s="61"/>
      <c r="L391" s="120"/>
    </row>
    <row r="392" spans="2:12">
      <c r="B392" s="359"/>
      <c r="C392" s="357"/>
      <c r="D392" s="180">
        <v>4</v>
      </c>
      <c r="E392" s="120"/>
      <c r="F392" s="61" t="s">
        <v>125</v>
      </c>
      <c r="G392" s="61">
        <v>100</v>
      </c>
      <c r="H392" s="61"/>
      <c r="I392" s="61"/>
      <c r="J392" s="61"/>
      <c r="K392" s="61"/>
      <c r="L392" s="120"/>
    </row>
    <row r="393" spans="2:12">
      <c r="B393" s="359"/>
      <c r="C393" s="357"/>
      <c r="D393" s="180">
        <v>5</v>
      </c>
      <c r="E393" s="120" t="s">
        <v>166</v>
      </c>
      <c r="F393" s="61" t="s">
        <v>127</v>
      </c>
      <c r="G393" s="61">
        <v>1</v>
      </c>
      <c r="H393" s="61">
        <v>3</v>
      </c>
      <c r="I393" s="61">
        <v>1</v>
      </c>
      <c r="J393" s="61"/>
      <c r="K393" s="61"/>
      <c r="L393" s="120"/>
    </row>
    <row r="394" spans="2:12">
      <c r="B394" s="359"/>
      <c r="C394" s="357"/>
      <c r="D394" s="180">
        <v>6</v>
      </c>
      <c r="E394" s="120"/>
      <c r="F394" s="61" t="s">
        <v>125</v>
      </c>
      <c r="G394" s="61">
        <v>100</v>
      </c>
      <c r="H394" s="61"/>
      <c r="I394" s="61"/>
      <c r="J394" s="61"/>
      <c r="K394" s="61"/>
      <c r="L394" s="120"/>
    </row>
    <row r="395" spans="2:12">
      <c r="B395" s="359"/>
      <c r="C395" s="357"/>
      <c r="D395" s="180">
        <v>7</v>
      </c>
      <c r="E395" s="120" t="s">
        <v>36</v>
      </c>
      <c r="F395" s="61" t="s">
        <v>126</v>
      </c>
      <c r="G395" s="61">
        <v>1</v>
      </c>
      <c r="H395" s="61">
        <v>5</v>
      </c>
      <c r="I395" s="61"/>
      <c r="J395" s="61"/>
      <c r="K395" s="61"/>
      <c r="L395" s="120"/>
    </row>
    <row r="396" spans="2:12">
      <c r="B396" s="359"/>
      <c r="C396" s="357"/>
      <c r="D396" s="180">
        <v>8</v>
      </c>
      <c r="E396" s="120"/>
      <c r="F396" s="61" t="s">
        <v>125</v>
      </c>
      <c r="G396" s="61">
        <v>100</v>
      </c>
      <c r="H396" s="61"/>
      <c r="I396" s="61"/>
      <c r="J396" s="61"/>
      <c r="K396" s="61"/>
      <c r="L396" s="120"/>
    </row>
    <row r="397" spans="2:12">
      <c r="B397" s="359"/>
      <c r="C397" s="357"/>
      <c r="D397" s="180">
        <v>9</v>
      </c>
      <c r="E397" s="180" t="s">
        <v>1524</v>
      </c>
      <c r="F397" s="61" t="s">
        <v>81</v>
      </c>
      <c r="G397" s="61" t="s">
        <v>1517</v>
      </c>
      <c r="H397" s="61"/>
      <c r="I397" s="61"/>
      <c r="J397" s="61"/>
      <c r="K397" s="61"/>
      <c r="L397" s="180"/>
    </row>
    <row r="398" spans="2:12">
      <c r="B398" s="359"/>
      <c r="C398" s="357"/>
      <c r="D398" s="180">
        <v>10</v>
      </c>
      <c r="E398" s="120" t="s">
        <v>163</v>
      </c>
      <c r="F398" s="61" t="s">
        <v>164</v>
      </c>
      <c r="G398" s="61">
        <v>1</v>
      </c>
      <c r="H398" s="61">
        <v>4</v>
      </c>
      <c r="I398" s="61" t="s">
        <v>165</v>
      </c>
      <c r="J398" s="61"/>
      <c r="K398" s="61"/>
      <c r="L398" s="120"/>
    </row>
    <row r="399" spans="2:12">
      <c r="B399" s="359"/>
      <c r="C399" s="357"/>
      <c r="D399" s="180">
        <v>11</v>
      </c>
      <c r="E399" s="120" t="s">
        <v>166</v>
      </c>
      <c r="F399" s="61" t="s">
        <v>127</v>
      </c>
      <c r="G399" s="61">
        <v>1</v>
      </c>
      <c r="H399" s="61">
        <v>7</v>
      </c>
      <c r="I399" s="61">
        <v>3</v>
      </c>
      <c r="J399" s="61"/>
      <c r="K399" s="61"/>
      <c r="L399" s="120"/>
    </row>
    <row r="400" spans="2:12">
      <c r="B400" s="359"/>
      <c r="C400" s="357"/>
      <c r="D400" s="180">
        <v>12</v>
      </c>
      <c r="E400" s="142" t="s">
        <v>194</v>
      </c>
      <c r="F400" s="61" t="s">
        <v>125</v>
      </c>
      <c r="G400" s="61" t="s">
        <v>1546</v>
      </c>
      <c r="H400" s="61"/>
      <c r="I400" s="61"/>
      <c r="J400" s="61"/>
      <c r="K400" s="61"/>
      <c r="L400" s="121"/>
    </row>
    <row r="401" spans="2:12">
      <c r="B401" s="359"/>
      <c r="C401" s="357"/>
      <c r="D401" s="180">
        <v>13</v>
      </c>
      <c r="E401" s="180" t="s">
        <v>1525</v>
      </c>
      <c r="F401" s="61" t="s">
        <v>81</v>
      </c>
      <c r="G401" s="61" t="s">
        <v>196</v>
      </c>
      <c r="H401" s="61" t="s">
        <v>197</v>
      </c>
      <c r="I401" s="61" t="s">
        <v>197</v>
      </c>
      <c r="J401" s="61"/>
      <c r="K401" s="61"/>
      <c r="L401" s="180"/>
    </row>
    <row r="402" spans="2:12">
      <c r="B402" s="359"/>
      <c r="C402" s="357"/>
      <c r="D402" s="180">
        <v>14</v>
      </c>
      <c r="E402" s="180"/>
      <c r="F402" s="61" t="s">
        <v>81</v>
      </c>
      <c r="G402" s="61" t="s">
        <v>198</v>
      </c>
      <c r="H402" s="61" t="s">
        <v>199</v>
      </c>
      <c r="I402" s="61" t="s">
        <v>197</v>
      </c>
      <c r="J402" s="61" t="s">
        <v>197</v>
      </c>
      <c r="K402" s="61">
        <v>1</v>
      </c>
      <c r="L402" s="180"/>
    </row>
    <row r="403" spans="2:12">
      <c r="B403" s="359"/>
      <c r="C403" s="357"/>
      <c r="D403" s="180">
        <v>15</v>
      </c>
      <c r="E403" s="120" t="s">
        <v>146</v>
      </c>
      <c r="F403" s="61" t="s">
        <v>123</v>
      </c>
      <c r="G403" s="61"/>
      <c r="H403" s="61"/>
      <c r="I403" s="61"/>
      <c r="J403" s="61"/>
      <c r="K403" s="61"/>
      <c r="L403" s="120"/>
    </row>
    <row r="404" spans="2:12">
      <c r="B404" s="359"/>
      <c r="C404" s="358"/>
      <c r="D404" s="120"/>
      <c r="E404" s="120"/>
      <c r="F404" s="61"/>
      <c r="G404" s="61"/>
      <c r="H404" s="61"/>
      <c r="I404" s="61"/>
      <c r="J404" s="61"/>
      <c r="K404" s="61"/>
      <c r="L404" s="120"/>
    </row>
    <row r="405" spans="2:12">
      <c r="B405" s="359" t="s">
        <v>1284</v>
      </c>
      <c r="C405" s="356" t="s">
        <v>37</v>
      </c>
      <c r="D405" s="60">
        <v>1</v>
      </c>
      <c r="E405" s="148" t="s">
        <v>1608</v>
      </c>
      <c r="F405" s="61" t="s">
        <v>87</v>
      </c>
      <c r="G405" s="61" t="s">
        <v>1609</v>
      </c>
      <c r="H405" s="61"/>
      <c r="I405" s="61"/>
      <c r="J405" s="61"/>
      <c r="K405" s="61"/>
      <c r="L405" s="60"/>
    </row>
    <row r="406" spans="2:12">
      <c r="B406" s="359"/>
      <c r="C406" s="357"/>
      <c r="D406" s="60">
        <v>2</v>
      </c>
      <c r="E406" s="60" t="s">
        <v>142</v>
      </c>
      <c r="F406" s="61" t="s">
        <v>122</v>
      </c>
      <c r="G406" s="61"/>
      <c r="H406" s="61"/>
      <c r="I406" s="61"/>
      <c r="J406" s="61"/>
      <c r="K406" s="61"/>
      <c r="L406" s="60"/>
    </row>
    <row r="407" spans="2:12">
      <c r="B407" s="359"/>
      <c r="C407" s="357"/>
      <c r="D407" s="60">
        <v>3</v>
      </c>
      <c r="E407" s="60" t="s">
        <v>36</v>
      </c>
      <c r="F407" s="61" t="s">
        <v>126</v>
      </c>
      <c r="G407" s="61">
        <v>1</v>
      </c>
      <c r="H407" s="61">
        <v>1</v>
      </c>
      <c r="I407" s="61"/>
      <c r="J407" s="61"/>
      <c r="K407" s="61"/>
      <c r="L407" s="60"/>
    </row>
    <row r="408" spans="2:12">
      <c r="B408" s="359"/>
      <c r="C408" s="357"/>
      <c r="D408" s="60">
        <v>4</v>
      </c>
      <c r="E408" s="60"/>
      <c r="F408" s="61" t="s">
        <v>125</v>
      </c>
      <c r="G408" s="61">
        <v>100</v>
      </c>
      <c r="H408" s="61"/>
      <c r="I408" s="61"/>
      <c r="J408" s="61"/>
      <c r="K408" s="61"/>
      <c r="L408" s="60"/>
    </row>
    <row r="409" spans="2:12">
      <c r="B409" s="359"/>
      <c r="C409" s="357"/>
      <c r="D409" s="120">
        <v>5</v>
      </c>
      <c r="E409" s="60" t="s">
        <v>166</v>
      </c>
      <c r="F409" s="61" t="s">
        <v>127</v>
      </c>
      <c r="G409" s="61">
        <v>1</v>
      </c>
      <c r="H409" s="61">
        <v>3</v>
      </c>
      <c r="I409" s="61">
        <v>1</v>
      </c>
      <c r="J409" s="61"/>
      <c r="K409" s="61"/>
      <c r="L409" s="60"/>
    </row>
    <row r="410" spans="2:12">
      <c r="B410" s="359"/>
      <c r="C410" s="357"/>
      <c r="D410" s="120">
        <v>6</v>
      </c>
      <c r="E410" s="120"/>
      <c r="F410" s="61" t="s">
        <v>125</v>
      </c>
      <c r="G410" s="61">
        <v>100</v>
      </c>
      <c r="H410" s="61"/>
      <c r="I410" s="61"/>
      <c r="J410" s="61"/>
      <c r="K410" s="61"/>
      <c r="L410" s="120"/>
    </row>
    <row r="411" spans="2:12">
      <c r="B411" s="359"/>
      <c r="C411" s="357"/>
      <c r="D411" s="120">
        <v>7</v>
      </c>
      <c r="E411" s="60" t="s">
        <v>36</v>
      </c>
      <c r="F411" s="61" t="s">
        <v>126</v>
      </c>
      <c r="G411" s="61">
        <v>1</v>
      </c>
      <c r="H411" s="61">
        <v>5</v>
      </c>
      <c r="I411" s="61"/>
      <c r="J411" s="61"/>
      <c r="K411" s="61"/>
      <c r="L411" s="60"/>
    </row>
    <row r="412" spans="2:12">
      <c r="B412" s="359"/>
      <c r="C412" s="357"/>
      <c r="D412" s="120">
        <v>8</v>
      </c>
      <c r="E412" s="120"/>
      <c r="F412" s="61" t="s">
        <v>125</v>
      </c>
      <c r="G412" s="61">
        <v>100</v>
      </c>
      <c r="H412" s="61"/>
      <c r="I412" s="61"/>
      <c r="J412" s="61"/>
      <c r="K412" s="61"/>
      <c r="L412" s="120"/>
    </row>
    <row r="413" spans="2:12">
      <c r="B413" s="359"/>
      <c r="C413" s="357"/>
      <c r="D413" s="120">
        <v>9</v>
      </c>
      <c r="E413" s="60" t="s">
        <v>163</v>
      </c>
      <c r="F413" s="61" t="s">
        <v>164</v>
      </c>
      <c r="G413" s="61">
        <v>1</v>
      </c>
      <c r="H413" s="61">
        <v>4</v>
      </c>
      <c r="I413" s="61" t="s">
        <v>165</v>
      </c>
      <c r="J413" s="61"/>
      <c r="K413" s="61"/>
      <c r="L413" s="60"/>
    </row>
    <row r="414" spans="2:12">
      <c r="B414" s="359"/>
      <c r="C414" s="357"/>
      <c r="D414" s="120">
        <v>10</v>
      </c>
      <c r="E414" s="60" t="s">
        <v>166</v>
      </c>
      <c r="F414" s="61" t="s">
        <v>127</v>
      </c>
      <c r="G414" s="61">
        <v>1</v>
      </c>
      <c r="H414" s="61">
        <v>7</v>
      </c>
      <c r="I414" s="61">
        <v>3</v>
      </c>
      <c r="J414" s="61"/>
      <c r="K414" s="61"/>
      <c r="L414" s="60"/>
    </row>
    <row r="415" spans="2:12">
      <c r="B415" s="359"/>
      <c r="C415" s="357"/>
      <c r="D415" s="120">
        <v>11</v>
      </c>
      <c r="E415" s="60" t="s">
        <v>318</v>
      </c>
      <c r="F415" s="61" t="s">
        <v>300</v>
      </c>
      <c r="G415" s="61">
        <v>5000</v>
      </c>
      <c r="H415" s="61"/>
      <c r="I415" s="61"/>
      <c r="J415" s="61"/>
      <c r="K415" s="61"/>
      <c r="L415" s="60"/>
    </row>
    <row r="416" spans="2:12">
      <c r="B416" s="359"/>
      <c r="C416" s="357"/>
      <c r="D416" s="120">
        <v>12</v>
      </c>
      <c r="E416" s="60" t="s">
        <v>146</v>
      </c>
      <c r="F416" s="61" t="s">
        <v>123</v>
      </c>
      <c r="G416" s="61"/>
      <c r="H416" s="61"/>
      <c r="I416" s="61"/>
      <c r="J416" s="61"/>
      <c r="K416" s="61"/>
      <c r="L416" s="60"/>
    </row>
    <row r="417" spans="2:12">
      <c r="B417" s="359"/>
      <c r="C417" s="358"/>
      <c r="D417" s="60"/>
      <c r="E417" s="60"/>
      <c r="F417" s="61"/>
      <c r="G417" s="61"/>
      <c r="H417" s="61"/>
      <c r="I417" s="61"/>
      <c r="J417" s="61"/>
      <c r="K417" s="61"/>
      <c r="L417" s="60"/>
    </row>
    <row r="418" spans="2:12">
      <c r="B418" s="359" t="s">
        <v>167</v>
      </c>
      <c r="C418" s="356" t="s">
        <v>37</v>
      </c>
      <c r="D418" s="60">
        <v>1</v>
      </c>
      <c r="E418" s="60" t="s">
        <v>142</v>
      </c>
      <c r="F418" s="61" t="s">
        <v>122</v>
      </c>
      <c r="G418" s="61"/>
      <c r="H418" s="61"/>
      <c r="I418" s="61"/>
      <c r="J418" s="61"/>
      <c r="K418" s="61"/>
      <c r="L418" s="60"/>
    </row>
    <row r="419" spans="2:12">
      <c r="B419" s="359"/>
      <c r="C419" s="357"/>
      <c r="D419" s="60">
        <v>2</v>
      </c>
      <c r="E419" s="148" t="s">
        <v>1608</v>
      </c>
      <c r="F419" s="61" t="s">
        <v>87</v>
      </c>
      <c r="G419" s="61" t="s">
        <v>1715</v>
      </c>
      <c r="H419" s="61"/>
      <c r="I419" s="61"/>
      <c r="J419" s="61"/>
      <c r="K419" s="61"/>
      <c r="L419" s="60"/>
    </row>
    <row r="420" spans="2:12">
      <c r="B420" s="359"/>
      <c r="C420" s="357"/>
      <c r="D420" s="60">
        <v>3</v>
      </c>
      <c r="E420" s="60" t="s">
        <v>1723</v>
      </c>
      <c r="F420" s="61" t="s">
        <v>127</v>
      </c>
      <c r="G420" s="61">
        <v>0</v>
      </c>
      <c r="H420" s="61">
        <v>0</v>
      </c>
      <c r="I420" s="61">
        <v>1</v>
      </c>
      <c r="J420" s="61"/>
      <c r="K420" s="61"/>
      <c r="L420" s="60"/>
    </row>
    <row r="421" spans="2:12">
      <c r="B421" s="359"/>
      <c r="C421" s="357"/>
      <c r="D421" s="60">
        <v>4</v>
      </c>
      <c r="E421" s="60" t="s">
        <v>314</v>
      </c>
      <c r="F421" s="61" t="s">
        <v>300</v>
      </c>
      <c r="G421" s="61">
        <v>10000</v>
      </c>
      <c r="H421" s="61"/>
      <c r="I421" s="61"/>
      <c r="J421" s="61"/>
      <c r="K421" s="61"/>
      <c r="L421" s="60"/>
    </row>
    <row r="422" spans="2:12">
      <c r="B422" s="359"/>
      <c r="C422" s="357"/>
      <c r="D422" s="60">
        <v>5</v>
      </c>
      <c r="E422" s="60" t="s">
        <v>146</v>
      </c>
      <c r="F422" s="61" t="s">
        <v>123</v>
      </c>
      <c r="G422" s="61"/>
      <c r="H422" s="61"/>
      <c r="I422" s="61"/>
      <c r="J422" s="61"/>
      <c r="K422" s="61"/>
      <c r="L422" s="60"/>
    </row>
    <row r="423" spans="2:12">
      <c r="B423" s="359"/>
      <c r="C423" s="358"/>
      <c r="D423" s="60"/>
      <c r="E423" s="60"/>
      <c r="F423" s="61"/>
      <c r="G423" s="61"/>
      <c r="H423" s="61"/>
      <c r="I423" s="61"/>
      <c r="J423" s="61"/>
      <c r="K423" s="61"/>
      <c r="L423" s="60"/>
    </row>
    <row r="424" spans="2:12">
      <c r="B424" s="359" t="s">
        <v>169</v>
      </c>
      <c r="C424" s="356" t="s">
        <v>37</v>
      </c>
      <c r="D424" s="173">
        <v>1</v>
      </c>
      <c r="E424" s="173" t="s">
        <v>142</v>
      </c>
      <c r="F424" s="61" t="s">
        <v>122</v>
      </c>
      <c r="G424" s="61"/>
      <c r="H424" s="61"/>
      <c r="I424" s="61"/>
      <c r="J424" s="61"/>
      <c r="K424" s="61"/>
      <c r="L424" s="60"/>
    </row>
    <row r="425" spans="2:12">
      <c r="B425" s="359"/>
      <c r="C425" s="357"/>
      <c r="D425" s="60">
        <v>2</v>
      </c>
      <c r="E425" s="60" t="s">
        <v>1259</v>
      </c>
      <c r="F425" s="61" t="s">
        <v>1545</v>
      </c>
      <c r="G425" s="61">
        <v>1</v>
      </c>
      <c r="H425" s="61">
        <v>1</v>
      </c>
      <c r="I425" s="61"/>
      <c r="J425" s="61"/>
      <c r="K425" s="61"/>
      <c r="L425" s="60"/>
    </row>
    <row r="426" spans="2:12">
      <c r="B426" s="359"/>
      <c r="C426" s="357"/>
      <c r="D426" s="173">
        <v>3</v>
      </c>
      <c r="E426" s="172" t="s">
        <v>163</v>
      </c>
      <c r="F426" s="61" t="s">
        <v>164</v>
      </c>
      <c r="G426" s="61">
        <v>1</v>
      </c>
      <c r="H426" s="61">
        <v>4</v>
      </c>
      <c r="I426" s="61" t="s">
        <v>165</v>
      </c>
      <c r="J426" s="61"/>
      <c r="K426" s="61"/>
      <c r="L426" s="172"/>
    </row>
    <row r="427" spans="2:12">
      <c r="B427" s="359"/>
      <c r="C427" s="357"/>
      <c r="D427" s="173">
        <v>4</v>
      </c>
      <c r="E427" s="148" t="s">
        <v>1608</v>
      </c>
      <c r="F427" s="61" t="s">
        <v>87</v>
      </c>
      <c r="G427" s="61" t="s">
        <v>1714</v>
      </c>
      <c r="H427" s="61"/>
      <c r="I427" s="61"/>
      <c r="J427" s="61"/>
      <c r="K427" s="61"/>
      <c r="L427" s="60"/>
    </row>
    <row r="428" spans="2:12">
      <c r="B428" s="359"/>
      <c r="C428" s="357"/>
      <c r="D428" s="173">
        <v>5</v>
      </c>
      <c r="E428" s="148" t="s">
        <v>1723</v>
      </c>
      <c r="F428" s="61" t="s">
        <v>127</v>
      </c>
      <c r="G428" s="61">
        <v>1</v>
      </c>
      <c r="H428" s="61">
        <v>1</v>
      </c>
      <c r="I428" s="61">
        <v>1</v>
      </c>
      <c r="J428" s="61"/>
      <c r="K428" s="61"/>
      <c r="L428" s="60"/>
    </row>
    <row r="429" spans="2:12">
      <c r="B429" s="359"/>
      <c r="C429" s="357"/>
      <c r="D429" s="175">
        <v>6</v>
      </c>
      <c r="E429" s="175" t="s">
        <v>1288</v>
      </c>
      <c r="F429" s="61" t="s">
        <v>1289</v>
      </c>
      <c r="G429" s="61"/>
      <c r="H429" s="61"/>
      <c r="I429" s="61"/>
      <c r="J429" s="61"/>
      <c r="K429" s="61"/>
      <c r="L429" s="175"/>
    </row>
    <row r="430" spans="2:12">
      <c r="B430" s="359"/>
      <c r="C430" s="357"/>
      <c r="D430" s="175">
        <v>7</v>
      </c>
      <c r="E430" s="60" t="s">
        <v>313</v>
      </c>
      <c r="F430" s="61" t="s">
        <v>125</v>
      </c>
      <c r="G430" s="61">
        <v>10000</v>
      </c>
      <c r="H430" s="61"/>
      <c r="I430" s="61"/>
      <c r="J430" s="61"/>
      <c r="K430" s="61"/>
      <c r="L430" s="60"/>
    </row>
    <row r="431" spans="2:12">
      <c r="B431" s="359"/>
      <c r="C431" s="357"/>
      <c r="D431" s="175">
        <v>8</v>
      </c>
      <c r="E431" s="60" t="s">
        <v>146</v>
      </c>
      <c r="F431" s="61" t="s">
        <v>123</v>
      </c>
      <c r="G431" s="61"/>
      <c r="H431" s="61"/>
      <c r="I431" s="61"/>
      <c r="J431" s="61"/>
      <c r="K431" s="61"/>
      <c r="L431" s="60"/>
    </row>
    <row r="432" spans="2:12">
      <c r="B432" s="359"/>
      <c r="C432" s="358"/>
      <c r="D432" s="60"/>
      <c r="E432" s="60"/>
      <c r="F432" s="61"/>
      <c r="G432" s="61"/>
      <c r="H432" s="61"/>
      <c r="I432" s="61"/>
      <c r="J432" s="61"/>
      <c r="K432" s="61"/>
      <c r="L432" s="60"/>
    </row>
    <row r="433" spans="2:12">
      <c r="B433" s="359" t="s">
        <v>170</v>
      </c>
      <c r="C433" s="356" t="s">
        <v>37</v>
      </c>
      <c r="D433" s="60">
        <v>1</v>
      </c>
      <c r="E433" s="60" t="s">
        <v>142</v>
      </c>
      <c r="F433" s="61" t="s">
        <v>122</v>
      </c>
      <c r="G433" s="61"/>
      <c r="H433" s="61"/>
      <c r="I433" s="61"/>
      <c r="J433" s="61"/>
      <c r="K433" s="61"/>
      <c r="L433" s="60"/>
    </row>
    <row r="434" spans="2:12">
      <c r="B434" s="359"/>
      <c r="C434" s="357"/>
      <c r="D434" s="60">
        <v>2</v>
      </c>
      <c r="E434" s="148" t="s">
        <v>1608</v>
      </c>
      <c r="F434" s="61" t="s">
        <v>87</v>
      </c>
      <c r="G434" s="61" t="s">
        <v>1609</v>
      </c>
      <c r="H434" s="61"/>
      <c r="I434" s="61"/>
      <c r="J434" s="61"/>
      <c r="K434" s="61"/>
      <c r="L434" s="60"/>
    </row>
    <row r="435" spans="2:12">
      <c r="B435" s="359"/>
      <c r="C435" s="357"/>
      <c r="D435" s="172">
        <v>3</v>
      </c>
      <c r="E435" s="172"/>
      <c r="F435" s="61" t="s">
        <v>1724</v>
      </c>
      <c r="G435" s="61">
        <v>1020</v>
      </c>
      <c r="H435" s="61"/>
      <c r="I435" s="61"/>
      <c r="J435" s="61"/>
      <c r="K435" s="61"/>
      <c r="L435" s="172"/>
    </row>
    <row r="436" spans="2:12">
      <c r="B436" s="359"/>
      <c r="C436" s="357"/>
      <c r="D436" s="172">
        <v>4</v>
      </c>
      <c r="E436" s="172" t="s">
        <v>163</v>
      </c>
      <c r="F436" s="61" t="s">
        <v>164</v>
      </c>
      <c r="G436" s="61">
        <v>1</v>
      </c>
      <c r="H436" s="61">
        <v>4</v>
      </c>
      <c r="I436" s="61" t="s">
        <v>165</v>
      </c>
      <c r="J436" s="61"/>
      <c r="K436" s="61"/>
      <c r="L436" s="172"/>
    </row>
    <row r="437" spans="2:12">
      <c r="B437" s="359"/>
      <c r="C437" s="357"/>
      <c r="D437" s="172">
        <v>5</v>
      </c>
      <c r="E437" s="172" t="s">
        <v>1723</v>
      </c>
      <c r="F437" s="61" t="s">
        <v>127</v>
      </c>
      <c r="G437" s="61">
        <v>0</v>
      </c>
      <c r="H437" s="61">
        <v>0</v>
      </c>
      <c r="I437" s="61">
        <v>1</v>
      </c>
      <c r="J437" s="61"/>
      <c r="K437" s="61"/>
      <c r="L437" s="60"/>
    </row>
    <row r="438" spans="2:12">
      <c r="B438" s="359"/>
      <c r="C438" s="357"/>
      <c r="D438" s="172">
        <v>6</v>
      </c>
      <c r="E438" s="60" t="s">
        <v>313</v>
      </c>
      <c r="F438" s="61" t="s">
        <v>125</v>
      </c>
      <c r="G438" s="61">
        <v>10000</v>
      </c>
      <c r="H438" s="61"/>
      <c r="I438" s="61"/>
      <c r="J438" s="61"/>
      <c r="K438" s="61"/>
      <c r="L438" s="60"/>
    </row>
    <row r="439" spans="2:12">
      <c r="B439" s="359"/>
      <c r="C439" s="357"/>
      <c r="D439" s="172">
        <v>7</v>
      </c>
      <c r="E439" s="60" t="s">
        <v>146</v>
      </c>
      <c r="F439" s="61" t="s">
        <v>123</v>
      </c>
      <c r="G439" s="61"/>
      <c r="H439" s="61"/>
      <c r="I439" s="61"/>
      <c r="J439" s="61"/>
      <c r="K439" s="61"/>
      <c r="L439" s="60"/>
    </row>
    <row r="440" spans="2:12">
      <c r="B440" s="359"/>
      <c r="C440" s="358"/>
      <c r="D440" s="60"/>
      <c r="E440" s="60"/>
      <c r="F440" s="61"/>
      <c r="G440" s="61"/>
      <c r="H440" s="61"/>
      <c r="I440" s="61"/>
      <c r="J440" s="61"/>
      <c r="K440" s="61"/>
      <c r="L440" s="60"/>
    </row>
    <row r="441" spans="2:12">
      <c r="B441" s="359" t="s">
        <v>171</v>
      </c>
      <c r="C441" s="356" t="s">
        <v>37</v>
      </c>
      <c r="D441" s="60">
        <v>1</v>
      </c>
      <c r="E441" s="173" t="s">
        <v>142</v>
      </c>
      <c r="F441" s="61" t="s">
        <v>122</v>
      </c>
      <c r="G441" s="61"/>
      <c r="H441" s="61"/>
      <c r="I441" s="61"/>
      <c r="J441" s="61"/>
      <c r="K441" s="61"/>
      <c r="L441" s="60"/>
    </row>
    <row r="442" spans="2:12">
      <c r="B442" s="359"/>
      <c r="C442" s="357"/>
      <c r="D442" s="172">
        <v>2</v>
      </c>
      <c r="E442" s="60" t="s">
        <v>1259</v>
      </c>
      <c r="F442" s="61" t="s">
        <v>1545</v>
      </c>
      <c r="G442" s="61">
        <v>1</v>
      </c>
      <c r="H442" s="61"/>
      <c r="I442" s="61"/>
      <c r="J442" s="61"/>
      <c r="K442" s="61"/>
      <c r="L442" s="60"/>
    </row>
    <row r="443" spans="2:12">
      <c r="B443" s="359"/>
      <c r="C443" s="357"/>
      <c r="D443" s="173">
        <v>3</v>
      </c>
      <c r="E443" s="148" t="s">
        <v>1608</v>
      </c>
      <c r="F443" s="61" t="s">
        <v>87</v>
      </c>
      <c r="G443" s="61" t="s">
        <v>1609</v>
      </c>
      <c r="H443" s="61"/>
      <c r="I443" s="61"/>
      <c r="J443" s="61"/>
      <c r="K443" s="61"/>
      <c r="L443" s="60"/>
    </row>
    <row r="444" spans="2:12">
      <c r="B444" s="359"/>
      <c r="C444" s="357"/>
      <c r="D444" s="173">
        <v>4</v>
      </c>
      <c r="E444" s="172"/>
      <c r="F444" s="61" t="s">
        <v>1724</v>
      </c>
      <c r="G444" s="61">
        <v>1020</v>
      </c>
      <c r="H444" s="61"/>
      <c r="I444" s="61"/>
      <c r="J444" s="61"/>
      <c r="K444" s="61"/>
      <c r="L444" s="172"/>
    </row>
    <row r="445" spans="2:12">
      <c r="B445" s="359"/>
      <c r="C445" s="357"/>
      <c r="D445" s="173">
        <v>5</v>
      </c>
      <c r="E445" s="172" t="s">
        <v>163</v>
      </c>
      <c r="F445" s="61" t="s">
        <v>164</v>
      </c>
      <c r="G445" s="61">
        <v>1</v>
      </c>
      <c r="H445" s="61">
        <v>4</v>
      </c>
      <c r="I445" s="61" t="s">
        <v>165</v>
      </c>
      <c r="J445" s="61"/>
      <c r="K445" s="61"/>
      <c r="L445" s="172"/>
    </row>
    <row r="446" spans="2:12">
      <c r="B446" s="359"/>
      <c r="C446" s="357"/>
      <c r="D446" s="173">
        <v>6</v>
      </c>
      <c r="E446" s="148" t="s">
        <v>166</v>
      </c>
      <c r="F446" s="61" t="s">
        <v>127</v>
      </c>
      <c r="G446" s="61">
        <v>1</v>
      </c>
      <c r="H446" s="61">
        <v>1</v>
      </c>
      <c r="I446" s="61">
        <v>1</v>
      </c>
      <c r="J446" s="61"/>
      <c r="K446" s="61"/>
      <c r="L446" s="60"/>
    </row>
    <row r="447" spans="2:12">
      <c r="B447" s="359"/>
      <c r="C447" s="357"/>
      <c r="D447" s="175">
        <v>7</v>
      </c>
      <c r="E447" s="175" t="s">
        <v>1288</v>
      </c>
      <c r="F447" s="61" t="s">
        <v>1289</v>
      </c>
      <c r="G447" s="61"/>
      <c r="H447" s="61"/>
      <c r="I447" s="61"/>
      <c r="J447" s="61"/>
      <c r="K447" s="61"/>
      <c r="L447" s="175"/>
    </row>
    <row r="448" spans="2:12">
      <c r="B448" s="359"/>
      <c r="C448" s="357"/>
      <c r="D448" s="175">
        <v>8</v>
      </c>
      <c r="E448" s="60" t="s">
        <v>313</v>
      </c>
      <c r="F448" s="61" t="s">
        <v>125</v>
      </c>
      <c r="G448" s="61">
        <v>10000</v>
      </c>
      <c r="H448" s="61"/>
      <c r="I448" s="61"/>
      <c r="J448" s="61"/>
      <c r="K448" s="61"/>
      <c r="L448" s="60"/>
    </row>
    <row r="449" spans="2:12">
      <c r="B449" s="359"/>
      <c r="C449" s="357"/>
      <c r="D449" s="175">
        <v>9</v>
      </c>
      <c r="E449" s="60" t="s">
        <v>146</v>
      </c>
      <c r="F449" s="61" t="s">
        <v>123</v>
      </c>
      <c r="G449" s="61"/>
      <c r="H449" s="61"/>
      <c r="I449" s="61"/>
      <c r="J449" s="61"/>
      <c r="K449" s="61"/>
      <c r="L449" s="60"/>
    </row>
    <row r="450" spans="2:12">
      <c r="B450" s="359"/>
      <c r="C450" s="358"/>
      <c r="D450" s="60"/>
      <c r="E450" s="60"/>
      <c r="F450" s="61"/>
      <c r="G450" s="61"/>
      <c r="H450" s="61"/>
      <c r="I450" s="61"/>
      <c r="J450" s="61"/>
      <c r="K450" s="61"/>
      <c r="L450" s="60"/>
    </row>
    <row r="451" spans="2:12">
      <c r="B451" s="359" t="s">
        <v>301</v>
      </c>
      <c r="C451" s="356" t="s">
        <v>1475</v>
      </c>
      <c r="D451" s="60">
        <v>1</v>
      </c>
      <c r="E451" s="60" t="s">
        <v>142</v>
      </c>
      <c r="F451" s="61" t="s">
        <v>122</v>
      </c>
      <c r="G451" s="61"/>
      <c r="H451" s="61"/>
      <c r="I451" s="61"/>
      <c r="J451" s="61"/>
      <c r="K451" s="61"/>
      <c r="L451" s="60"/>
    </row>
    <row r="452" spans="2:12">
      <c r="B452" s="359"/>
      <c r="C452" s="357"/>
      <c r="D452" s="60">
        <v>2</v>
      </c>
      <c r="E452" s="60" t="s">
        <v>172</v>
      </c>
      <c r="F452" s="61" t="s">
        <v>173</v>
      </c>
      <c r="G452" s="61">
        <v>0</v>
      </c>
      <c r="H452" s="61" t="s">
        <v>174</v>
      </c>
      <c r="I452" s="61"/>
      <c r="J452" s="61"/>
      <c r="K452" s="61"/>
      <c r="L452" s="60"/>
    </row>
    <row r="453" spans="2:12">
      <c r="B453" s="359"/>
      <c r="C453" s="357"/>
      <c r="D453" s="60">
        <v>3</v>
      </c>
      <c r="E453" s="60" t="s">
        <v>163</v>
      </c>
      <c r="F453" s="61" t="s">
        <v>164</v>
      </c>
      <c r="G453" s="61">
        <v>1</v>
      </c>
      <c r="H453" s="61">
        <v>4</v>
      </c>
      <c r="I453" s="61" t="s">
        <v>165</v>
      </c>
      <c r="J453" s="61"/>
      <c r="K453" s="61"/>
      <c r="L453" s="60"/>
    </row>
    <row r="454" spans="2:12">
      <c r="B454" s="359"/>
      <c r="C454" s="357"/>
      <c r="D454" s="60">
        <v>4</v>
      </c>
      <c r="E454" s="148" t="s">
        <v>1608</v>
      </c>
      <c r="F454" s="61" t="s">
        <v>87</v>
      </c>
      <c r="G454" s="61" t="s">
        <v>1715</v>
      </c>
      <c r="H454" s="61"/>
      <c r="I454" s="61"/>
      <c r="J454" s="61"/>
      <c r="K454" s="61"/>
      <c r="L454" s="60"/>
    </row>
    <row r="455" spans="2:12">
      <c r="B455" s="359"/>
      <c r="C455" s="357"/>
      <c r="D455" s="60">
        <v>5</v>
      </c>
      <c r="E455" s="60" t="s">
        <v>293</v>
      </c>
      <c r="F455" s="61" t="s">
        <v>127</v>
      </c>
      <c r="G455" s="61">
        <v>0</v>
      </c>
      <c r="H455" s="61">
        <v>0</v>
      </c>
      <c r="I455" s="61">
        <v>1</v>
      </c>
      <c r="J455" s="61"/>
      <c r="K455" s="61"/>
      <c r="L455" s="60"/>
    </row>
    <row r="456" spans="2:12">
      <c r="B456" s="359"/>
      <c r="C456" s="357"/>
      <c r="D456" s="60">
        <v>6</v>
      </c>
      <c r="E456" s="60" t="s">
        <v>313</v>
      </c>
      <c r="F456" s="61" t="s">
        <v>125</v>
      </c>
      <c r="G456" s="61">
        <v>10000</v>
      </c>
      <c r="H456" s="61"/>
      <c r="I456" s="61"/>
      <c r="J456" s="61"/>
      <c r="K456" s="61"/>
      <c r="L456" s="60"/>
    </row>
    <row r="457" spans="2:12">
      <c r="B457" s="359"/>
      <c r="C457" s="357"/>
      <c r="D457" s="60">
        <v>7</v>
      </c>
      <c r="E457" s="60" t="s">
        <v>146</v>
      </c>
      <c r="F457" s="61" t="s">
        <v>123</v>
      </c>
      <c r="G457" s="61"/>
      <c r="H457" s="61"/>
      <c r="I457" s="61"/>
      <c r="J457" s="61"/>
      <c r="K457" s="61"/>
      <c r="L457" s="60"/>
    </row>
    <row r="458" spans="2:12">
      <c r="B458" s="359"/>
      <c r="C458" s="358"/>
      <c r="D458" s="60"/>
      <c r="E458" s="60"/>
      <c r="F458" s="61"/>
      <c r="G458" s="61"/>
      <c r="H458" s="61"/>
      <c r="I458" s="61"/>
      <c r="J458" s="61"/>
      <c r="K458" s="61"/>
      <c r="L458" s="60"/>
    </row>
    <row r="459" spans="2:12">
      <c r="B459" s="359" t="s">
        <v>175</v>
      </c>
      <c r="C459" s="356" t="s">
        <v>1475</v>
      </c>
      <c r="D459" s="60">
        <v>1</v>
      </c>
      <c r="E459" s="60" t="s">
        <v>142</v>
      </c>
      <c r="F459" s="61" t="s">
        <v>122</v>
      </c>
      <c r="G459" s="61"/>
      <c r="H459" s="61"/>
      <c r="I459" s="61"/>
      <c r="J459" s="61"/>
      <c r="K459" s="61"/>
      <c r="L459" s="60"/>
    </row>
    <row r="460" spans="2:12">
      <c r="B460" s="359"/>
      <c r="C460" s="357"/>
      <c r="D460" s="60">
        <v>2</v>
      </c>
      <c r="E460" s="60" t="s">
        <v>1259</v>
      </c>
      <c r="F460" s="61" t="s">
        <v>1545</v>
      </c>
      <c r="G460" s="61">
        <v>1</v>
      </c>
      <c r="H460" s="61">
        <v>1</v>
      </c>
      <c r="I460" s="61"/>
      <c r="J460" s="61"/>
      <c r="K460" s="61"/>
      <c r="L460" s="60"/>
    </row>
    <row r="461" spans="2:12">
      <c r="B461" s="359"/>
      <c r="C461" s="357"/>
      <c r="D461" s="60">
        <v>3</v>
      </c>
      <c r="E461" s="60" t="s">
        <v>172</v>
      </c>
      <c r="F461" s="61" t="s">
        <v>173</v>
      </c>
      <c r="G461" s="61">
        <v>0</v>
      </c>
      <c r="H461" s="61" t="s">
        <v>174</v>
      </c>
      <c r="I461" s="61"/>
      <c r="J461" s="61"/>
      <c r="K461" s="61"/>
      <c r="L461" s="60"/>
    </row>
    <row r="462" spans="2:12">
      <c r="B462" s="359"/>
      <c r="C462" s="357"/>
      <c r="D462" s="60">
        <v>4</v>
      </c>
      <c r="E462" s="60" t="s">
        <v>163</v>
      </c>
      <c r="F462" s="61" t="s">
        <v>164</v>
      </c>
      <c r="G462" s="61">
        <v>1</v>
      </c>
      <c r="H462" s="61">
        <v>4</v>
      </c>
      <c r="I462" s="61" t="s">
        <v>165</v>
      </c>
      <c r="J462" s="61"/>
      <c r="K462" s="61"/>
      <c r="L462" s="60"/>
    </row>
    <row r="463" spans="2:12">
      <c r="B463" s="359"/>
      <c r="C463" s="357"/>
      <c r="D463" s="60">
        <v>5</v>
      </c>
      <c r="E463" s="148" t="s">
        <v>1608</v>
      </c>
      <c r="F463" s="61" t="s">
        <v>87</v>
      </c>
      <c r="G463" s="61" t="s">
        <v>1715</v>
      </c>
      <c r="H463" s="61"/>
      <c r="I463" s="61"/>
      <c r="J463" s="61"/>
      <c r="K463" s="61"/>
      <c r="L463" s="60"/>
    </row>
    <row r="464" spans="2:12">
      <c r="B464" s="359"/>
      <c r="C464" s="357"/>
      <c r="D464" s="60">
        <v>6</v>
      </c>
      <c r="E464" s="60" t="s">
        <v>293</v>
      </c>
      <c r="F464" s="61" t="s">
        <v>127</v>
      </c>
      <c r="G464" s="61">
        <v>1</v>
      </c>
      <c r="H464" s="61">
        <v>1</v>
      </c>
      <c r="I464" s="61">
        <v>1</v>
      </c>
      <c r="J464" s="61"/>
      <c r="K464" s="61"/>
      <c r="L464" s="60"/>
    </row>
    <row r="465" spans="2:12">
      <c r="B465" s="359"/>
      <c r="C465" s="357"/>
      <c r="D465" s="175">
        <v>7</v>
      </c>
      <c r="E465" s="175" t="s">
        <v>1288</v>
      </c>
      <c r="F465" s="61" t="s">
        <v>1289</v>
      </c>
      <c r="G465" s="61"/>
      <c r="H465" s="61"/>
      <c r="I465" s="61"/>
      <c r="J465" s="61"/>
      <c r="K465" s="61"/>
      <c r="L465" s="175"/>
    </row>
    <row r="466" spans="2:12">
      <c r="B466" s="359"/>
      <c r="C466" s="357"/>
      <c r="D466" s="175">
        <v>8</v>
      </c>
      <c r="E466" s="60" t="s">
        <v>313</v>
      </c>
      <c r="F466" s="61" t="s">
        <v>125</v>
      </c>
      <c r="G466" s="61">
        <v>10000</v>
      </c>
      <c r="H466" s="61"/>
      <c r="I466" s="61"/>
      <c r="J466" s="61"/>
      <c r="K466" s="61"/>
      <c r="L466" s="60"/>
    </row>
    <row r="467" spans="2:12">
      <c r="B467" s="359"/>
      <c r="C467" s="357"/>
      <c r="D467" s="175">
        <v>9</v>
      </c>
      <c r="E467" s="60" t="s">
        <v>146</v>
      </c>
      <c r="F467" s="61" t="s">
        <v>123</v>
      </c>
      <c r="G467" s="61"/>
      <c r="H467" s="61"/>
      <c r="I467" s="61"/>
      <c r="J467" s="61"/>
      <c r="K467" s="61"/>
      <c r="L467" s="60"/>
    </row>
    <row r="468" spans="2:12">
      <c r="B468" s="359"/>
      <c r="C468" s="358"/>
      <c r="D468" s="60"/>
      <c r="E468" s="60"/>
      <c r="F468" s="61"/>
      <c r="G468" s="61"/>
      <c r="H468" s="61"/>
      <c r="I468" s="61"/>
      <c r="J468" s="61"/>
      <c r="K468" s="61"/>
      <c r="L468" s="60"/>
    </row>
    <row r="469" spans="2:12">
      <c r="B469" s="367" t="s">
        <v>307</v>
      </c>
      <c r="C469" s="356" t="s">
        <v>1475</v>
      </c>
      <c r="D469" s="60">
        <v>1</v>
      </c>
      <c r="E469" s="60" t="s">
        <v>142</v>
      </c>
      <c r="F469" s="61" t="s">
        <v>122</v>
      </c>
      <c r="G469" s="61"/>
      <c r="H469" s="61"/>
      <c r="I469" s="61"/>
      <c r="J469" s="61"/>
      <c r="K469" s="61"/>
      <c r="L469" s="60"/>
    </row>
    <row r="470" spans="2:12">
      <c r="B470" s="368"/>
      <c r="C470" s="357"/>
      <c r="D470" s="60">
        <v>2</v>
      </c>
      <c r="E470" s="60" t="s">
        <v>172</v>
      </c>
      <c r="F470" s="61" t="s">
        <v>173</v>
      </c>
      <c r="G470" s="61">
        <v>0</v>
      </c>
      <c r="H470" s="61" t="s">
        <v>174</v>
      </c>
      <c r="I470" s="61"/>
      <c r="J470" s="61"/>
      <c r="K470" s="61"/>
      <c r="L470" s="60"/>
    </row>
    <row r="471" spans="2:12">
      <c r="B471" s="368"/>
      <c r="C471" s="357"/>
      <c r="D471" s="60">
        <v>3</v>
      </c>
      <c r="E471" s="60" t="s">
        <v>163</v>
      </c>
      <c r="F471" s="61" t="s">
        <v>164</v>
      </c>
      <c r="G471" s="61">
        <v>1</v>
      </c>
      <c r="H471" s="61">
        <v>4</v>
      </c>
      <c r="I471" s="61" t="s">
        <v>165</v>
      </c>
      <c r="J471" s="61"/>
      <c r="K471" s="61"/>
      <c r="L471" s="60"/>
    </row>
    <row r="472" spans="2:12">
      <c r="B472" s="368"/>
      <c r="C472" s="357"/>
      <c r="D472" s="60">
        <v>4</v>
      </c>
      <c r="E472" s="148" t="s">
        <v>1608</v>
      </c>
      <c r="F472" s="61" t="s">
        <v>87</v>
      </c>
      <c r="G472" s="61" t="s">
        <v>1609</v>
      </c>
      <c r="H472" s="61"/>
      <c r="I472" s="61"/>
      <c r="J472" s="61"/>
      <c r="K472" s="61"/>
      <c r="L472" s="60"/>
    </row>
    <row r="473" spans="2:12">
      <c r="B473" s="368"/>
      <c r="C473" s="357"/>
      <c r="D473" s="60">
        <v>5</v>
      </c>
      <c r="E473" s="60" t="s">
        <v>816</v>
      </c>
      <c r="F473" s="61" t="s">
        <v>300</v>
      </c>
      <c r="G473" s="61">
        <v>1020</v>
      </c>
      <c r="H473" s="61"/>
      <c r="I473" s="61"/>
      <c r="J473" s="61"/>
      <c r="K473" s="61"/>
      <c r="L473" s="60"/>
    </row>
    <row r="474" spans="2:12">
      <c r="B474" s="368"/>
      <c r="C474" s="357"/>
      <c r="D474" s="60">
        <v>6</v>
      </c>
      <c r="E474" s="60" t="s">
        <v>293</v>
      </c>
      <c r="F474" s="61" t="s">
        <v>127</v>
      </c>
      <c r="G474" s="61">
        <v>0</v>
      </c>
      <c r="H474" s="61">
        <v>0</v>
      </c>
      <c r="I474" s="61">
        <v>1</v>
      </c>
      <c r="J474" s="61"/>
      <c r="K474" s="61"/>
      <c r="L474" s="60"/>
    </row>
    <row r="475" spans="2:12">
      <c r="B475" s="368"/>
      <c r="C475" s="357"/>
      <c r="D475" s="60">
        <v>7</v>
      </c>
      <c r="E475" s="60" t="s">
        <v>313</v>
      </c>
      <c r="F475" s="61" t="s">
        <v>125</v>
      </c>
      <c r="G475" s="61">
        <v>10000</v>
      </c>
      <c r="H475" s="61"/>
      <c r="I475" s="61"/>
      <c r="J475" s="61"/>
      <c r="K475" s="61"/>
      <c r="L475" s="60"/>
    </row>
    <row r="476" spans="2:12">
      <c r="B476" s="368"/>
      <c r="C476" s="357"/>
      <c r="D476" s="60">
        <v>8</v>
      </c>
      <c r="E476" s="60" t="s">
        <v>146</v>
      </c>
      <c r="F476" s="61" t="s">
        <v>123</v>
      </c>
      <c r="G476" s="61"/>
      <c r="H476" s="61"/>
      <c r="I476" s="61"/>
      <c r="J476" s="61"/>
      <c r="K476" s="61"/>
      <c r="L476" s="60"/>
    </row>
    <row r="477" spans="2:12">
      <c r="B477" s="369"/>
      <c r="C477" s="358"/>
      <c r="D477" s="60"/>
      <c r="E477" s="60"/>
      <c r="F477" s="61"/>
      <c r="G477" s="61"/>
      <c r="H477" s="61"/>
      <c r="I477" s="61"/>
      <c r="J477" s="61"/>
      <c r="K477" s="61"/>
      <c r="L477" s="60"/>
    </row>
    <row r="478" spans="2:12">
      <c r="B478" s="359" t="s">
        <v>308</v>
      </c>
      <c r="C478" s="356" t="s">
        <v>1475</v>
      </c>
      <c r="D478" s="60">
        <v>1</v>
      </c>
      <c r="E478" s="60" t="s">
        <v>142</v>
      </c>
      <c r="F478" s="61" t="s">
        <v>122</v>
      </c>
      <c r="G478" s="61"/>
      <c r="H478" s="61"/>
      <c r="I478" s="61"/>
      <c r="J478" s="61"/>
      <c r="K478" s="61"/>
      <c r="L478" s="60"/>
    </row>
    <row r="479" spans="2:12">
      <c r="B479" s="359"/>
      <c r="C479" s="357"/>
      <c r="D479" s="60">
        <v>2</v>
      </c>
      <c r="E479" s="148" t="s">
        <v>1608</v>
      </c>
      <c r="F479" s="61" t="s">
        <v>87</v>
      </c>
      <c r="G479" s="61" t="s">
        <v>1609</v>
      </c>
      <c r="H479" s="61"/>
      <c r="I479" s="61"/>
      <c r="J479" s="61"/>
      <c r="K479" s="61"/>
      <c r="L479" s="60"/>
    </row>
    <row r="480" spans="2:12">
      <c r="B480" s="359"/>
      <c r="C480" s="357"/>
      <c r="D480" s="60">
        <v>3</v>
      </c>
      <c r="E480" s="60" t="s">
        <v>36</v>
      </c>
      <c r="F480" s="61" t="s">
        <v>126</v>
      </c>
      <c r="G480" s="61">
        <v>1</v>
      </c>
      <c r="H480" s="61">
        <v>1</v>
      </c>
      <c r="I480" s="61"/>
      <c r="J480" s="61"/>
      <c r="K480" s="61"/>
      <c r="L480" s="60"/>
    </row>
    <row r="481" spans="2:12">
      <c r="B481" s="359"/>
      <c r="C481" s="357"/>
      <c r="D481" s="60">
        <v>4</v>
      </c>
      <c r="E481" s="60" t="s">
        <v>172</v>
      </c>
      <c r="F481" s="61" t="s">
        <v>173</v>
      </c>
      <c r="G481" s="61">
        <v>0</v>
      </c>
      <c r="H481" s="61" t="s">
        <v>174</v>
      </c>
      <c r="I481" s="61"/>
      <c r="J481" s="61"/>
      <c r="K481" s="61"/>
      <c r="L481" s="60"/>
    </row>
    <row r="482" spans="2:12">
      <c r="B482" s="359"/>
      <c r="C482" s="357"/>
      <c r="D482" s="60">
        <v>5</v>
      </c>
      <c r="E482" s="60" t="s">
        <v>163</v>
      </c>
      <c r="F482" s="61" t="s">
        <v>164</v>
      </c>
      <c r="G482" s="61">
        <v>1</v>
      </c>
      <c r="H482" s="61">
        <v>4</v>
      </c>
      <c r="I482" s="61" t="s">
        <v>165</v>
      </c>
      <c r="J482" s="61"/>
      <c r="K482" s="61"/>
      <c r="L482" s="60"/>
    </row>
    <row r="483" spans="2:12">
      <c r="B483" s="359"/>
      <c r="C483" s="357"/>
      <c r="D483" s="60">
        <v>6</v>
      </c>
      <c r="E483" s="60" t="s">
        <v>816</v>
      </c>
      <c r="F483" s="61" t="s">
        <v>300</v>
      </c>
      <c r="G483" s="61">
        <v>1020</v>
      </c>
      <c r="H483" s="61"/>
      <c r="I483" s="61"/>
      <c r="J483" s="61"/>
      <c r="K483" s="61"/>
      <c r="L483" s="60"/>
    </row>
    <row r="484" spans="2:12">
      <c r="B484" s="359"/>
      <c r="C484" s="357"/>
      <c r="D484" s="60">
        <v>7</v>
      </c>
      <c r="E484" s="60" t="s">
        <v>293</v>
      </c>
      <c r="F484" s="61" t="s">
        <v>127</v>
      </c>
      <c r="G484" s="61">
        <v>1</v>
      </c>
      <c r="H484" s="61">
        <v>1</v>
      </c>
      <c r="I484" s="61">
        <v>1</v>
      </c>
      <c r="J484" s="61"/>
      <c r="K484" s="61"/>
      <c r="L484" s="60"/>
    </row>
    <row r="485" spans="2:12">
      <c r="B485" s="359"/>
      <c r="C485" s="357"/>
      <c r="D485" s="60">
        <v>8</v>
      </c>
      <c r="E485" s="60" t="s">
        <v>313</v>
      </c>
      <c r="F485" s="61" t="s">
        <v>125</v>
      </c>
      <c r="G485" s="61">
        <v>10000</v>
      </c>
      <c r="H485" s="61"/>
      <c r="I485" s="61"/>
      <c r="J485" s="61"/>
      <c r="K485" s="61"/>
      <c r="L485" s="60"/>
    </row>
    <row r="486" spans="2:12">
      <c r="B486" s="359"/>
      <c r="C486" s="357"/>
      <c r="D486" s="60">
        <v>9</v>
      </c>
      <c r="E486" s="60" t="s">
        <v>146</v>
      </c>
      <c r="F486" s="61" t="s">
        <v>123</v>
      </c>
      <c r="G486" s="61"/>
      <c r="H486" s="61"/>
      <c r="I486" s="61"/>
      <c r="J486" s="61"/>
      <c r="K486" s="61"/>
      <c r="L486" s="60"/>
    </row>
    <row r="487" spans="2:12">
      <c r="B487" s="359"/>
      <c r="C487" s="358"/>
      <c r="D487" s="60"/>
      <c r="E487" s="60"/>
      <c r="F487" s="61"/>
      <c r="G487" s="61"/>
      <c r="H487" s="61"/>
      <c r="I487" s="61"/>
      <c r="J487" s="61"/>
      <c r="K487" s="61"/>
      <c r="L487" s="60"/>
    </row>
    <row r="488" spans="2:12">
      <c r="B488" s="367" t="s">
        <v>309</v>
      </c>
      <c r="C488" s="356" t="s">
        <v>1475</v>
      </c>
      <c r="D488" s="60">
        <v>1</v>
      </c>
      <c r="E488" s="60" t="s">
        <v>142</v>
      </c>
      <c r="F488" s="61" t="s">
        <v>122</v>
      </c>
      <c r="G488" s="61"/>
      <c r="H488" s="61"/>
      <c r="I488" s="61"/>
      <c r="J488" s="61"/>
      <c r="K488" s="61"/>
      <c r="L488" s="60"/>
    </row>
    <row r="489" spans="2:12">
      <c r="B489" s="368"/>
      <c r="C489" s="357"/>
      <c r="D489" s="60">
        <v>2</v>
      </c>
      <c r="E489" s="148" t="s">
        <v>1608</v>
      </c>
      <c r="F489" s="61" t="s">
        <v>87</v>
      </c>
      <c r="G489" s="61" t="s">
        <v>1609</v>
      </c>
      <c r="H489" s="61"/>
      <c r="I489" s="61"/>
      <c r="J489" s="61"/>
      <c r="K489" s="61"/>
      <c r="L489" s="60"/>
    </row>
    <row r="490" spans="2:12">
      <c r="B490" s="368"/>
      <c r="C490" s="357"/>
      <c r="D490" s="60">
        <v>3</v>
      </c>
      <c r="E490" s="60" t="s">
        <v>299</v>
      </c>
      <c r="F490" s="61" t="s">
        <v>126</v>
      </c>
      <c r="G490" s="61">
        <v>1</v>
      </c>
      <c r="H490" s="61">
        <v>1</v>
      </c>
      <c r="I490" s="61"/>
      <c r="J490" s="61"/>
      <c r="K490" s="61"/>
      <c r="L490" s="60"/>
    </row>
    <row r="491" spans="2:12">
      <c r="B491" s="368"/>
      <c r="C491" s="357"/>
      <c r="D491" s="60">
        <v>4</v>
      </c>
      <c r="E491" s="60"/>
      <c r="F491" s="61" t="s">
        <v>825</v>
      </c>
      <c r="G491" s="61">
        <v>100</v>
      </c>
      <c r="H491" s="61"/>
      <c r="I491" s="61"/>
      <c r="J491" s="61"/>
      <c r="K491" s="61"/>
      <c r="L491" s="60"/>
    </row>
    <row r="492" spans="2:12">
      <c r="B492" s="368"/>
      <c r="C492" s="357"/>
      <c r="D492" s="60">
        <v>5</v>
      </c>
      <c r="E492" s="60" t="s">
        <v>826</v>
      </c>
      <c r="F492" s="61" t="s">
        <v>827</v>
      </c>
      <c r="G492" s="61">
        <v>1</v>
      </c>
      <c r="H492" s="61">
        <v>1</v>
      </c>
      <c r="I492" s="61" t="s">
        <v>162</v>
      </c>
      <c r="J492" s="61"/>
      <c r="K492" s="61"/>
      <c r="L492" s="60"/>
    </row>
    <row r="493" spans="2:12">
      <c r="B493" s="368"/>
      <c r="C493" s="357"/>
      <c r="D493" s="60">
        <v>6</v>
      </c>
      <c r="E493" s="60"/>
      <c r="F493" s="61" t="s">
        <v>828</v>
      </c>
      <c r="G493" s="61" t="s">
        <v>162</v>
      </c>
      <c r="H493" s="61">
        <v>1</v>
      </c>
      <c r="I493" s="61"/>
      <c r="J493" s="61"/>
      <c r="K493" s="61"/>
      <c r="L493" s="60"/>
    </row>
    <row r="494" spans="2:12">
      <c r="B494" s="368"/>
      <c r="C494" s="357"/>
      <c r="D494" s="60">
        <v>7</v>
      </c>
      <c r="E494" s="60"/>
      <c r="F494" s="61" t="s">
        <v>135</v>
      </c>
      <c r="G494" s="61">
        <v>4</v>
      </c>
      <c r="H494" s="61" t="s">
        <v>162</v>
      </c>
      <c r="I494" s="61">
        <v>3</v>
      </c>
      <c r="J494" s="61"/>
      <c r="K494" s="61"/>
      <c r="L494" s="60"/>
    </row>
    <row r="495" spans="2:12">
      <c r="B495" s="368"/>
      <c r="C495" s="357"/>
      <c r="D495" s="60">
        <v>8</v>
      </c>
      <c r="E495" s="60" t="s">
        <v>1610</v>
      </c>
      <c r="F495" s="61" t="s">
        <v>302</v>
      </c>
      <c r="G495" s="61" t="s">
        <v>1611</v>
      </c>
      <c r="H495" s="61"/>
      <c r="I495" s="61"/>
      <c r="J495" s="61"/>
      <c r="K495" s="61"/>
      <c r="L495" s="60"/>
    </row>
    <row r="496" spans="2:12">
      <c r="B496" s="368"/>
      <c r="C496" s="357"/>
      <c r="D496" s="60">
        <v>9</v>
      </c>
      <c r="E496" s="60" t="s">
        <v>816</v>
      </c>
      <c r="F496" s="61" t="s">
        <v>300</v>
      </c>
      <c r="G496" s="61">
        <v>1020</v>
      </c>
      <c r="H496" s="61"/>
      <c r="I496" s="61"/>
      <c r="J496" s="61"/>
      <c r="K496" s="61"/>
      <c r="L496" s="60"/>
    </row>
    <row r="497" spans="2:12">
      <c r="B497" s="368"/>
      <c r="C497" s="357"/>
      <c r="D497" s="60">
        <v>10</v>
      </c>
      <c r="E497" s="60" t="s">
        <v>829</v>
      </c>
      <c r="F497" s="61" t="s">
        <v>164</v>
      </c>
      <c r="G497" s="61">
        <v>1</v>
      </c>
      <c r="H497" s="61">
        <v>4</v>
      </c>
      <c r="I497" s="61" t="s">
        <v>165</v>
      </c>
      <c r="J497" s="61"/>
      <c r="K497" s="61"/>
      <c r="L497" s="60"/>
    </row>
    <row r="498" spans="2:12">
      <c r="B498" s="368"/>
      <c r="C498" s="357"/>
      <c r="D498" s="60">
        <v>11</v>
      </c>
      <c r="E498" s="60" t="s">
        <v>303</v>
      </c>
      <c r="F498" s="61" t="s">
        <v>304</v>
      </c>
      <c r="G498" s="61">
        <v>0</v>
      </c>
      <c r="H498" s="61">
        <v>0</v>
      </c>
      <c r="I498" s="61">
        <v>1</v>
      </c>
      <c r="J498" s="61"/>
      <c r="K498" s="61"/>
      <c r="L498" s="60"/>
    </row>
    <row r="499" spans="2:12">
      <c r="B499" s="368"/>
      <c r="C499" s="357"/>
      <c r="D499" s="60">
        <v>12</v>
      </c>
      <c r="E499" s="60" t="s">
        <v>313</v>
      </c>
      <c r="F499" s="61" t="s">
        <v>300</v>
      </c>
      <c r="G499" s="61">
        <v>10000</v>
      </c>
      <c r="H499" s="61"/>
      <c r="I499" s="61"/>
      <c r="J499" s="61"/>
      <c r="K499" s="61"/>
      <c r="L499" s="60"/>
    </row>
    <row r="500" spans="2:12">
      <c r="B500" s="368"/>
      <c r="C500" s="357"/>
      <c r="D500" s="60">
        <v>13</v>
      </c>
      <c r="E500" s="60" t="s">
        <v>305</v>
      </c>
      <c r="F500" s="61" t="s">
        <v>306</v>
      </c>
      <c r="G500" s="61"/>
      <c r="H500" s="61"/>
      <c r="I500" s="61"/>
      <c r="J500" s="61"/>
      <c r="K500" s="61"/>
      <c r="L500" s="60"/>
    </row>
    <row r="501" spans="2:12">
      <c r="B501" s="369"/>
      <c r="C501" s="358"/>
      <c r="D501" s="60"/>
      <c r="E501" s="60"/>
      <c r="F501" s="61"/>
      <c r="G501" s="61"/>
      <c r="H501" s="61"/>
      <c r="I501" s="61"/>
      <c r="J501" s="61"/>
      <c r="K501" s="61"/>
      <c r="L501" s="60"/>
    </row>
    <row r="502" spans="2:12">
      <c r="B502" s="367" t="s">
        <v>310</v>
      </c>
      <c r="C502" s="356" t="s">
        <v>1475</v>
      </c>
      <c r="D502" s="60">
        <v>1</v>
      </c>
      <c r="E502" s="60" t="s">
        <v>142</v>
      </c>
      <c r="F502" s="61" t="s">
        <v>122</v>
      </c>
      <c r="G502" s="61"/>
      <c r="H502" s="61"/>
      <c r="I502" s="61"/>
      <c r="J502" s="61"/>
      <c r="K502" s="61"/>
      <c r="L502" s="60"/>
    </row>
    <row r="503" spans="2:12">
      <c r="B503" s="368"/>
      <c r="C503" s="357"/>
      <c r="D503" s="60">
        <v>2</v>
      </c>
      <c r="E503" s="148" t="s">
        <v>1608</v>
      </c>
      <c r="F503" s="61" t="s">
        <v>87</v>
      </c>
      <c r="G503" s="61" t="s">
        <v>1609</v>
      </c>
      <c r="H503" s="61"/>
      <c r="I503" s="61"/>
      <c r="J503" s="61"/>
      <c r="K503" s="61"/>
      <c r="L503" s="60"/>
    </row>
    <row r="504" spans="2:12">
      <c r="B504" s="368"/>
      <c r="C504" s="357"/>
      <c r="D504" s="60">
        <v>3</v>
      </c>
      <c r="E504" s="60" t="s">
        <v>36</v>
      </c>
      <c r="F504" s="61" t="s">
        <v>126</v>
      </c>
      <c r="G504" s="61">
        <v>1</v>
      </c>
      <c r="H504" s="61">
        <v>1</v>
      </c>
      <c r="I504" s="61"/>
      <c r="J504" s="61"/>
      <c r="K504" s="61"/>
      <c r="L504" s="60"/>
    </row>
    <row r="505" spans="2:12">
      <c r="B505" s="368"/>
      <c r="C505" s="357"/>
      <c r="D505" s="60">
        <v>4</v>
      </c>
      <c r="E505" s="60"/>
      <c r="F505" s="61" t="s">
        <v>825</v>
      </c>
      <c r="G505" s="61">
        <v>100</v>
      </c>
      <c r="H505" s="61"/>
      <c r="I505" s="61"/>
      <c r="J505" s="61"/>
      <c r="K505" s="61"/>
      <c r="L505" s="60"/>
    </row>
    <row r="506" spans="2:12">
      <c r="B506" s="368"/>
      <c r="C506" s="357"/>
      <c r="D506" s="60">
        <v>5</v>
      </c>
      <c r="E506" s="60" t="s">
        <v>826</v>
      </c>
      <c r="F506" s="61" t="s">
        <v>827</v>
      </c>
      <c r="G506" s="61">
        <v>1</v>
      </c>
      <c r="H506" s="61">
        <v>1</v>
      </c>
      <c r="I506" s="61" t="s">
        <v>162</v>
      </c>
      <c r="J506" s="61"/>
      <c r="K506" s="61"/>
      <c r="L506" s="60"/>
    </row>
    <row r="507" spans="2:12">
      <c r="B507" s="368"/>
      <c r="C507" s="357"/>
      <c r="D507" s="60">
        <v>6</v>
      </c>
      <c r="E507" s="60"/>
      <c r="F507" s="61" t="s">
        <v>828</v>
      </c>
      <c r="G507" s="61" t="s">
        <v>162</v>
      </c>
      <c r="H507" s="61">
        <v>1</v>
      </c>
      <c r="I507" s="61"/>
      <c r="J507" s="61"/>
      <c r="K507" s="61"/>
      <c r="L507" s="60"/>
    </row>
    <row r="508" spans="2:12">
      <c r="B508" s="368"/>
      <c r="C508" s="357"/>
      <c r="D508" s="60">
        <v>7</v>
      </c>
      <c r="E508" s="60"/>
      <c r="F508" s="61" t="s">
        <v>135</v>
      </c>
      <c r="G508" s="61">
        <v>4</v>
      </c>
      <c r="H508" s="61" t="s">
        <v>162</v>
      </c>
      <c r="I508" s="61">
        <v>3</v>
      </c>
      <c r="J508" s="61"/>
      <c r="K508" s="61"/>
      <c r="L508" s="60"/>
    </row>
    <row r="509" spans="2:12">
      <c r="B509" s="368"/>
      <c r="C509" s="357"/>
      <c r="D509" s="60">
        <v>8</v>
      </c>
      <c r="E509" s="60" t="s">
        <v>1749</v>
      </c>
      <c r="F509" s="61" t="s">
        <v>87</v>
      </c>
      <c r="G509" s="61" t="s">
        <v>1756</v>
      </c>
      <c r="H509" s="61"/>
      <c r="I509" s="61"/>
      <c r="J509" s="61"/>
      <c r="K509" s="61"/>
      <c r="L509" s="60"/>
    </row>
    <row r="510" spans="2:12">
      <c r="B510" s="368"/>
      <c r="C510" s="357"/>
      <c r="D510" s="60">
        <v>9</v>
      </c>
      <c r="E510" s="60" t="s">
        <v>816</v>
      </c>
      <c r="F510" s="61" t="s">
        <v>125</v>
      </c>
      <c r="G510" s="61">
        <v>1020</v>
      </c>
      <c r="H510" s="61"/>
      <c r="I510" s="61"/>
      <c r="J510" s="61"/>
      <c r="K510" s="61"/>
      <c r="L510" s="60"/>
    </row>
    <row r="511" spans="2:12">
      <c r="B511" s="368"/>
      <c r="C511" s="357"/>
      <c r="D511" s="60">
        <v>10</v>
      </c>
      <c r="E511" s="60" t="s">
        <v>829</v>
      </c>
      <c r="F511" s="61" t="s">
        <v>164</v>
      </c>
      <c r="G511" s="61">
        <v>1</v>
      </c>
      <c r="H511" s="61">
        <v>4</v>
      </c>
      <c r="I511" s="61" t="s">
        <v>165</v>
      </c>
      <c r="J511" s="61"/>
      <c r="K511" s="61"/>
      <c r="L511" s="60"/>
    </row>
    <row r="512" spans="2:12">
      <c r="B512" s="368"/>
      <c r="C512" s="357"/>
      <c r="D512" s="60">
        <v>11</v>
      </c>
      <c r="E512" s="60" t="s">
        <v>166</v>
      </c>
      <c r="F512" s="61" t="s">
        <v>127</v>
      </c>
      <c r="G512" s="61">
        <v>0</v>
      </c>
      <c r="H512" s="61">
        <v>0</v>
      </c>
      <c r="I512" s="61">
        <v>1</v>
      </c>
      <c r="J512" s="61"/>
      <c r="K512" s="61"/>
      <c r="L512" s="60"/>
    </row>
    <row r="513" spans="2:12">
      <c r="B513" s="368"/>
      <c r="C513" s="357"/>
      <c r="D513" s="60">
        <v>12</v>
      </c>
      <c r="E513" s="60" t="s">
        <v>313</v>
      </c>
      <c r="F513" s="61" t="s">
        <v>125</v>
      </c>
      <c r="G513" s="61">
        <v>10000</v>
      </c>
      <c r="H513" s="61"/>
      <c r="I513" s="61"/>
      <c r="J513" s="61"/>
      <c r="K513" s="61"/>
      <c r="L513" s="60"/>
    </row>
    <row r="514" spans="2:12">
      <c r="B514" s="368"/>
      <c r="C514" s="357"/>
      <c r="D514" s="60">
        <v>13</v>
      </c>
      <c r="E514" s="60" t="s">
        <v>146</v>
      </c>
      <c r="F514" s="61" t="s">
        <v>123</v>
      </c>
      <c r="G514" s="61"/>
      <c r="H514" s="61"/>
      <c r="I514" s="61"/>
      <c r="J514" s="61"/>
      <c r="K514" s="61"/>
      <c r="L514" s="60"/>
    </row>
    <row r="515" spans="2:12">
      <c r="B515" s="369"/>
      <c r="C515" s="358"/>
      <c r="D515" s="60"/>
      <c r="E515" s="60"/>
      <c r="F515" s="61"/>
      <c r="G515" s="61"/>
      <c r="H515" s="61"/>
      <c r="I515" s="61"/>
      <c r="J515" s="61"/>
      <c r="K515" s="61"/>
      <c r="L515" s="60"/>
    </row>
    <row r="516" spans="2:12">
      <c r="B516" s="367" t="s">
        <v>176</v>
      </c>
      <c r="C516" s="356" t="s">
        <v>1475</v>
      </c>
      <c r="D516" s="60">
        <v>1</v>
      </c>
      <c r="E516" s="60" t="s">
        <v>142</v>
      </c>
      <c r="F516" s="61" t="s">
        <v>122</v>
      </c>
      <c r="G516" s="61"/>
      <c r="H516" s="61"/>
      <c r="I516" s="61"/>
      <c r="J516" s="61"/>
      <c r="K516" s="61"/>
      <c r="L516" s="60"/>
    </row>
    <row r="517" spans="2:12">
      <c r="B517" s="368"/>
      <c r="C517" s="357"/>
      <c r="D517" s="60">
        <v>2</v>
      </c>
      <c r="E517" s="148" t="s">
        <v>1608</v>
      </c>
      <c r="F517" s="61" t="s">
        <v>87</v>
      </c>
      <c r="G517" s="61" t="s">
        <v>1609</v>
      </c>
      <c r="H517" s="61"/>
      <c r="I517" s="61"/>
      <c r="J517" s="61"/>
      <c r="K517" s="61"/>
      <c r="L517" s="60"/>
    </row>
    <row r="518" spans="2:12">
      <c r="B518" s="368"/>
      <c r="C518" s="357"/>
      <c r="D518" s="60">
        <v>3</v>
      </c>
      <c r="E518" s="60" t="s">
        <v>36</v>
      </c>
      <c r="F518" s="61" t="s">
        <v>126</v>
      </c>
      <c r="G518" s="61">
        <v>1</v>
      </c>
      <c r="H518" s="61">
        <v>1</v>
      </c>
      <c r="I518" s="61"/>
      <c r="J518" s="61"/>
      <c r="K518" s="61"/>
      <c r="L518" s="60"/>
    </row>
    <row r="519" spans="2:12">
      <c r="B519" s="368"/>
      <c r="C519" s="357"/>
      <c r="D519" s="60">
        <v>4</v>
      </c>
      <c r="E519" s="60"/>
      <c r="F519" s="61" t="s">
        <v>825</v>
      </c>
      <c r="G519" s="61">
        <v>100</v>
      </c>
      <c r="H519" s="61"/>
      <c r="I519" s="61"/>
      <c r="J519" s="61"/>
      <c r="K519" s="61"/>
      <c r="L519" s="60"/>
    </row>
    <row r="520" spans="2:12">
      <c r="B520" s="368"/>
      <c r="C520" s="357"/>
      <c r="D520" s="60">
        <v>5</v>
      </c>
      <c r="E520" s="60" t="s">
        <v>826</v>
      </c>
      <c r="F520" s="61" t="s">
        <v>827</v>
      </c>
      <c r="G520" s="61">
        <v>1</v>
      </c>
      <c r="H520" s="61">
        <v>1</v>
      </c>
      <c r="I520" s="61" t="s">
        <v>162</v>
      </c>
      <c r="J520" s="61"/>
      <c r="K520" s="61"/>
      <c r="L520" s="60"/>
    </row>
    <row r="521" spans="2:12">
      <c r="B521" s="368"/>
      <c r="C521" s="357"/>
      <c r="D521" s="60">
        <v>6</v>
      </c>
      <c r="E521" s="60"/>
      <c r="F521" s="61" t="s">
        <v>828</v>
      </c>
      <c r="G521" s="61" t="s">
        <v>162</v>
      </c>
      <c r="H521" s="61">
        <v>1</v>
      </c>
      <c r="I521" s="61"/>
      <c r="J521" s="61"/>
      <c r="K521" s="61"/>
      <c r="L521" s="60"/>
    </row>
    <row r="522" spans="2:12">
      <c r="B522" s="368"/>
      <c r="C522" s="357"/>
      <c r="D522" s="60">
        <v>7</v>
      </c>
      <c r="E522" s="60"/>
      <c r="F522" s="61" t="s">
        <v>135</v>
      </c>
      <c r="G522" s="61">
        <v>4</v>
      </c>
      <c r="H522" s="61" t="s">
        <v>162</v>
      </c>
      <c r="I522" s="61">
        <v>3</v>
      </c>
      <c r="J522" s="61"/>
      <c r="K522" s="61"/>
      <c r="L522" s="60"/>
    </row>
    <row r="523" spans="2:12">
      <c r="B523" s="368"/>
      <c r="C523" s="357"/>
      <c r="D523" s="60">
        <v>8</v>
      </c>
      <c r="E523" s="60" t="s">
        <v>1612</v>
      </c>
      <c r="F523" s="61" t="s">
        <v>87</v>
      </c>
      <c r="G523" s="61" t="s">
        <v>1613</v>
      </c>
      <c r="H523" s="61"/>
      <c r="I523" s="61"/>
      <c r="J523" s="61"/>
      <c r="K523" s="61"/>
      <c r="L523" s="60"/>
    </row>
    <row r="524" spans="2:12">
      <c r="B524" s="368"/>
      <c r="C524" s="357"/>
      <c r="D524" s="60">
        <v>9</v>
      </c>
      <c r="E524" s="60" t="s">
        <v>816</v>
      </c>
      <c r="F524" s="61" t="s">
        <v>125</v>
      </c>
      <c r="G524" s="61">
        <v>1020</v>
      </c>
      <c r="H524" s="61"/>
      <c r="I524" s="61"/>
      <c r="J524" s="61"/>
      <c r="K524" s="61"/>
      <c r="L524" s="60"/>
    </row>
    <row r="525" spans="2:12">
      <c r="B525" s="368"/>
      <c r="C525" s="357"/>
      <c r="D525" s="60">
        <v>10</v>
      </c>
      <c r="E525" s="60" t="s">
        <v>829</v>
      </c>
      <c r="F525" s="61" t="s">
        <v>164</v>
      </c>
      <c r="G525" s="61">
        <v>1</v>
      </c>
      <c r="H525" s="61">
        <v>4</v>
      </c>
      <c r="I525" s="61" t="s">
        <v>165</v>
      </c>
      <c r="J525" s="61"/>
      <c r="K525" s="61"/>
      <c r="L525" s="60"/>
    </row>
    <row r="526" spans="2:12">
      <c r="B526" s="368"/>
      <c r="C526" s="357"/>
      <c r="D526" s="60">
        <v>11</v>
      </c>
      <c r="E526" s="60" t="s">
        <v>166</v>
      </c>
      <c r="F526" s="61" t="s">
        <v>127</v>
      </c>
      <c r="G526" s="61">
        <v>0</v>
      </c>
      <c r="H526" s="61">
        <v>0</v>
      </c>
      <c r="I526" s="61">
        <v>1</v>
      </c>
      <c r="J526" s="61"/>
      <c r="K526" s="61"/>
      <c r="L526" s="60"/>
    </row>
    <row r="527" spans="2:12">
      <c r="B527" s="368"/>
      <c r="C527" s="357"/>
      <c r="D527" s="60">
        <v>12</v>
      </c>
      <c r="E527" s="60" t="s">
        <v>313</v>
      </c>
      <c r="F527" s="61" t="s">
        <v>125</v>
      </c>
      <c r="G527" s="61">
        <v>10000</v>
      </c>
      <c r="H527" s="61"/>
      <c r="I527" s="61"/>
      <c r="J527" s="61"/>
      <c r="K527" s="61"/>
      <c r="L527" s="60"/>
    </row>
    <row r="528" spans="2:12">
      <c r="B528" s="368"/>
      <c r="C528" s="357"/>
      <c r="D528" s="60">
        <v>13</v>
      </c>
      <c r="E528" s="60" t="s">
        <v>146</v>
      </c>
      <c r="F528" s="61" t="s">
        <v>123</v>
      </c>
      <c r="G528" s="61"/>
      <c r="H528" s="61"/>
      <c r="I528" s="61"/>
      <c r="J528" s="61"/>
      <c r="K528" s="61"/>
      <c r="L528" s="60"/>
    </row>
    <row r="529" spans="2:12">
      <c r="B529" s="369"/>
      <c r="C529" s="358"/>
      <c r="D529" s="60"/>
      <c r="E529" s="60"/>
      <c r="F529" s="61"/>
      <c r="G529" s="61"/>
      <c r="H529" s="61"/>
      <c r="I529" s="61"/>
      <c r="J529" s="61"/>
      <c r="K529" s="61"/>
      <c r="L529" s="60"/>
    </row>
    <row r="530" spans="2:12">
      <c r="B530" s="359" t="s">
        <v>177</v>
      </c>
      <c r="C530" s="356" t="s">
        <v>1475</v>
      </c>
      <c r="D530" s="60">
        <v>1</v>
      </c>
      <c r="E530" s="60" t="s">
        <v>142</v>
      </c>
      <c r="F530" s="61" t="s">
        <v>122</v>
      </c>
      <c r="G530" s="61"/>
      <c r="H530" s="61"/>
      <c r="I530" s="61"/>
      <c r="J530" s="61"/>
      <c r="K530" s="61"/>
      <c r="L530" s="60"/>
    </row>
    <row r="531" spans="2:12">
      <c r="B531" s="359"/>
      <c r="C531" s="357"/>
      <c r="D531" s="60">
        <v>2</v>
      </c>
      <c r="E531" s="148" t="s">
        <v>1608</v>
      </c>
      <c r="F531" s="61" t="s">
        <v>87</v>
      </c>
      <c r="G531" s="61" t="s">
        <v>1609</v>
      </c>
      <c r="H531" s="61"/>
      <c r="I531" s="61"/>
      <c r="J531" s="61"/>
      <c r="K531" s="61"/>
      <c r="L531" s="60"/>
    </row>
    <row r="532" spans="2:12">
      <c r="B532" s="359"/>
      <c r="C532" s="357"/>
      <c r="D532" s="60">
        <v>3</v>
      </c>
      <c r="E532" s="60" t="s">
        <v>172</v>
      </c>
      <c r="F532" s="61" t="s">
        <v>173</v>
      </c>
      <c r="G532" s="61">
        <v>0</v>
      </c>
      <c r="H532" s="61" t="s">
        <v>174</v>
      </c>
      <c r="I532" s="61"/>
      <c r="J532" s="61"/>
      <c r="K532" s="61"/>
      <c r="L532" s="60"/>
    </row>
    <row r="533" spans="2:12">
      <c r="B533" s="359"/>
      <c r="C533" s="357"/>
      <c r="D533" s="60">
        <v>4</v>
      </c>
      <c r="E533" s="60" t="s">
        <v>163</v>
      </c>
      <c r="F533" s="61" t="s">
        <v>164</v>
      </c>
      <c r="G533" s="61">
        <v>1</v>
      </c>
      <c r="H533" s="61">
        <v>4</v>
      </c>
      <c r="I533" s="61" t="s">
        <v>165</v>
      </c>
      <c r="J533" s="61"/>
      <c r="K533" s="61"/>
      <c r="L533" s="60"/>
    </row>
    <row r="534" spans="2:12">
      <c r="B534" s="359"/>
      <c r="C534" s="357"/>
      <c r="D534" s="60">
        <v>5</v>
      </c>
      <c r="E534" s="60" t="s">
        <v>1610</v>
      </c>
      <c r="F534" s="61" t="s">
        <v>87</v>
      </c>
      <c r="G534" s="61" t="s">
        <v>1717</v>
      </c>
      <c r="H534" s="61"/>
      <c r="I534" s="61"/>
      <c r="J534" s="61"/>
      <c r="K534" s="61"/>
      <c r="L534" s="60"/>
    </row>
    <row r="535" spans="2:12">
      <c r="B535" s="359"/>
      <c r="C535" s="357"/>
      <c r="D535" s="60">
        <v>6</v>
      </c>
      <c r="E535" s="60" t="s">
        <v>293</v>
      </c>
      <c r="F535" s="61" t="s">
        <v>127</v>
      </c>
      <c r="G535" s="61">
        <v>0</v>
      </c>
      <c r="H535" s="61">
        <v>0</v>
      </c>
      <c r="I535" s="61">
        <v>1</v>
      </c>
      <c r="J535" s="61"/>
      <c r="K535" s="61"/>
      <c r="L535" s="60"/>
    </row>
    <row r="536" spans="2:12">
      <c r="B536" s="359"/>
      <c r="C536" s="357"/>
      <c r="D536" s="60">
        <v>7</v>
      </c>
      <c r="E536" s="60" t="s">
        <v>313</v>
      </c>
      <c r="F536" s="61" t="s">
        <v>125</v>
      </c>
      <c r="G536" s="61">
        <v>10000</v>
      </c>
      <c r="H536" s="61"/>
      <c r="I536" s="61"/>
      <c r="J536" s="61"/>
      <c r="K536" s="61"/>
      <c r="L536" s="60"/>
    </row>
    <row r="537" spans="2:12">
      <c r="B537" s="359"/>
      <c r="C537" s="357"/>
      <c r="D537" s="60">
        <v>8</v>
      </c>
      <c r="E537" s="60" t="s">
        <v>146</v>
      </c>
      <c r="F537" s="61" t="s">
        <v>123</v>
      </c>
      <c r="G537" s="61"/>
      <c r="H537" s="61"/>
      <c r="I537" s="61"/>
      <c r="J537" s="61"/>
      <c r="K537" s="61"/>
      <c r="L537" s="60"/>
    </row>
    <row r="538" spans="2:12">
      <c r="B538" s="359"/>
      <c r="C538" s="358"/>
      <c r="D538" s="60"/>
      <c r="E538" s="60"/>
      <c r="F538" s="61"/>
      <c r="G538" s="61"/>
      <c r="H538" s="61"/>
      <c r="I538" s="61"/>
      <c r="J538" s="61"/>
      <c r="K538" s="61"/>
      <c r="L538" s="60"/>
    </row>
    <row r="539" spans="2:12">
      <c r="B539" s="359" t="s">
        <v>311</v>
      </c>
      <c r="C539" s="356" t="s">
        <v>1475</v>
      </c>
      <c r="D539" s="60">
        <v>1</v>
      </c>
      <c r="E539" s="60" t="s">
        <v>142</v>
      </c>
      <c r="F539" s="61" t="s">
        <v>122</v>
      </c>
      <c r="G539" s="61"/>
      <c r="H539" s="61"/>
      <c r="I539" s="61"/>
      <c r="J539" s="61"/>
      <c r="K539" s="61"/>
      <c r="L539" s="60"/>
    </row>
    <row r="540" spans="2:12">
      <c r="B540" s="359"/>
      <c r="C540" s="357"/>
      <c r="D540" s="60">
        <v>2</v>
      </c>
      <c r="E540" s="148" t="s">
        <v>1608</v>
      </c>
      <c r="F540" s="61" t="s">
        <v>87</v>
      </c>
      <c r="G540" s="61" t="s">
        <v>1609</v>
      </c>
      <c r="H540" s="61"/>
      <c r="I540" s="61"/>
      <c r="J540" s="61"/>
      <c r="K540" s="61"/>
      <c r="L540" s="60"/>
    </row>
    <row r="541" spans="2:12">
      <c r="B541" s="359"/>
      <c r="C541" s="357"/>
      <c r="D541" s="60">
        <v>3</v>
      </c>
      <c r="E541" s="60" t="s">
        <v>172</v>
      </c>
      <c r="F541" s="61" t="s">
        <v>173</v>
      </c>
      <c r="G541" s="61">
        <v>0</v>
      </c>
      <c r="H541" s="61" t="s">
        <v>174</v>
      </c>
      <c r="I541" s="61"/>
      <c r="J541" s="61"/>
      <c r="K541" s="61"/>
      <c r="L541" s="60"/>
    </row>
    <row r="542" spans="2:12">
      <c r="B542" s="359"/>
      <c r="C542" s="357"/>
      <c r="D542" s="60">
        <v>4</v>
      </c>
      <c r="E542" s="60" t="s">
        <v>163</v>
      </c>
      <c r="F542" s="61" t="s">
        <v>164</v>
      </c>
      <c r="G542" s="61">
        <v>1</v>
      </c>
      <c r="H542" s="61">
        <v>4</v>
      </c>
      <c r="I542" s="61" t="s">
        <v>165</v>
      </c>
      <c r="J542" s="61"/>
      <c r="K542" s="61"/>
      <c r="L542" s="60"/>
    </row>
    <row r="543" spans="2:12">
      <c r="B543" s="359"/>
      <c r="C543" s="357"/>
      <c r="D543" s="60">
        <v>5</v>
      </c>
      <c r="E543" s="60" t="s">
        <v>1749</v>
      </c>
      <c r="F543" s="61" t="s">
        <v>87</v>
      </c>
      <c r="G543" s="61" t="s">
        <v>1757</v>
      </c>
      <c r="H543" s="61"/>
      <c r="I543" s="61"/>
      <c r="J543" s="61"/>
      <c r="K543" s="61"/>
      <c r="L543" s="60"/>
    </row>
    <row r="544" spans="2:12">
      <c r="B544" s="359"/>
      <c r="C544" s="357"/>
      <c r="D544" s="60">
        <v>6</v>
      </c>
      <c r="E544" s="60" t="s">
        <v>293</v>
      </c>
      <c r="F544" s="61" t="s">
        <v>127</v>
      </c>
      <c r="G544" s="61">
        <v>0</v>
      </c>
      <c r="H544" s="61">
        <v>0</v>
      </c>
      <c r="I544" s="61">
        <v>1</v>
      </c>
      <c r="J544" s="61"/>
      <c r="K544" s="61"/>
      <c r="L544" s="60"/>
    </row>
    <row r="545" spans="2:12">
      <c r="B545" s="359"/>
      <c r="C545" s="357"/>
      <c r="D545" s="60">
        <v>7</v>
      </c>
      <c r="E545" s="60" t="s">
        <v>313</v>
      </c>
      <c r="F545" s="61" t="s">
        <v>125</v>
      </c>
      <c r="G545" s="61">
        <v>10000</v>
      </c>
      <c r="H545" s="61"/>
      <c r="I545" s="61"/>
      <c r="J545" s="61"/>
      <c r="K545" s="61"/>
      <c r="L545" s="60"/>
    </row>
    <row r="546" spans="2:12">
      <c r="B546" s="359"/>
      <c r="C546" s="357"/>
      <c r="D546" s="60">
        <v>8</v>
      </c>
      <c r="E546" s="60" t="s">
        <v>146</v>
      </c>
      <c r="F546" s="61" t="s">
        <v>123</v>
      </c>
      <c r="G546" s="61"/>
      <c r="H546" s="61"/>
      <c r="I546" s="61"/>
      <c r="J546" s="61"/>
      <c r="K546" s="61"/>
      <c r="L546" s="60"/>
    </row>
    <row r="547" spans="2:12">
      <c r="B547" s="359"/>
      <c r="C547" s="358"/>
      <c r="D547" s="60"/>
      <c r="E547" s="60"/>
      <c r="F547" s="61"/>
      <c r="G547" s="61"/>
      <c r="H547" s="61"/>
      <c r="I547" s="61"/>
      <c r="J547" s="61"/>
      <c r="K547" s="61"/>
      <c r="L547" s="60"/>
    </row>
    <row r="548" spans="2:12">
      <c r="B548" s="359" t="s">
        <v>312</v>
      </c>
      <c r="C548" s="356" t="s">
        <v>1475</v>
      </c>
      <c r="D548" s="60">
        <v>1</v>
      </c>
      <c r="E548" s="60" t="s">
        <v>142</v>
      </c>
      <c r="F548" s="61" t="s">
        <v>122</v>
      </c>
      <c r="G548" s="61"/>
      <c r="H548" s="61"/>
      <c r="I548" s="61"/>
      <c r="J548" s="61"/>
      <c r="K548" s="61"/>
      <c r="L548" s="60"/>
    </row>
    <row r="549" spans="2:12">
      <c r="B549" s="359"/>
      <c r="C549" s="357"/>
      <c r="D549" s="60">
        <v>2</v>
      </c>
      <c r="E549" s="148" t="s">
        <v>1608</v>
      </c>
      <c r="F549" s="61" t="s">
        <v>87</v>
      </c>
      <c r="G549" s="61" t="s">
        <v>1609</v>
      </c>
      <c r="H549" s="61"/>
      <c r="I549" s="61"/>
      <c r="J549" s="61"/>
      <c r="K549" s="61"/>
      <c r="L549" s="60"/>
    </row>
    <row r="550" spans="2:12">
      <c r="B550" s="359"/>
      <c r="C550" s="357"/>
      <c r="D550" s="60">
        <v>3</v>
      </c>
      <c r="E550" s="60" t="s">
        <v>172</v>
      </c>
      <c r="F550" s="61" t="s">
        <v>173</v>
      </c>
      <c r="G550" s="61">
        <v>0</v>
      </c>
      <c r="H550" s="61" t="s">
        <v>174</v>
      </c>
      <c r="I550" s="61"/>
      <c r="J550" s="61"/>
      <c r="K550" s="61"/>
      <c r="L550" s="60"/>
    </row>
    <row r="551" spans="2:12">
      <c r="B551" s="359"/>
      <c r="C551" s="357"/>
      <c r="D551" s="60">
        <v>4</v>
      </c>
      <c r="E551" s="60" t="s">
        <v>163</v>
      </c>
      <c r="F551" s="61" t="s">
        <v>164</v>
      </c>
      <c r="G551" s="61">
        <v>1</v>
      </c>
      <c r="H551" s="61">
        <v>4</v>
      </c>
      <c r="I551" s="61" t="s">
        <v>165</v>
      </c>
      <c r="J551" s="61"/>
      <c r="K551" s="61"/>
      <c r="L551" s="60"/>
    </row>
    <row r="552" spans="2:12">
      <c r="B552" s="359"/>
      <c r="C552" s="357"/>
      <c r="D552" s="60">
        <v>5</v>
      </c>
      <c r="E552" s="60" t="s">
        <v>1612</v>
      </c>
      <c r="F552" s="61" t="s">
        <v>87</v>
      </c>
      <c r="G552" s="61" t="s">
        <v>1716</v>
      </c>
      <c r="H552" s="61"/>
      <c r="I552" s="61"/>
      <c r="J552" s="61"/>
      <c r="K552" s="61"/>
      <c r="L552" s="60"/>
    </row>
    <row r="553" spans="2:12">
      <c r="B553" s="359"/>
      <c r="C553" s="357"/>
      <c r="D553" s="60">
        <v>6</v>
      </c>
      <c r="E553" s="60" t="s">
        <v>293</v>
      </c>
      <c r="F553" s="61" t="s">
        <v>127</v>
      </c>
      <c r="G553" s="61">
        <v>0</v>
      </c>
      <c r="H553" s="61">
        <v>0</v>
      </c>
      <c r="I553" s="61">
        <v>1</v>
      </c>
      <c r="J553" s="61"/>
      <c r="K553" s="61"/>
      <c r="L553" s="60"/>
    </row>
    <row r="554" spans="2:12">
      <c r="B554" s="359"/>
      <c r="C554" s="357"/>
      <c r="D554" s="60">
        <v>7</v>
      </c>
      <c r="E554" s="60" t="s">
        <v>313</v>
      </c>
      <c r="F554" s="61" t="s">
        <v>125</v>
      </c>
      <c r="G554" s="61">
        <v>10000</v>
      </c>
      <c r="H554" s="61"/>
      <c r="I554" s="61"/>
      <c r="J554" s="61"/>
      <c r="K554" s="61"/>
      <c r="L554" s="60"/>
    </row>
    <row r="555" spans="2:12">
      <c r="B555" s="359"/>
      <c r="C555" s="357"/>
      <c r="D555" s="60">
        <v>8</v>
      </c>
      <c r="E555" s="60" t="s">
        <v>146</v>
      </c>
      <c r="F555" s="61" t="s">
        <v>123</v>
      </c>
      <c r="G555" s="61"/>
      <c r="H555" s="61"/>
      <c r="I555" s="61"/>
      <c r="J555" s="61"/>
      <c r="K555" s="61"/>
      <c r="L555" s="60"/>
    </row>
    <row r="556" spans="2:12">
      <c r="B556" s="359"/>
      <c r="C556" s="358"/>
      <c r="D556" s="60"/>
      <c r="E556" s="60"/>
      <c r="F556" s="61"/>
      <c r="G556" s="61"/>
      <c r="H556" s="61"/>
      <c r="I556" s="61"/>
      <c r="J556" s="61"/>
      <c r="K556" s="61"/>
      <c r="L556" s="60"/>
    </row>
    <row r="557" spans="2:12">
      <c r="B557" s="359" t="s">
        <v>178</v>
      </c>
      <c r="C557" s="356" t="s">
        <v>1475</v>
      </c>
      <c r="D557" s="60">
        <v>1</v>
      </c>
      <c r="E557" s="148" t="s">
        <v>1608</v>
      </c>
      <c r="F557" s="61" t="s">
        <v>87</v>
      </c>
      <c r="G557" s="61" t="s">
        <v>1609</v>
      </c>
      <c r="H557" s="61"/>
      <c r="I557" s="61"/>
      <c r="J557" s="61"/>
      <c r="K557" s="61"/>
      <c r="L557" s="60"/>
    </row>
    <row r="558" spans="2:12">
      <c r="B558" s="359"/>
      <c r="C558" s="357"/>
      <c r="D558" s="60">
        <v>2</v>
      </c>
      <c r="E558" s="60" t="s">
        <v>142</v>
      </c>
      <c r="F558" s="61" t="s">
        <v>122</v>
      </c>
      <c r="G558" s="61"/>
      <c r="H558" s="61"/>
      <c r="I558" s="61"/>
      <c r="J558" s="61"/>
      <c r="K558" s="61"/>
      <c r="L558" s="60"/>
    </row>
    <row r="559" spans="2:12">
      <c r="B559" s="359"/>
      <c r="C559" s="357"/>
      <c r="D559" s="60">
        <v>3</v>
      </c>
      <c r="E559" s="60" t="s">
        <v>36</v>
      </c>
      <c r="F559" s="61" t="s">
        <v>126</v>
      </c>
      <c r="G559" s="61">
        <v>1</v>
      </c>
      <c r="H559" s="61">
        <v>1</v>
      </c>
      <c r="I559" s="61"/>
      <c r="J559" s="61"/>
      <c r="K559" s="61"/>
      <c r="L559" s="60"/>
    </row>
    <row r="560" spans="2:12">
      <c r="B560" s="359"/>
      <c r="C560" s="357"/>
      <c r="D560" s="60">
        <v>4</v>
      </c>
      <c r="E560" s="60" t="s">
        <v>172</v>
      </c>
      <c r="F560" s="61" t="s">
        <v>173</v>
      </c>
      <c r="G560" s="61">
        <v>0</v>
      </c>
      <c r="H560" s="61" t="s">
        <v>174</v>
      </c>
      <c r="I560" s="61"/>
      <c r="J560" s="61"/>
      <c r="K560" s="61"/>
      <c r="L560" s="60"/>
    </row>
    <row r="561" spans="2:12">
      <c r="B561" s="359"/>
      <c r="C561" s="357"/>
      <c r="D561" s="60">
        <v>5</v>
      </c>
      <c r="E561" s="60" t="s">
        <v>163</v>
      </c>
      <c r="F561" s="61" t="s">
        <v>164</v>
      </c>
      <c r="G561" s="61">
        <v>1</v>
      </c>
      <c r="H561" s="61">
        <v>4</v>
      </c>
      <c r="I561" s="61" t="s">
        <v>165</v>
      </c>
      <c r="J561" s="61"/>
      <c r="K561" s="61"/>
      <c r="L561" s="60"/>
    </row>
    <row r="562" spans="2:12">
      <c r="B562" s="359"/>
      <c r="C562" s="357"/>
      <c r="D562" s="60">
        <v>6</v>
      </c>
      <c r="E562" s="60"/>
      <c r="F562" s="61" t="s">
        <v>125</v>
      </c>
      <c r="G562" s="61">
        <v>1000</v>
      </c>
      <c r="H562" s="61"/>
      <c r="I562" s="61"/>
      <c r="J562" s="61"/>
      <c r="K562" s="61"/>
      <c r="L562" s="60"/>
    </row>
    <row r="563" spans="2:12">
      <c r="B563" s="359"/>
      <c r="C563" s="357"/>
      <c r="D563" s="60">
        <v>7</v>
      </c>
      <c r="E563" s="60" t="s">
        <v>293</v>
      </c>
      <c r="F563" s="61" t="s">
        <v>127</v>
      </c>
      <c r="G563" s="61">
        <v>1</v>
      </c>
      <c r="H563" s="61">
        <v>1</v>
      </c>
      <c r="I563" s="61">
        <v>1</v>
      </c>
      <c r="J563" s="61"/>
      <c r="K563" s="61"/>
      <c r="L563" s="60"/>
    </row>
    <row r="564" spans="2:12">
      <c r="B564" s="359"/>
      <c r="C564" s="357"/>
      <c r="D564" s="60">
        <v>8</v>
      </c>
      <c r="E564" s="60" t="s">
        <v>313</v>
      </c>
      <c r="F564" s="61" t="s">
        <v>125</v>
      </c>
      <c r="G564" s="61">
        <v>10000</v>
      </c>
      <c r="H564" s="61"/>
      <c r="I564" s="61"/>
      <c r="J564" s="61"/>
      <c r="K564" s="61"/>
      <c r="L564" s="60"/>
    </row>
    <row r="565" spans="2:12">
      <c r="B565" s="359"/>
      <c r="C565" s="357"/>
      <c r="D565" s="60">
        <v>9</v>
      </c>
      <c r="E565" s="60" t="s">
        <v>146</v>
      </c>
      <c r="F565" s="61" t="s">
        <v>123</v>
      </c>
      <c r="G565" s="61"/>
      <c r="H565" s="61"/>
      <c r="I565" s="61"/>
      <c r="J565" s="61"/>
      <c r="K565" s="61"/>
      <c r="L565" s="60"/>
    </row>
    <row r="566" spans="2:12">
      <c r="B566" s="359"/>
      <c r="C566" s="358"/>
      <c r="D566" s="60"/>
      <c r="E566" s="60"/>
      <c r="F566" s="61"/>
      <c r="G566" s="61"/>
      <c r="H566" s="61"/>
      <c r="I566" s="61"/>
      <c r="J566" s="61"/>
      <c r="K566" s="61"/>
      <c r="L566" s="60"/>
    </row>
    <row r="567" spans="2:12">
      <c r="B567" s="359" t="s">
        <v>1291</v>
      </c>
      <c r="C567" s="356" t="s">
        <v>1475</v>
      </c>
      <c r="D567" s="121">
        <v>1</v>
      </c>
      <c r="E567" s="148" t="s">
        <v>1608</v>
      </c>
      <c r="F567" s="61" t="s">
        <v>87</v>
      </c>
      <c r="G567" s="61" t="s">
        <v>1609</v>
      </c>
      <c r="H567" s="61"/>
      <c r="I567" s="61"/>
      <c r="J567" s="61"/>
      <c r="K567" s="61"/>
      <c r="L567" s="121"/>
    </row>
    <row r="568" spans="2:12">
      <c r="B568" s="359"/>
      <c r="C568" s="357"/>
      <c r="D568" s="121">
        <v>2</v>
      </c>
      <c r="E568" s="121" t="s">
        <v>142</v>
      </c>
      <c r="F568" s="61" t="s">
        <v>122</v>
      </c>
      <c r="G568" s="61"/>
      <c r="H568" s="61"/>
      <c r="I568" s="61"/>
      <c r="J568" s="61"/>
      <c r="K568" s="61"/>
      <c r="L568" s="121"/>
    </row>
    <row r="569" spans="2:12">
      <c r="B569" s="359"/>
      <c r="C569" s="357"/>
      <c r="D569" s="180">
        <v>3</v>
      </c>
      <c r="E569" s="142" t="s">
        <v>36</v>
      </c>
      <c r="F569" s="61" t="s">
        <v>126</v>
      </c>
      <c r="G569" s="61">
        <v>1</v>
      </c>
      <c r="H569" s="61">
        <v>1</v>
      </c>
      <c r="I569" s="61"/>
      <c r="J569" s="61"/>
      <c r="K569" s="61"/>
      <c r="L569" s="142"/>
    </row>
    <row r="570" spans="2:12">
      <c r="B570" s="359"/>
      <c r="C570" s="357"/>
      <c r="D570" s="180">
        <v>4</v>
      </c>
      <c r="E570" s="121" t="s">
        <v>163</v>
      </c>
      <c r="F570" s="61" t="s">
        <v>164</v>
      </c>
      <c r="G570" s="61">
        <v>1</v>
      </c>
      <c r="H570" s="61">
        <v>4</v>
      </c>
      <c r="I570" s="61" t="s">
        <v>179</v>
      </c>
      <c r="J570" s="61"/>
      <c r="K570" s="61"/>
      <c r="L570" s="121"/>
    </row>
    <row r="571" spans="2:12">
      <c r="B571" s="359"/>
      <c r="C571" s="357"/>
      <c r="D571" s="180">
        <v>5</v>
      </c>
      <c r="E571" s="121" t="s">
        <v>172</v>
      </c>
      <c r="F571" s="61" t="s">
        <v>173</v>
      </c>
      <c r="G571" s="61">
        <v>2</v>
      </c>
      <c r="H571" s="61">
        <v>1</v>
      </c>
      <c r="I571" s="61">
        <v>1</v>
      </c>
      <c r="J571" s="61">
        <v>1</v>
      </c>
      <c r="K571" s="61"/>
      <c r="L571" s="121"/>
    </row>
    <row r="572" spans="2:12">
      <c r="B572" s="359"/>
      <c r="C572" s="357"/>
      <c r="D572" s="180">
        <v>6</v>
      </c>
      <c r="E572" s="180"/>
      <c r="F572" s="61" t="s">
        <v>1933</v>
      </c>
      <c r="G572" s="61">
        <v>100</v>
      </c>
      <c r="H572" s="61"/>
      <c r="I572" s="61"/>
      <c r="J572" s="61"/>
      <c r="K572" s="61"/>
      <c r="L572" s="180"/>
    </row>
    <row r="573" spans="2:12">
      <c r="B573" s="359"/>
      <c r="C573" s="357"/>
      <c r="D573" s="180">
        <v>7</v>
      </c>
      <c r="E573" s="180" t="s">
        <v>1524</v>
      </c>
      <c r="F573" s="61" t="s">
        <v>81</v>
      </c>
      <c r="G573" s="61" t="s">
        <v>1517</v>
      </c>
      <c r="H573" s="61"/>
      <c r="I573" s="61"/>
      <c r="J573" s="61"/>
      <c r="K573" s="61"/>
      <c r="L573" s="180"/>
    </row>
    <row r="574" spans="2:12">
      <c r="B574" s="359"/>
      <c r="C574" s="357"/>
      <c r="D574" s="180">
        <v>8</v>
      </c>
      <c r="E574" s="121" t="s">
        <v>163</v>
      </c>
      <c r="F574" s="61" t="s">
        <v>164</v>
      </c>
      <c r="G574" s="61">
        <v>1</v>
      </c>
      <c r="H574" s="61">
        <v>4</v>
      </c>
      <c r="I574" s="61" t="s">
        <v>180</v>
      </c>
      <c r="J574" s="61"/>
      <c r="K574" s="61"/>
      <c r="L574" s="121"/>
    </row>
    <row r="575" spans="2:12">
      <c r="B575" s="359"/>
      <c r="C575" s="357"/>
      <c r="D575" s="180">
        <v>9</v>
      </c>
      <c r="E575" s="121" t="s">
        <v>293</v>
      </c>
      <c r="F575" s="61" t="s">
        <v>127</v>
      </c>
      <c r="G575" s="61">
        <v>1</v>
      </c>
      <c r="H575" s="61">
        <v>1</v>
      </c>
      <c r="I575" s="61">
        <v>1</v>
      </c>
      <c r="J575" s="61"/>
      <c r="K575" s="61"/>
      <c r="L575" s="121"/>
    </row>
    <row r="576" spans="2:12">
      <c r="B576" s="359"/>
      <c r="C576" s="357"/>
      <c r="D576" s="180">
        <v>10</v>
      </c>
      <c r="E576" s="121" t="s">
        <v>194</v>
      </c>
      <c r="F576" s="61" t="s">
        <v>125</v>
      </c>
      <c r="G576" s="61" t="s">
        <v>1546</v>
      </c>
      <c r="H576" s="61"/>
      <c r="I576" s="61"/>
      <c r="J576" s="61"/>
      <c r="K576" s="61"/>
      <c r="L576" s="121"/>
    </row>
    <row r="577" spans="2:12">
      <c r="B577" s="359"/>
      <c r="C577" s="357"/>
      <c r="D577" s="180">
        <v>11</v>
      </c>
      <c r="E577" s="180" t="s">
        <v>195</v>
      </c>
      <c r="F577" s="61" t="s">
        <v>81</v>
      </c>
      <c r="G577" s="61" t="s">
        <v>196</v>
      </c>
      <c r="H577" s="61" t="s">
        <v>197</v>
      </c>
      <c r="I577" s="61" t="s">
        <v>197</v>
      </c>
      <c r="J577" s="61"/>
      <c r="K577" s="61"/>
      <c r="L577" s="180"/>
    </row>
    <row r="578" spans="2:12">
      <c r="B578" s="359"/>
      <c r="C578" s="357"/>
      <c r="D578" s="180">
        <v>12</v>
      </c>
      <c r="E578" s="180"/>
      <c r="F578" s="61" t="s">
        <v>81</v>
      </c>
      <c r="G578" s="61" t="s">
        <v>198</v>
      </c>
      <c r="H578" s="61" t="s">
        <v>199</v>
      </c>
      <c r="I578" s="61" t="s">
        <v>197</v>
      </c>
      <c r="J578" s="61" t="s">
        <v>197</v>
      </c>
      <c r="K578" s="61"/>
      <c r="L578" s="180"/>
    </row>
    <row r="579" spans="2:12">
      <c r="B579" s="359"/>
      <c r="C579" s="357"/>
      <c r="D579" s="180">
        <v>13</v>
      </c>
      <c r="E579" s="121" t="s">
        <v>146</v>
      </c>
      <c r="F579" s="61" t="s">
        <v>123</v>
      </c>
      <c r="G579" s="61"/>
      <c r="H579" s="61"/>
      <c r="I579" s="61"/>
      <c r="J579" s="61"/>
      <c r="K579" s="61"/>
      <c r="L579" s="121"/>
    </row>
    <row r="580" spans="2:12">
      <c r="B580" s="359"/>
      <c r="C580" s="358"/>
      <c r="D580" s="121"/>
      <c r="E580" s="121"/>
      <c r="F580" s="61"/>
      <c r="G580" s="61"/>
      <c r="H580" s="61"/>
      <c r="I580" s="61"/>
      <c r="J580" s="61"/>
      <c r="K580" s="61"/>
      <c r="L580" s="121"/>
    </row>
    <row r="581" spans="2:12">
      <c r="B581" s="359" t="s">
        <v>1290</v>
      </c>
      <c r="C581" s="356" t="s">
        <v>1475</v>
      </c>
      <c r="D581" s="60">
        <v>1</v>
      </c>
      <c r="E581" s="148" t="s">
        <v>1608</v>
      </c>
      <c r="F581" s="61" t="s">
        <v>87</v>
      </c>
      <c r="G581" s="61" t="s">
        <v>1609</v>
      </c>
      <c r="H581" s="61"/>
      <c r="I581" s="61"/>
      <c r="J581" s="61"/>
      <c r="K581" s="61"/>
      <c r="L581" s="60"/>
    </row>
    <row r="582" spans="2:12">
      <c r="B582" s="359"/>
      <c r="C582" s="357"/>
      <c r="D582" s="60">
        <v>2</v>
      </c>
      <c r="E582" s="60" t="s">
        <v>142</v>
      </c>
      <c r="F582" s="61" t="s">
        <v>122</v>
      </c>
      <c r="G582" s="61"/>
      <c r="H582" s="61"/>
      <c r="I582" s="61"/>
      <c r="J582" s="61"/>
      <c r="K582" s="61"/>
      <c r="L582" s="60"/>
    </row>
    <row r="583" spans="2:12">
      <c r="B583" s="359"/>
      <c r="C583" s="357"/>
      <c r="D583" s="60">
        <v>3</v>
      </c>
      <c r="E583" s="60" t="s">
        <v>36</v>
      </c>
      <c r="F583" s="61" t="s">
        <v>126</v>
      </c>
      <c r="G583" s="61">
        <v>1</v>
      </c>
      <c r="H583" s="61">
        <v>1</v>
      </c>
      <c r="I583" s="61"/>
      <c r="J583" s="61"/>
      <c r="K583" s="61"/>
      <c r="L583" s="60"/>
    </row>
    <row r="584" spans="2:12">
      <c r="B584" s="359"/>
      <c r="C584" s="357"/>
      <c r="D584" s="60">
        <v>4</v>
      </c>
      <c r="E584" s="60" t="s">
        <v>163</v>
      </c>
      <c r="F584" s="61" t="s">
        <v>164</v>
      </c>
      <c r="G584" s="61">
        <v>1</v>
      </c>
      <c r="H584" s="61">
        <v>4</v>
      </c>
      <c r="I584" s="61" t="s">
        <v>179</v>
      </c>
      <c r="J584" s="61"/>
      <c r="K584" s="61"/>
      <c r="L584" s="60"/>
    </row>
    <row r="585" spans="2:12">
      <c r="B585" s="359"/>
      <c r="C585" s="357"/>
      <c r="D585" s="60">
        <v>5</v>
      </c>
      <c r="E585" s="60" t="s">
        <v>172</v>
      </c>
      <c r="F585" s="61" t="s">
        <v>173</v>
      </c>
      <c r="G585" s="61">
        <v>2</v>
      </c>
      <c r="H585" s="61">
        <v>1</v>
      </c>
      <c r="I585" s="61">
        <v>1</v>
      </c>
      <c r="J585" s="61">
        <v>1</v>
      </c>
      <c r="K585" s="61"/>
      <c r="L585" s="60"/>
    </row>
    <row r="586" spans="2:12">
      <c r="B586" s="359"/>
      <c r="C586" s="357"/>
      <c r="D586" s="60">
        <v>6</v>
      </c>
      <c r="E586" s="60"/>
      <c r="F586" s="61" t="s">
        <v>125</v>
      </c>
      <c r="G586" s="61">
        <v>1000</v>
      </c>
      <c r="H586" s="61"/>
      <c r="I586" s="61"/>
      <c r="J586" s="61"/>
      <c r="K586" s="61"/>
      <c r="L586" s="60"/>
    </row>
    <row r="587" spans="2:12">
      <c r="B587" s="359"/>
      <c r="C587" s="357"/>
      <c r="D587" s="60">
        <v>7</v>
      </c>
      <c r="E587" s="60" t="s">
        <v>163</v>
      </c>
      <c r="F587" s="61" t="s">
        <v>164</v>
      </c>
      <c r="G587" s="61">
        <v>1</v>
      </c>
      <c r="H587" s="61">
        <v>4</v>
      </c>
      <c r="I587" s="61" t="s">
        <v>180</v>
      </c>
      <c r="J587" s="61"/>
      <c r="K587" s="61"/>
      <c r="L587" s="60"/>
    </row>
    <row r="588" spans="2:12">
      <c r="B588" s="359"/>
      <c r="C588" s="357"/>
      <c r="D588" s="60">
        <v>8</v>
      </c>
      <c r="E588" s="60" t="s">
        <v>293</v>
      </c>
      <c r="F588" s="61" t="s">
        <v>127</v>
      </c>
      <c r="G588" s="61">
        <v>1</v>
      </c>
      <c r="H588" s="61">
        <v>1</v>
      </c>
      <c r="I588" s="61">
        <v>1</v>
      </c>
      <c r="J588" s="61"/>
      <c r="K588" s="61"/>
      <c r="L588" s="60"/>
    </row>
    <row r="589" spans="2:12">
      <c r="B589" s="359"/>
      <c r="C589" s="357"/>
      <c r="D589" s="60">
        <v>9</v>
      </c>
      <c r="E589" s="60" t="s">
        <v>313</v>
      </c>
      <c r="F589" s="61" t="s">
        <v>125</v>
      </c>
      <c r="G589" s="61">
        <v>10000</v>
      </c>
      <c r="H589" s="61"/>
      <c r="I589" s="61"/>
      <c r="J589" s="61"/>
      <c r="K589" s="61"/>
      <c r="L589" s="60"/>
    </row>
    <row r="590" spans="2:12">
      <c r="B590" s="359"/>
      <c r="C590" s="357"/>
      <c r="D590" s="60">
        <v>10</v>
      </c>
      <c r="E590" s="60" t="s">
        <v>146</v>
      </c>
      <c r="F590" s="61" t="s">
        <v>123</v>
      </c>
      <c r="G590" s="61"/>
      <c r="H590" s="61"/>
      <c r="I590" s="61"/>
      <c r="J590" s="61"/>
      <c r="K590" s="61"/>
      <c r="L590" s="60"/>
    </row>
    <row r="591" spans="2:12">
      <c r="B591" s="359"/>
      <c r="C591" s="358"/>
      <c r="D591" s="60"/>
      <c r="E591" s="60"/>
      <c r="F591" s="61"/>
      <c r="G591" s="61"/>
      <c r="H591" s="61"/>
      <c r="I591" s="61"/>
      <c r="J591" s="61"/>
      <c r="K591" s="61"/>
      <c r="L591" s="60"/>
    </row>
    <row r="592" spans="2:12">
      <c r="B592" s="359" t="s">
        <v>1293</v>
      </c>
      <c r="C592" s="356" t="s">
        <v>1475</v>
      </c>
      <c r="D592" s="121">
        <v>1</v>
      </c>
      <c r="E592" s="148" t="s">
        <v>1608</v>
      </c>
      <c r="F592" s="61" t="s">
        <v>87</v>
      </c>
      <c r="G592" s="61" t="s">
        <v>1609</v>
      </c>
      <c r="H592" s="61"/>
      <c r="I592" s="61"/>
      <c r="J592" s="61"/>
      <c r="K592" s="61"/>
      <c r="L592" s="121"/>
    </row>
    <row r="593" spans="2:12">
      <c r="B593" s="359"/>
      <c r="C593" s="357"/>
      <c r="D593" s="121">
        <v>2</v>
      </c>
      <c r="E593" s="121" t="s">
        <v>142</v>
      </c>
      <c r="F593" s="61" t="s">
        <v>122</v>
      </c>
      <c r="G593" s="61"/>
      <c r="H593" s="61"/>
      <c r="I593" s="61"/>
      <c r="J593" s="61"/>
      <c r="K593" s="61"/>
      <c r="L593" s="121"/>
    </row>
    <row r="594" spans="2:12">
      <c r="B594" s="359"/>
      <c r="C594" s="357"/>
      <c r="D594" s="180">
        <v>3</v>
      </c>
      <c r="E594" s="121" t="s">
        <v>36</v>
      </c>
      <c r="F594" s="61" t="s">
        <v>126</v>
      </c>
      <c r="G594" s="61">
        <v>1</v>
      </c>
      <c r="H594" s="61">
        <v>1</v>
      </c>
      <c r="I594" s="61"/>
      <c r="J594" s="61"/>
      <c r="K594" s="61"/>
      <c r="L594" s="121"/>
    </row>
    <row r="595" spans="2:12">
      <c r="B595" s="359"/>
      <c r="C595" s="357"/>
      <c r="D595" s="180">
        <v>4</v>
      </c>
      <c r="E595" s="121" t="s">
        <v>163</v>
      </c>
      <c r="F595" s="61" t="s">
        <v>164</v>
      </c>
      <c r="G595" s="61">
        <v>1</v>
      </c>
      <c r="H595" s="61">
        <v>4</v>
      </c>
      <c r="I595" s="61" t="s">
        <v>165</v>
      </c>
      <c r="J595" s="61"/>
      <c r="K595" s="61"/>
      <c r="L595" s="121"/>
    </row>
    <row r="596" spans="2:12">
      <c r="B596" s="359"/>
      <c r="C596" s="357"/>
      <c r="D596" s="180">
        <v>5</v>
      </c>
      <c r="E596" s="121" t="s">
        <v>172</v>
      </c>
      <c r="F596" s="61" t="s">
        <v>173</v>
      </c>
      <c r="G596" s="61">
        <v>2</v>
      </c>
      <c r="H596" s="61">
        <v>1</v>
      </c>
      <c r="I596" s="61">
        <v>1</v>
      </c>
      <c r="J596" s="61">
        <v>1</v>
      </c>
      <c r="K596" s="61"/>
      <c r="L596" s="121"/>
    </row>
    <row r="597" spans="2:12">
      <c r="B597" s="359"/>
      <c r="C597" s="357"/>
      <c r="D597" s="180">
        <v>6</v>
      </c>
      <c r="E597" s="180"/>
      <c r="F597" s="61" t="s">
        <v>1933</v>
      </c>
      <c r="G597" s="61">
        <v>100</v>
      </c>
      <c r="H597" s="61"/>
      <c r="I597" s="61"/>
      <c r="J597" s="61"/>
      <c r="K597" s="61"/>
      <c r="L597" s="180"/>
    </row>
    <row r="598" spans="2:12">
      <c r="B598" s="359"/>
      <c r="C598" s="357"/>
      <c r="D598" s="180">
        <v>7</v>
      </c>
      <c r="E598" s="180" t="s">
        <v>1524</v>
      </c>
      <c r="F598" s="61" t="s">
        <v>81</v>
      </c>
      <c r="G598" s="61" t="s">
        <v>1517</v>
      </c>
      <c r="H598" s="61"/>
      <c r="I598" s="61"/>
      <c r="J598" s="61"/>
      <c r="K598" s="61"/>
      <c r="L598" s="180"/>
    </row>
    <row r="599" spans="2:12">
      <c r="B599" s="359"/>
      <c r="C599" s="357"/>
      <c r="D599" s="180">
        <v>8</v>
      </c>
      <c r="E599" s="121" t="s">
        <v>163</v>
      </c>
      <c r="F599" s="61" t="s">
        <v>164</v>
      </c>
      <c r="G599" s="61">
        <v>1</v>
      </c>
      <c r="H599" s="61">
        <v>4</v>
      </c>
      <c r="I599" s="61" t="s">
        <v>180</v>
      </c>
      <c r="J599" s="61"/>
      <c r="K599" s="61"/>
      <c r="L599" s="121"/>
    </row>
    <row r="600" spans="2:12">
      <c r="B600" s="359"/>
      <c r="C600" s="357"/>
      <c r="D600" s="180">
        <v>9</v>
      </c>
      <c r="E600" s="121" t="s">
        <v>293</v>
      </c>
      <c r="F600" s="61" t="s">
        <v>127</v>
      </c>
      <c r="G600" s="61">
        <v>1</v>
      </c>
      <c r="H600" s="61">
        <v>1</v>
      </c>
      <c r="I600" s="61">
        <v>1</v>
      </c>
      <c r="J600" s="61"/>
      <c r="K600" s="61"/>
      <c r="L600" s="121"/>
    </row>
    <row r="601" spans="2:12">
      <c r="B601" s="359"/>
      <c r="C601" s="357"/>
      <c r="D601" s="180">
        <v>10</v>
      </c>
      <c r="E601" s="121" t="s">
        <v>194</v>
      </c>
      <c r="F601" s="61" t="s">
        <v>125</v>
      </c>
      <c r="G601" s="61" t="s">
        <v>1546</v>
      </c>
      <c r="H601" s="61"/>
      <c r="I601" s="61"/>
      <c r="J601" s="61"/>
      <c r="K601" s="61"/>
      <c r="L601" s="121"/>
    </row>
    <row r="602" spans="2:12">
      <c r="B602" s="359"/>
      <c r="C602" s="357"/>
      <c r="D602" s="180">
        <v>11</v>
      </c>
      <c r="E602" s="180" t="s">
        <v>195</v>
      </c>
      <c r="F602" s="61" t="s">
        <v>81</v>
      </c>
      <c r="G602" s="61" t="s">
        <v>196</v>
      </c>
      <c r="H602" s="61" t="s">
        <v>197</v>
      </c>
      <c r="I602" s="61" t="s">
        <v>197</v>
      </c>
      <c r="J602" s="61"/>
      <c r="K602" s="61"/>
      <c r="L602" s="180"/>
    </row>
    <row r="603" spans="2:12">
      <c r="B603" s="359"/>
      <c r="C603" s="357"/>
      <c r="D603" s="180">
        <v>12</v>
      </c>
      <c r="E603" s="180"/>
      <c r="F603" s="61" t="s">
        <v>81</v>
      </c>
      <c r="G603" s="61" t="s">
        <v>198</v>
      </c>
      <c r="H603" s="61" t="s">
        <v>199</v>
      </c>
      <c r="I603" s="61" t="s">
        <v>197</v>
      </c>
      <c r="J603" s="61" t="s">
        <v>197</v>
      </c>
      <c r="K603" s="61"/>
      <c r="L603" s="180"/>
    </row>
    <row r="604" spans="2:12">
      <c r="B604" s="359"/>
      <c r="C604" s="357"/>
      <c r="D604" s="180">
        <v>13</v>
      </c>
      <c r="E604" s="121" t="s">
        <v>146</v>
      </c>
      <c r="F604" s="61" t="s">
        <v>123</v>
      </c>
      <c r="G604" s="61"/>
      <c r="H604" s="61"/>
      <c r="I604" s="61"/>
      <c r="J604" s="61"/>
      <c r="K604" s="61"/>
      <c r="L604" s="121"/>
    </row>
    <row r="605" spans="2:12">
      <c r="B605" s="359"/>
      <c r="C605" s="358"/>
      <c r="D605" s="121"/>
      <c r="E605" s="121"/>
      <c r="F605" s="61"/>
      <c r="G605" s="61"/>
      <c r="H605" s="61"/>
      <c r="I605" s="61"/>
      <c r="J605" s="61"/>
      <c r="K605" s="61"/>
      <c r="L605" s="121"/>
    </row>
    <row r="606" spans="2:12">
      <c r="B606" s="359" t="s">
        <v>1292</v>
      </c>
      <c r="C606" s="356" t="s">
        <v>1475</v>
      </c>
      <c r="D606" s="60">
        <v>1</v>
      </c>
      <c r="E606" s="148" t="s">
        <v>1608</v>
      </c>
      <c r="F606" s="61" t="s">
        <v>87</v>
      </c>
      <c r="G606" s="61" t="s">
        <v>1609</v>
      </c>
      <c r="H606" s="61"/>
      <c r="I606" s="61"/>
      <c r="J606" s="61"/>
      <c r="K606" s="61"/>
      <c r="L606" s="60"/>
    </row>
    <row r="607" spans="2:12">
      <c r="B607" s="359"/>
      <c r="C607" s="357"/>
      <c r="D607" s="60">
        <v>2</v>
      </c>
      <c r="E607" s="60" t="s">
        <v>142</v>
      </c>
      <c r="F607" s="61" t="s">
        <v>122</v>
      </c>
      <c r="G607" s="61"/>
      <c r="H607" s="61"/>
      <c r="I607" s="61"/>
      <c r="J607" s="61"/>
      <c r="K607" s="61"/>
      <c r="L607" s="60"/>
    </row>
    <row r="608" spans="2:12">
      <c r="B608" s="359"/>
      <c r="C608" s="357"/>
      <c r="D608" s="60">
        <v>3</v>
      </c>
      <c r="E608" s="60" t="s">
        <v>36</v>
      </c>
      <c r="F608" s="61" t="s">
        <v>126</v>
      </c>
      <c r="G608" s="61">
        <v>1</v>
      </c>
      <c r="H608" s="61">
        <v>1</v>
      </c>
      <c r="I608" s="61"/>
      <c r="J608" s="61"/>
      <c r="K608" s="61"/>
      <c r="L608" s="60"/>
    </row>
    <row r="609" spans="2:12">
      <c r="B609" s="359"/>
      <c r="C609" s="357"/>
      <c r="D609" s="60">
        <v>4</v>
      </c>
      <c r="E609" s="60" t="s">
        <v>163</v>
      </c>
      <c r="F609" s="61" t="s">
        <v>164</v>
      </c>
      <c r="G609" s="61">
        <v>1</v>
      </c>
      <c r="H609" s="61">
        <v>4</v>
      </c>
      <c r="I609" s="61" t="s">
        <v>165</v>
      </c>
      <c r="J609" s="61"/>
      <c r="K609" s="61"/>
      <c r="L609" s="60"/>
    </row>
    <row r="610" spans="2:12">
      <c r="B610" s="359"/>
      <c r="C610" s="357"/>
      <c r="D610" s="60">
        <v>5</v>
      </c>
      <c r="E610" s="60" t="s">
        <v>172</v>
      </c>
      <c r="F610" s="61" t="s">
        <v>173</v>
      </c>
      <c r="G610" s="61">
        <v>2</v>
      </c>
      <c r="H610" s="61">
        <v>1</v>
      </c>
      <c r="I610" s="61">
        <v>1</v>
      </c>
      <c r="J610" s="61">
        <v>1</v>
      </c>
      <c r="K610" s="61"/>
      <c r="L610" s="60"/>
    </row>
    <row r="611" spans="2:12">
      <c r="B611" s="359"/>
      <c r="C611" s="357"/>
      <c r="D611" s="60">
        <v>6</v>
      </c>
      <c r="E611" s="60"/>
      <c r="F611" s="61" t="s">
        <v>125</v>
      </c>
      <c r="G611" s="61">
        <v>1000</v>
      </c>
      <c r="H611" s="61"/>
      <c r="I611" s="61"/>
      <c r="J611" s="61"/>
      <c r="K611" s="61"/>
      <c r="L611" s="60"/>
    </row>
    <row r="612" spans="2:12">
      <c r="B612" s="359"/>
      <c r="C612" s="357"/>
      <c r="D612" s="60">
        <v>7</v>
      </c>
      <c r="E612" s="60" t="s">
        <v>163</v>
      </c>
      <c r="F612" s="61" t="s">
        <v>164</v>
      </c>
      <c r="G612" s="61">
        <v>1</v>
      </c>
      <c r="H612" s="61">
        <v>4</v>
      </c>
      <c r="I612" s="61" t="s">
        <v>180</v>
      </c>
      <c r="J612" s="61"/>
      <c r="K612" s="61"/>
      <c r="L612" s="60"/>
    </row>
    <row r="613" spans="2:12">
      <c r="B613" s="359"/>
      <c r="C613" s="357"/>
      <c r="D613" s="60">
        <v>8</v>
      </c>
      <c r="E613" s="60" t="s">
        <v>293</v>
      </c>
      <c r="F613" s="61" t="s">
        <v>127</v>
      </c>
      <c r="G613" s="61">
        <v>1</v>
      </c>
      <c r="H613" s="61">
        <v>1</v>
      </c>
      <c r="I613" s="61">
        <v>1</v>
      </c>
      <c r="J613" s="61"/>
      <c r="K613" s="61"/>
      <c r="L613" s="60"/>
    </row>
    <row r="614" spans="2:12">
      <c r="B614" s="359"/>
      <c r="C614" s="357"/>
      <c r="D614" s="60">
        <v>9</v>
      </c>
      <c r="E614" s="60" t="s">
        <v>313</v>
      </c>
      <c r="F614" s="61" t="s">
        <v>125</v>
      </c>
      <c r="G614" s="61">
        <v>10000</v>
      </c>
      <c r="H614" s="61"/>
      <c r="I614" s="61"/>
      <c r="J614" s="61"/>
      <c r="K614" s="61"/>
      <c r="L614" s="60"/>
    </row>
    <row r="615" spans="2:12">
      <c r="B615" s="359"/>
      <c r="C615" s="357"/>
      <c r="D615" s="60">
        <v>10</v>
      </c>
      <c r="E615" s="60" t="s">
        <v>146</v>
      </c>
      <c r="F615" s="61" t="s">
        <v>123</v>
      </c>
      <c r="G615" s="61"/>
      <c r="H615" s="61"/>
      <c r="I615" s="61"/>
      <c r="J615" s="61"/>
      <c r="K615" s="61"/>
      <c r="L615" s="60"/>
    </row>
    <row r="616" spans="2:12">
      <c r="B616" s="359"/>
      <c r="C616" s="358"/>
      <c r="D616" s="60"/>
      <c r="E616" s="60"/>
      <c r="F616" s="61"/>
      <c r="G616" s="61"/>
      <c r="H616" s="61"/>
      <c r="I616" s="61"/>
      <c r="J616" s="61"/>
      <c r="K616" s="61"/>
      <c r="L616" s="60"/>
    </row>
    <row r="617" spans="2:12">
      <c r="B617" s="370" t="s">
        <v>1348</v>
      </c>
      <c r="C617" s="356" t="s">
        <v>1475</v>
      </c>
      <c r="D617" s="127">
        <v>1</v>
      </c>
      <c r="E617" s="148" t="s">
        <v>1608</v>
      </c>
      <c r="F617" s="61" t="s">
        <v>87</v>
      </c>
      <c r="G617" s="61" t="s">
        <v>1609</v>
      </c>
      <c r="H617" s="61"/>
      <c r="I617" s="61"/>
      <c r="J617" s="61"/>
      <c r="K617" s="61"/>
      <c r="L617" s="127"/>
    </row>
    <row r="618" spans="2:12">
      <c r="B618" s="368"/>
      <c r="C618" s="357"/>
      <c r="D618" s="127">
        <v>2</v>
      </c>
      <c r="E618" s="127" t="s">
        <v>142</v>
      </c>
      <c r="F618" s="61" t="s">
        <v>122</v>
      </c>
      <c r="G618" s="61"/>
      <c r="H618" s="61"/>
      <c r="I618" s="61"/>
      <c r="J618" s="61"/>
      <c r="K618" s="61"/>
      <c r="L618" s="127"/>
    </row>
    <row r="619" spans="2:12">
      <c r="B619" s="368"/>
      <c r="C619" s="357"/>
      <c r="D619" s="180">
        <v>3</v>
      </c>
      <c r="E619" s="127" t="s">
        <v>36</v>
      </c>
      <c r="F619" s="61" t="s">
        <v>126</v>
      </c>
      <c r="G619" s="61">
        <v>1</v>
      </c>
      <c r="H619" s="61">
        <v>10</v>
      </c>
      <c r="I619" s="61"/>
      <c r="J619" s="61"/>
      <c r="K619" s="61"/>
      <c r="L619" s="127"/>
    </row>
    <row r="620" spans="2:12">
      <c r="B620" s="368"/>
      <c r="C620" s="357"/>
      <c r="D620" s="180">
        <v>4</v>
      </c>
      <c r="E620" s="127"/>
      <c r="F620" s="61" t="s">
        <v>125</v>
      </c>
      <c r="G620" s="61">
        <v>100</v>
      </c>
      <c r="H620" s="61"/>
      <c r="I620" s="61"/>
      <c r="J620" s="61"/>
      <c r="K620" s="61"/>
      <c r="L620" s="127"/>
    </row>
    <row r="621" spans="2:12">
      <c r="B621" s="368"/>
      <c r="C621" s="357"/>
      <c r="D621" s="180">
        <v>5</v>
      </c>
      <c r="E621" s="127" t="s">
        <v>166</v>
      </c>
      <c r="F621" s="61" t="s">
        <v>127</v>
      </c>
      <c r="G621" s="61">
        <v>1</v>
      </c>
      <c r="H621" s="61">
        <v>10</v>
      </c>
      <c r="I621" s="61">
        <v>1</v>
      </c>
      <c r="J621" s="61"/>
      <c r="K621" s="61"/>
      <c r="L621" s="127"/>
    </row>
    <row r="622" spans="2:12">
      <c r="B622" s="368"/>
      <c r="C622" s="357"/>
      <c r="D622" s="180">
        <v>6</v>
      </c>
      <c r="E622" s="127" t="s">
        <v>163</v>
      </c>
      <c r="F622" s="61" t="s">
        <v>164</v>
      </c>
      <c r="G622" s="61">
        <v>1</v>
      </c>
      <c r="H622" s="61">
        <v>4</v>
      </c>
      <c r="I622" s="61" t="s">
        <v>165</v>
      </c>
      <c r="J622" s="61"/>
      <c r="K622" s="61"/>
      <c r="L622" s="127"/>
    </row>
    <row r="623" spans="2:12">
      <c r="B623" s="368"/>
      <c r="C623" s="357"/>
      <c r="D623" s="180">
        <v>7</v>
      </c>
      <c r="E623" s="127"/>
      <c r="F623" s="61" t="s">
        <v>125</v>
      </c>
      <c r="G623" s="61">
        <v>100</v>
      </c>
      <c r="H623" s="61"/>
      <c r="I623" s="61"/>
      <c r="J623" s="61"/>
      <c r="K623" s="61"/>
      <c r="L623" s="127"/>
    </row>
    <row r="624" spans="2:12">
      <c r="B624" s="368"/>
      <c r="C624" s="357"/>
      <c r="D624" s="180">
        <v>8</v>
      </c>
      <c r="E624" s="180" t="s">
        <v>1524</v>
      </c>
      <c r="F624" s="61" t="s">
        <v>81</v>
      </c>
      <c r="G624" s="61" t="s">
        <v>1517</v>
      </c>
      <c r="H624" s="61"/>
      <c r="I624" s="61"/>
      <c r="J624" s="61"/>
      <c r="K624" s="61"/>
      <c r="L624" s="180"/>
    </row>
    <row r="625" spans="2:12">
      <c r="B625" s="368"/>
      <c r="C625" s="357"/>
      <c r="D625" s="180">
        <v>9</v>
      </c>
      <c r="E625" s="127" t="s">
        <v>166</v>
      </c>
      <c r="F625" s="61" t="s">
        <v>127</v>
      </c>
      <c r="G625" s="61">
        <v>1</v>
      </c>
      <c r="H625" s="61">
        <v>5</v>
      </c>
      <c r="I625" s="61">
        <v>3</v>
      </c>
      <c r="J625" s="61"/>
      <c r="K625" s="61"/>
      <c r="L625" s="127"/>
    </row>
    <row r="626" spans="2:12">
      <c r="B626" s="368"/>
      <c r="C626" s="357"/>
      <c r="D626" s="180">
        <v>10</v>
      </c>
      <c r="E626" s="127" t="s">
        <v>194</v>
      </c>
      <c r="F626" s="61" t="s">
        <v>125</v>
      </c>
      <c r="G626" s="61" t="s">
        <v>1546</v>
      </c>
      <c r="H626" s="61"/>
      <c r="I626" s="61"/>
      <c r="J626" s="61"/>
      <c r="K626" s="61"/>
      <c r="L626" s="127"/>
    </row>
    <row r="627" spans="2:12">
      <c r="B627" s="368"/>
      <c r="C627" s="357"/>
      <c r="D627" s="180">
        <v>11</v>
      </c>
      <c r="E627" s="180" t="s">
        <v>195</v>
      </c>
      <c r="F627" s="61" t="s">
        <v>81</v>
      </c>
      <c r="G627" s="61" t="s">
        <v>196</v>
      </c>
      <c r="H627" s="61" t="s">
        <v>197</v>
      </c>
      <c r="I627" s="61" t="s">
        <v>197</v>
      </c>
      <c r="J627" s="61"/>
      <c r="K627" s="61"/>
      <c r="L627" s="180"/>
    </row>
    <row r="628" spans="2:12">
      <c r="B628" s="368"/>
      <c r="C628" s="357"/>
      <c r="D628" s="180">
        <v>12</v>
      </c>
      <c r="E628" s="180"/>
      <c r="F628" s="61" t="s">
        <v>81</v>
      </c>
      <c r="G628" s="61" t="s">
        <v>198</v>
      </c>
      <c r="H628" s="61" t="s">
        <v>199</v>
      </c>
      <c r="I628" s="61" t="s">
        <v>197</v>
      </c>
      <c r="J628" s="61" t="s">
        <v>197</v>
      </c>
      <c r="K628" s="61"/>
      <c r="L628" s="180"/>
    </row>
    <row r="629" spans="2:12">
      <c r="B629" s="368"/>
      <c r="C629" s="357"/>
      <c r="D629" s="180">
        <v>13</v>
      </c>
      <c r="E629" s="127" t="s">
        <v>146</v>
      </c>
      <c r="F629" s="61" t="s">
        <v>123</v>
      </c>
      <c r="G629" s="61"/>
      <c r="H629" s="61"/>
      <c r="I629" s="61"/>
      <c r="J629" s="61"/>
      <c r="K629" s="61"/>
      <c r="L629" s="127"/>
    </row>
    <row r="630" spans="2:12">
      <c r="B630" s="369"/>
      <c r="C630" s="358"/>
      <c r="D630" s="127"/>
      <c r="E630" s="127"/>
      <c r="F630" s="61"/>
      <c r="G630" s="61"/>
      <c r="H630" s="61"/>
      <c r="I630" s="61"/>
      <c r="J630" s="61"/>
      <c r="K630" s="61"/>
      <c r="L630" s="127"/>
    </row>
    <row r="631" spans="2:12">
      <c r="B631" s="370" t="s">
        <v>1349</v>
      </c>
      <c r="C631" s="356" t="s">
        <v>1475</v>
      </c>
      <c r="D631" s="60">
        <v>1</v>
      </c>
      <c r="E631" s="148" t="s">
        <v>1608</v>
      </c>
      <c r="F631" s="61" t="s">
        <v>87</v>
      </c>
      <c r="G631" s="61" t="s">
        <v>1609</v>
      </c>
      <c r="H631" s="61"/>
      <c r="I631" s="61"/>
      <c r="J631" s="61"/>
      <c r="K631" s="61"/>
      <c r="L631" s="60"/>
    </row>
    <row r="632" spans="2:12">
      <c r="B632" s="368"/>
      <c r="C632" s="357"/>
      <c r="D632" s="60">
        <v>2</v>
      </c>
      <c r="E632" s="60" t="s">
        <v>142</v>
      </c>
      <c r="F632" s="61" t="s">
        <v>122</v>
      </c>
      <c r="G632" s="61"/>
      <c r="H632" s="61"/>
      <c r="I632" s="61"/>
      <c r="J632" s="61"/>
      <c r="K632" s="61"/>
      <c r="L632" s="60"/>
    </row>
    <row r="633" spans="2:12">
      <c r="B633" s="368"/>
      <c r="C633" s="357"/>
      <c r="D633" s="60">
        <v>3</v>
      </c>
      <c r="E633" s="60" t="s">
        <v>36</v>
      </c>
      <c r="F633" s="61" t="s">
        <v>126</v>
      </c>
      <c r="G633" s="61">
        <v>1</v>
      </c>
      <c r="H633" s="61">
        <v>10</v>
      </c>
      <c r="I633" s="61"/>
      <c r="J633" s="61"/>
      <c r="K633" s="61"/>
      <c r="L633" s="60"/>
    </row>
    <row r="634" spans="2:12">
      <c r="B634" s="368"/>
      <c r="C634" s="357"/>
      <c r="D634" s="60">
        <v>4</v>
      </c>
      <c r="E634" s="60"/>
      <c r="F634" s="61" t="s">
        <v>181</v>
      </c>
      <c r="G634" s="61">
        <v>100</v>
      </c>
      <c r="H634" s="61"/>
      <c r="I634" s="61"/>
      <c r="J634" s="61"/>
      <c r="K634" s="61"/>
      <c r="L634" s="60"/>
    </row>
    <row r="635" spans="2:12">
      <c r="B635" s="368"/>
      <c r="C635" s="357"/>
      <c r="D635" s="60">
        <v>5</v>
      </c>
      <c r="E635" s="60" t="s">
        <v>166</v>
      </c>
      <c r="F635" s="61" t="s">
        <v>182</v>
      </c>
      <c r="G635" s="61">
        <v>1</v>
      </c>
      <c r="H635" s="61">
        <v>10</v>
      </c>
      <c r="I635" s="61">
        <v>1</v>
      </c>
      <c r="J635" s="61"/>
      <c r="K635" s="61"/>
      <c r="L635" s="60"/>
    </row>
    <row r="636" spans="2:12">
      <c r="B636" s="368"/>
      <c r="C636" s="357"/>
      <c r="D636" s="127">
        <v>6</v>
      </c>
      <c r="E636" s="60" t="s">
        <v>183</v>
      </c>
      <c r="F636" s="61" t="s">
        <v>164</v>
      </c>
      <c r="G636" s="61">
        <v>1</v>
      </c>
      <c r="H636" s="61">
        <v>4</v>
      </c>
      <c r="I636" s="61" t="s">
        <v>165</v>
      </c>
      <c r="J636" s="61"/>
      <c r="K636" s="61"/>
      <c r="L636" s="60"/>
    </row>
    <row r="637" spans="2:12">
      <c r="B637" s="368"/>
      <c r="C637" s="357"/>
      <c r="D637" s="127">
        <v>7</v>
      </c>
      <c r="E637" s="60"/>
      <c r="F637" s="61" t="s">
        <v>181</v>
      </c>
      <c r="G637" s="61">
        <v>100</v>
      </c>
      <c r="H637" s="61"/>
      <c r="I637" s="61"/>
      <c r="J637" s="61"/>
      <c r="K637" s="61"/>
      <c r="L637" s="60"/>
    </row>
    <row r="638" spans="2:12">
      <c r="B638" s="368"/>
      <c r="C638" s="357"/>
      <c r="D638" s="127">
        <v>8</v>
      </c>
      <c r="E638" s="60" t="s">
        <v>184</v>
      </c>
      <c r="F638" s="61" t="s">
        <v>127</v>
      </c>
      <c r="G638" s="61">
        <v>1</v>
      </c>
      <c r="H638" s="61">
        <v>5</v>
      </c>
      <c r="I638" s="61">
        <v>3</v>
      </c>
      <c r="J638" s="61"/>
      <c r="K638" s="61"/>
      <c r="L638" s="60"/>
    </row>
    <row r="639" spans="2:12">
      <c r="B639" s="368"/>
      <c r="C639" s="357"/>
      <c r="D639" s="127">
        <v>9</v>
      </c>
      <c r="E639" s="60" t="s">
        <v>313</v>
      </c>
      <c r="F639" s="61" t="s">
        <v>125</v>
      </c>
      <c r="G639" s="61">
        <v>10000</v>
      </c>
      <c r="H639" s="61"/>
      <c r="I639" s="61"/>
      <c r="J639" s="61"/>
      <c r="K639" s="61"/>
      <c r="L639" s="60"/>
    </row>
    <row r="640" spans="2:12">
      <c r="B640" s="368"/>
      <c r="C640" s="357"/>
      <c r="D640" s="127">
        <v>10</v>
      </c>
      <c r="E640" s="60" t="s">
        <v>146</v>
      </c>
      <c r="F640" s="61" t="s">
        <v>123</v>
      </c>
      <c r="G640" s="61"/>
      <c r="H640" s="61"/>
      <c r="I640" s="61"/>
      <c r="J640" s="61"/>
      <c r="K640" s="61"/>
      <c r="L640" s="60"/>
    </row>
    <row r="641" spans="2:12">
      <c r="B641" s="369"/>
      <c r="C641" s="358"/>
      <c r="D641" s="60"/>
      <c r="E641" s="60"/>
      <c r="F641" s="61"/>
      <c r="G641" s="61"/>
      <c r="H641" s="61"/>
      <c r="I641" s="61"/>
      <c r="J641" s="61"/>
      <c r="K641" s="61"/>
      <c r="L641" s="60"/>
    </row>
    <row r="642" spans="2:12">
      <c r="B642" s="370" t="s">
        <v>1350</v>
      </c>
      <c r="C642" s="356" t="s">
        <v>1475</v>
      </c>
      <c r="D642" s="60">
        <v>1</v>
      </c>
      <c r="E642" s="148" t="s">
        <v>1608</v>
      </c>
      <c r="F642" s="61" t="s">
        <v>87</v>
      </c>
      <c r="G642" s="61" t="s">
        <v>1609</v>
      </c>
      <c r="H642" s="61"/>
      <c r="I642" s="61"/>
      <c r="J642" s="61"/>
      <c r="K642" s="61"/>
      <c r="L642" s="60"/>
    </row>
    <row r="643" spans="2:12">
      <c r="B643" s="368"/>
      <c r="C643" s="357"/>
      <c r="D643" s="60">
        <v>2</v>
      </c>
      <c r="E643" s="60" t="s">
        <v>142</v>
      </c>
      <c r="F643" s="61" t="s">
        <v>122</v>
      </c>
      <c r="G643" s="61"/>
      <c r="H643" s="61"/>
      <c r="I643" s="61"/>
      <c r="J643" s="61"/>
      <c r="K643" s="61"/>
      <c r="L643" s="60"/>
    </row>
    <row r="644" spans="2:12">
      <c r="B644" s="368"/>
      <c r="C644" s="357"/>
      <c r="D644" s="180">
        <v>3</v>
      </c>
      <c r="E644" s="60" t="s">
        <v>36</v>
      </c>
      <c r="F644" s="61" t="s">
        <v>126</v>
      </c>
      <c r="G644" s="61">
        <v>1</v>
      </c>
      <c r="H644" s="61">
        <v>10</v>
      </c>
      <c r="I644" s="61"/>
      <c r="J644" s="61"/>
      <c r="K644" s="61"/>
      <c r="L644" s="60"/>
    </row>
    <row r="645" spans="2:12">
      <c r="B645" s="368"/>
      <c r="C645" s="357"/>
      <c r="D645" s="180">
        <v>4</v>
      </c>
      <c r="E645" s="60"/>
      <c r="F645" s="61" t="s">
        <v>181</v>
      </c>
      <c r="G645" s="61">
        <v>100</v>
      </c>
      <c r="H645" s="61"/>
      <c r="I645" s="61"/>
      <c r="J645" s="61"/>
      <c r="K645" s="61"/>
      <c r="L645" s="60"/>
    </row>
    <row r="646" spans="2:12">
      <c r="B646" s="368"/>
      <c r="C646" s="357"/>
      <c r="D646" s="180">
        <v>5</v>
      </c>
      <c r="E646" s="60" t="s">
        <v>166</v>
      </c>
      <c r="F646" s="61" t="s">
        <v>182</v>
      </c>
      <c r="G646" s="61">
        <v>1</v>
      </c>
      <c r="H646" s="61">
        <v>10</v>
      </c>
      <c r="I646" s="61">
        <v>1</v>
      </c>
      <c r="J646" s="61"/>
      <c r="K646" s="61"/>
      <c r="L646" s="60"/>
    </row>
    <row r="647" spans="2:12">
      <c r="B647" s="368"/>
      <c r="C647" s="357"/>
      <c r="D647" s="180">
        <v>6</v>
      </c>
      <c r="E647" s="60" t="s">
        <v>183</v>
      </c>
      <c r="F647" s="61" t="s">
        <v>164</v>
      </c>
      <c r="G647" s="61">
        <v>1</v>
      </c>
      <c r="H647" s="61">
        <v>4</v>
      </c>
      <c r="I647" s="61" t="s">
        <v>165</v>
      </c>
      <c r="J647" s="61"/>
      <c r="K647" s="61"/>
      <c r="L647" s="60"/>
    </row>
    <row r="648" spans="2:12">
      <c r="B648" s="368"/>
      <c r="C648" s="357"/>
      <c r="D648" s="180">
        <v>7</v>
      </c>
      <c r="E648" s="60"/>
      <c r="F648" s="61" t="s">
        <v>181</v>
      </c>
      <c r="G648" s="61">
        <v>100</v>
      </c>
      <c r="H648" s="61"/>
      <c r="I648" s="61"/>
      <c r="J648" s="61"/>
      <c r="K648" s="61"/>
      <c r="L648" s="60"/>
    </row>
    <row r="649" spans="2:12">
      <c r="B649" s="368"/>
      <c r="C649" s="357"/>
      <c r="D649" s="180">
        <v>8</v>
      </c>
      <c r="E649" s="180" t="s">
        <v>1524</v>
      </c>
      <c r="F649" s="61" t="s">
        <v>81</v>
      </c>
      <c r="G649" s="61" t="s">
        <v>1517</v>
      </c>
      <c r="H649" s="61"/>
      <c r="I649" s="61"/>
      <c r="J649" s="61"/>
      <c r="K649" s="61"/>
      <c r="L649" s="180"/>
    </row>
    <row r="650" spans="2:12">
      <c r="B650" s="368"/>
      <c r="C650" s="357"/>
      <c r="D650" s="180">
        <v>9</v>
      </c>
      <c r="E650" s="60" t="s">
        <v>184</v>
      </c>
      <c r="F650" s="61" t="s">
        <v>127</v>
      </c>
      <c r="G650" s="61">
        <v>1</v>
      </c>
      <c r="H650" s="61">
        <v>4</v>
      </c>
      <c r="I650" s="61">
        <v>3</v>
      </c>
      <c r="J650" s="61"/>
      <c r="K650" s="61"/>
      <c r="L650" s="60"/>
    </row>
    <row r="651" spans="2:12">
      <c r="B651" s="368"/>
      <c r="C651" s="357"/>
      <c r="D651" s="180">
        <v>10</v>
      </c>
      <c r="E651" s="142" t="s">
        <v>194</v>
      </c>
      <c r="F651" s="61" t="s">
        <v>125</v>
      </c>
      <c r="G651" s="61" t="s">
        <v>1546</v>
      </c>
      <c r="H651" s="61"/>
      <c r="I651" s="61"/>
      <c r="J651" s="61"/>
      <c r="K651" s="61"/>
      <c r="L651" s="60"/>
    </row>
    <row r="652" spans="2:12">
      <c r="B652" s="368"/>
      <c r="C652" s="357"/>
      <c r="D652" s="180">
        <v>11</v>
      </c>
      <c r="E652" s="180" t="s">
        <v>195</v>
      </c>
      <c r="F652" s="61" t="s">
        <v>81</v>
      </c>
      <c r="G652" s="61" t="s">
        <v>196</v>
      </c>
      <c r="H652" s="61" t="s">
        <v>197</v>
      </c>
      <c r="I652" s="61" t="s">
        <v>197</v>
      </c>
      <c r="J652" s="61"/>
      <c r="K652" s="61"/>
      <c r="L652" s="180"/>
    </row>
    <row r="653" spans="2:12">
      <c r="B653" s="368"/>
      <c r="C653" s="357"/>
      <c r="D653" s="180">
        <v>12</v>
      </c>
      <c r="E653" s="180"/>
      <c r="F653" s="61" t="s">
        <v>81</v>
      </c>
      <c r="G653" s="61" t="s">
        <v>198</v>
      </c>
      <c r="H653" s="61" t="s">
        <v>199</v>
      </c>
      <c r="I653" s="61" t="s">
        <v>197</v>
      </c>
      <c r="J653" s="61" t="s">
        <v>197</v>
      </c>
      <c r="K653" s="61"/>
      <c r="L653" s="180"/>
    </row>
    <row r="654" spans="2:12">
      <c r="B654" s="368"/>
      <c r="C654" s="357"/>
      <c r="D654" s="180">
        <v>13</v>
      </c>
      <c r="E654" s="60" t="s">
        <v>146</v>
      </c>
      <c r="F654" s="61" t="s">
        <v>123</v>
      </c>
      <c r="G654" s="61"/>
      <c r="H654" s="61"/>
      <c r="I654" s="61"/>
      <c r="J654" s="61"/>
      <c r="K654" s="61"/>
      <c r="L654" s="60"/>
    </row>
    <row r="655" spans="2:12">
      <c r="B655" s="369"/>
      <c r="C655" s="358"/>
      <c r="D655" s="60"/>
      <c r="E655" s="60"/>
      <c r="F655" s="61"/>
      <c r="G655" s="61"/>
      <c r="H655" s="61"/>
      <c r="I655" s="61"/>
      <c r="J655" s="61"/>
      <c r="K655" s="61"/>
      <c r="L655" s="60"/>
    </row>
    <row r="656" spans="2:12">
      <c r="B656" s="370" t="s">
        <v>1351</v>
      </c>
      <c r="C656" s="356" t="s">
        <v>1475</v>
      </c>
      <c r="D656" s="127">
        <v>1</v>
      </c>
      <c r="E656" s="148" t="s">
        <v>1608</v>
      </c>
      <c r="F656" s="61" t="s">
        <v>87</v>
      </c>
      <c r="G656" s="61" t="s">
        <v>1609</v>
      </c>
      <c r="H656" s="61"/>
      <c r="I656" s="61"/>
      <c r="J656" s="61"/>
      <c r="K656" s="61"/>
      <c r="L656" s="127"/>
    </row>
    <row r="657" spans="2:12">
      <c r="B657" s="368"/>
      <c r="C657" s="357"/>
      <c r="D657" s="127">
        <v>2</v>
      </c>
      <c r="E657" s="127" t="s">
        <v>142</v>
      </c>
      <c r="F657" s="61" t="s">
        <v>122</v>
      </c>
      <c r="G657" s="61"/>
      <c r="H657" s="61"/>
      <c r="I657" s="61"/>
      <c r="J657" s="61"/>
      <c r="K657" s="61"/>
      <c r="L657" s="127"/>
    </row>
    <row r="658" spans="2:12">
      <c r="B658" s="368"/>
      <c r="C658" s="357"/>
      <c r="D658" s="127">
        <v>3</v>
      </c>
      <c r="E658" s="127" t="s">
        <v>36</v>
      </c>
      <c r="F658" s="61" t="s">
        <v>126</v>
      </c>
      <c r="G658" s="61">
        <v>1</v>
      </c>
      <c r="H658" s="61">
        <v>10</v>
      </c>
      <c r="I658" s="61"/>
      <c r="J658" s="61"/>
      <c r="K658" s="61"/>
      <c r="L658" s="127"/>
    </row>
    <row r="659" spans="2:12">
      <c r="B659" s="368"/>
      <c r="C659" s="357"/>
      <c r="D659" s="127">
        <v>4</v>
      </c>
      <c r="E659" s="127"/>
      <c r="F659" s="61" t="s">
        <v>125</v>
      </c>
      <c r="G659" s="61">
        <v>100</v>
      </c>
      <c r="H659" s="61"/>
      <c r="I659" s="61"/>
      <c r="J659" s="61"/>
      <c r="K659" s="61"/>
      <c r="L659" s="127"/>
    </row>
    <row r="660" spans="2:12">
      <c r="B660" s="368"/>
      <c r="C660" s="357"/>
      <c r="D660" s="127">
        <v>5</v>
      </c>
      <c r="E660" s="127" t="s">
        <v>166</v>
      </c>
      <c r="F660" s="61" t="s">
        <v>127</v>
      </c>
      <c r="G660" s="61">
        <v>1</v>
      </c>
      <c r="H660" s="61">
        <v>10</v>
      </c>
      <c r="I660" s="61">
        <v>1</v>
      </c>
      <c r="J660" s="61"/>
      <c r="K660" s="61"/>
      <c r="L660" s="127"/>
    </row>
    <row r="661" spans="2:12">
      <c r="B661" s="368"/>
      <c r="C661" s="357"/>
      <c r="D661" s="127">
        <v>6</v>
      </c>
      <c r="E661" s="127" t="s">
        <v>163</v>
      </c>
      <c r="F661" s="61" t="s">
        <v>164</v>
      </c>
      <c r="G661" s="61">
        <v>1</v>
      </c>
      <c r="H661" s="61">
        <v>4</v>
      </c>
      <c r="I661" s="61" t="s">
        <v>165</v>
      </c>
      <c r="J661" s="61"/>
      <c r="K661" s="61"/>
      <c r="L661" s="127"/>
    </row>
    <row r="662" spans="2:12">
      <c r="B662" s="368"/>
      <c r="C662" s="357"/>
      <c r="D662" s="127">
        <v>7</v>
      </c>
      <c r="E662" s="127"/>
      <c r="F662" s="61" t="s">
        <v>125</v>
      </c>
      <c r="G662" s="61">
        <v>100</v>
      </c>
      <c r="H662" s="61"/>
      <c r="I662" s="61"/>
      <c r="J662" s="61"/>
      <c r="K662" s="61"/>
      <c r="L662" s="127"/>
    </row>
    <row r="663" spans="2:12">
      <c r="B663" s="368"/>
      <c r="C663" s="357"/>
      <c r="D663" s="127">
        <v>8</v>
      </c>
      <c r="E663" s="127" t="s">
        <v>166</v>
      </c>
      <c r="F663" s="61" t="s">
        <v>127</v>
      </c>
      <c r="G663" s="61">
        <v>1</v>
      </c>
      <c r="H663" s="61">
        <v>4</v>
      </c>
      <c r="I663" s="61">
        <v>3</v>
      </c>
      <c r="J663" s="61"/>
      <c r="K663" s="61"/>
      <c r="L663" s="127"/>
    </row>
    <row r="664" spans="2:12">
      <c r="B664" s="368"/>
      <c r="C664" s="357"/>
      <c r="D664" s="127">
        <v>9</v>
      </c>
      <c r="E664" s="127" t="s">
        <v>313</v>
      </c>
      <c r="F664" s="61" t="s">
        <v>125</v>
      </c>
      <c r="G664" s="61">
        <v>10000</v>
      </c>
      <c r="H664" s="61"/>
      <c r="I664" s="61"/>
      <c r="J664" s="61"/>
      <c r="K664" s="61"/>
      <c r="L664" s="127"/>
    </row>
    <row r="665" spans="2:12">
      <c r="B665" s="368"/>
      <c r="C665" s="357"/>
      <c r="D665" s="127">
        <v>10</v>
      </c>
      <c r="E665" s="127" t="s">
        <v>146</v>
      </c>
      <c r="F665" s="61" t="s">
        <v>123</v>
      </c>
      <c r="G665" s="61"/>
      <c r="H665" s="61"/>
      <c r="I665" s="61"/>
      <c r="J665" s="61"/>
      <c r="K665" s="61"/>
      <c r="L665" s="127"/>
    </row>
    <row r="666" spans="2:12">
      <c r="B666" s="369"/>
      <c r="C666" s="358"/>
      <c r="D666" s="127"/>
      <c r="E666" s="127"/>
      <c r="F666" s="61"/>
      <c r="G666" s="61"/>
      <c r="H666" s="61"/>
      <c r="I666" s="61"/>
      <c r="J666" s="61"/>
      <c r="K666" s="61"/>
      <c r="L666" s="127"/>
    </row>
    <row r="667" spans="2:12">
      <c r="B667" s="370" t="s">
        <v>1352</v>
      </c>
      <c r="C667" s="356" t="s">
        <v>1475</v>
      </c>
      <c r="D667" s="127">
        <v>1</v>
      </c>
      <c r="E667" s="148" t="s">
        <v>1608</v>
      </c>
      <c r="F667" s="61" t="s">
        <v>87</v>
      </c>
      <c r="G667" s="61" t="s">
        <v>1609</v>
      </c>
      <c r="H667" s="61"/>
      <c r="I667" s="61"/>
      <c r="J667" s="61"/>
      <c r="K667" s="61"/>
      <c r="L667" s="127"/>
    </row>
    <row r="668" spans="2:12">
      <c r="B668" s="368"/>
      <c r="C668" s="357"/>
      <c r="D668" s="127">
        <v>2</v>
      </c>
      <c r="E668" s="127" t="s">
        <v>142</v>
      </c>
      <c r="F668" s="61" t="s">
        <v>122</v>
      </c>
      <c r="G668" s="61"/>
      <c r="H668" s="61"/>
      <c r="I668" s="61"/>
      <c r="J668" s="61"/>
      <c r="K668" s="61"/>
      <c r="L668" s="127"/>
    </row>
    <row r="669" spans="2:12">
      <c r="B669" s="368"/>
      <c r="C669" s="357"/>
      <c r="D669" s="180">
        <v>3</v>
      </c>
      <c r="E669" s="127" t="s">
        <v>36</v>
      </c>
      <c r="F669" s="61" t="s">
        <v>126</v>
      </c>
      <c r="G669" s="61">
        <v>1</v>
      </c>
      <c r="H669" s="61">
        <v>10</v>
      </c>
      <c r="I669" s="61"/>
      <c r="J669" s="61"/>
      <c r="K669" s="61"/>
      <c r="L669" s="127"/>
    </row>
    <row r="670" spans="2:12">
      <c r="B670" s="368"/>
      <c r="C670" s="357"/>
      <c r="D670" s="180">
        <v>4</v>
      </c>
      <c r="E670" s="127"/>
      <c r="F670" s="61" t="s">
        <v>125</v>
      </c>
      <c r="G670" s="61">
        <v>100</v>
      </c>
      <c r="H670" s="61"/>
      <c r="I670" s="61"/>
      <c r="J670" s="61"/>
      <c r="K670" s="61"/>
      <c r="L670" s="127"/>
    </row>
    <row r="671" spans="2:12">
      <c r="B671" s="368"/>
      <c r="C671" s="357"/>
      <c r="D671" s="180">
        <v>5</v>
      </c>
      <c r="E671" s="127" t="s">
        <v>166</v>
      </c>
      <c r="F671" s="61" t="s">
        <v>127</v>
      </c>
      <c r="G671" s="61">
        <v>1</v>
      </c>
      <c r="H671" s="61">
        <v>10</v>
      </c>
      <c r="I671" s="61">
        <v>1</v>
      </c>
      <c r="J671" s="61"/>
      <c r="K671" s="61"/>
      <c r="L671" s="127"/>
    </row>
    <row r="672" spans="2:12">
      <c r="B672" s="368"/>
      <c r="C672" s="357"/>
      <c r="D672" s="180">
        <v>6</v>
      </c>
      <c r="E672" s="127" t="s">
        <v>163</v>
      </c>
      <c r="F672" s="61" t="s">
        <v>164</v>
      </c>
      <c r="G672" s="61">
        <v>1</v>
      </c>
      <c r="H672" s="61">
        <v>4</v>
      </c>
      <c r="I672" s="61" t="s">
        <v>165</v>
      </c>
      <c r="J672" s="61"/>
      <c r="K672" s="61"/>
      <c r="L672" s="127"/>
    </row>
    <row r="673" spans="2:12">
      <c r="B673" s="368"/>
      <c r="C673" s="357"/>
      <c r="D673" s="180">
        <v>7</v>
      </c>
      <c r="E673" s="127"/>
      <c r="F673" s="61" t="s">
        <v>125</v>
      </c>
      <c r="G673" s="61">
        <v>100</v>
      </c>
      <c r="H673" s="61"/>
      <c r="I673" s="61"/>
      <c r="J673" s="61"/>
      <c r="K673" s="61"/>
      <c r="L673" s="127"/>
    </row>
    <row r="674" spans="2:12">
      <c r="B674" s="368"/>
      <c r="C674" s="357"/>
      <c r="D674" s="180">
        <v>8</v>
      </c>
      <c r="E674" s="180" t="s">
        <v>1524</v>
      </c>
      <c r="F674" s="61" t="s">
        <v>81</v>
      </c>
      <c r="G674" s="61" t="s">
        <v>1517</v>
      </c>
      <c r="H674" s="61"/>
      <c r="I674" s="61"/>
      <c r="J674" s="61"/>
      <c r="K674" s="61"/>
      <c r="L674" s="180"/>
    </row>
    <row r="675" spans="2:12">
      <c r="B675" s="368"/>
      <c r="C675" s="357"/>
      <c r="D675" s="180">
        <v>9</v>
      </c>
      <c r="E675" s="127" t="s">
        <v>166</v>
      </c>
      <c r="F675" s="61" t="s">
        <v>127</v>
      </c>
      <c r="G675" s="61">
        <v>1</v>
      </c>
      <c r="H675" s="61">
        <v>6</v>
      </c>
      <c r="I675" s="61">
        <v>3</v>
      </c>
      <c r="J675" s="61"/>
      <c r="K675" s="61"/>
      <c r="L675" s="127"/>
    </row>
    <row r="676" spans="2:12">
      <c r="B676" s="368"/>
      <c r="C676" s="357"/>
      <c r="D676" s="180">
        <v>10</v>
      </c>
      <c r="E676" s="142" t="s">
        <v>194</v>
      </c>
      <c r="F676" s="61" t="s">
        <v>125</v>
      </c>
      <c r="G676" s="61" t="s">
        <v>1546</v>
      </c>
      <c r="H676" s="61"/>
      <c r="I676" s="61"/>
      <c r="J676" s="61"/>
      <c r="K676" s="61"/>
      <c r="L676" s="127"/>
    </row>
    <row r="677" spans="2:12">
      <c r="B677" s="368"/>
      <c r="C677" s="357"/>
      <c r="D677" s="180">
        <v>11</v>
      </c>
      <c r="E677" s="180" t="s">
        <v>195</v>
      </c>
      <c r="F677" s="61" t="s">
        <v>81</v>
      </c>
      <c r="G677" s="61" t="s">
        <v>196</v>
      </c>
      <c r="H677" s="61" t="s">
        <v>197</v>
      </c>
      <c r="I677" s="61" t="s">
        <v>197</v>
      </c>
      <c r="J677" s="61"/>
      <c r="K677" s="61"/>
      <c r="L677" s="180"/>
    </row>
    <row r="678" spans="2:12">
      <c r="B678" s="368"/>
      <c r="C678" s="357"/>
      <c r="D678" s="180">
        <v>12</v>
      </c>
      <c r="E678" s="180"/>
      <c r="F678" s="61" t="s">
        <v>81</v>
      </c>
      <c r="G678" s="61" t="s">
        <v>198</v>
      </c>
      <c r="H678" s="61" t="s">
        <v>199</v>
      </c>
      <c r="I678" s="61" t="s">
        <v>197</v>
      </c>
      <c r="J678" s="61" t="s">
        <v>197</v>
      </c>
      <c r="K678" s="61"/>
      <c r="L678" s="180"/>
    </row>
    <row r="679" spans="2:12">
      <c r="B679" s="368"/>
      <c r="C679" s="357"/>
      <c r="D679" s="180">
        <v>13</v>
      </c>
      <c r="E679" s="127" t="s">
        <v>146</v>
      </c>
      <c r="F679" s="61" t="s">
        <v>123</v>
      </c>
      <c r="G679" s="61"/>
      <c r="H679" s="61"/>
      <c r="I679" s="61"/>
      <c r="J679" s="61"/>
      <c r="K679" s="61"/>
      <c r="L679" s="127"/>
    </row>
    <row r="680" spans="2:12">
      <c r="B680" s="369"/>
      <c r="C680" s="358"/>
      <c r="D680" s="127"/>
      <c r="E680" s="127"/>
      <c r="F680" s="61"/>
      <c r="G680" s="61"/>
      <c r="H680" s="61"/>
      <c r="I680" s="61"/>
      <c r="J680" s="61"/>
      <c r="K680" s="61"/>
      <c r="L680" s="127"/>
    </row>
    <row r="681" spans="2:12">
      <c r="B681" s="370" t="s">
        <v>1353</v>
      </c>
      <c r="C681" s="356" t="s">
        <v>1475</v>
      </c>
      <c r="D681" s="60">
        <v>1</v>
      </c>
      <c r="E681" s="148" t="s">
        <v>1608</v>
      </c>
      <c r="F681" s="61" t="s">
        <v>87</v>
      </c>
      <c r="G681" s="61" t="s">
        <v>1609</v>
      </c>
      <c r="H681" s="61"/>
      <c r="I681" s="61"/>
      <c r="J681" s="61"/>
      <c r="K681" s="61"/>
      <c r="L681" s="60"/>
    </row>
    <row r="682" spans="2:12">
      <c r="B682" s="368"/>
      <c r="C682" s="357"/>
      <c r="D682" s="60">
        <v>2</v>
      </c>
      <c r="E682" s="60" t="s">
        <v>142</v>
      </c>
      <c r="F682" s="61" t="s">
        <v>122</v>
      </c>
      <c r="G682" s="61"/>
      <c r="H682" s="61"/>
      <c r="I682" s="61"/>
      <c r="J682" s="61"/>
      <c r="K682" s="61"/>
      <c r="L682" s="60"/>
    </row>
    <row r="683" spans="2:12">
      <c r="B683" s="368"/>
      <c r="C683" s="357"/>
      <c r="D683" s="60">
        <v>3</v>
      </c>
      <c r="E683" s="60" t="s">
        <v>36</v>
      </c>
      <c r="F683" s="61" t="s">
        <v>126</v>
      </c>
      <c r="G683" s="61">
        <v>1</v>
      </c>
      <c r="H683" s="61">
        <v>10</v>
      </c>
      <c r="I683" s="61"/>
      <c r="J683" s="61"/>
      <c r="K683" s="61"/>
      <c r="L683" s="60"/>
    </row>
    <row r="684" spans="2:12">
      <c r="B684" s="368"/>
      <c r="C684" s="357"/>
      <c r="D684" s="60">
        <v>4</v>
      </c>
      <c r="E684" s="60"/>
      <c r="F684" s="61" t="s">
        <v>181</v>
      </c>
      <c r="G684" s="61">
        <v>100</v>
      </c>
      <c r="H684" s="61"/>
      <c r="I684" s="61"/>
      <c r="J684" s="61"/>
      <c r="K684" s="61"/>
      <c r="L684" s="60"/>
    </row>
    <row r="685" spans="2:12">
      <c r="B685" s="368"/>
      <c r="C685" s="357"/>
      <c r="D685" s="60">
        <v>5</v>
      </c>
      <c r="E685" s="60" t="s">
        <v>166</v>
      </c>
      <c r="F685" s="61" t="s">
        <v>182</v>
      </c>
      <c r="G685" s="61">
        <v>1</v>
      </c>
      <c r="H685" s="61">
        <v>10</v>
      </c>
      <c r="I685" s="61">
        <v>1</v>
      </c>
      <c r="J685" s="61"/>
      <c r="K685" s="61"/>
      <c r="L685" s="60"/>
    </row>
    <row r="686" spans="2:12">
      <c r="B686" s="368"/>
      <c r="C686" s="357"/>
      <c r="D686" s="127">
        <v>6</v>
      </c>
      <c r="E686" s="60" t="s">
        <v>183</v>
      </c>
      <c r="F686" s="61" t="s">
        <v>164</v>
      </c>
      <c r="G686" s="61">
        <v>1</v>
      </c>
      <c r="H686" s="61">
        <v>4</v>
      </c>
      <c r="I686" s="61" t="s">
        <v>165</v>
      </c>
      <c r="J686" s="61"/>
      <c r="K686" s="61"/>
      <c r="L686" s="60"/>
    </row>
    <row r="687" spans="2:12">
      <c r="B687" s="368"/>
      <c r="C687" s="357"/>
      <c r="D687" s="127">
        <v>7</v>
      </c>
      <c r="E687" s="60"/>
      <c r="F687" s="61" t="s">
        <v>181</v>
      </c>
      <c r="G687" s="61">
        <v>100</v>
      </c>
      <c r="H687" s="61"/>
      <c r="I687" s="61"/>
      <c r="J687" s="61"/>
      <c r="K687" s="61"/>
      <c r="L687" s="60"/>
    </row>
    <row r="688" spans="2:12">
      <c r="B688" s="368"/>
      <c r="C688" s="357"/>
      <c r="D688" s="127">
        <v>8</v>
      </c>
      <c r="E688" s="60" t="s">
        <v>184</v>
      </c>
      <c r="F688" s="61" t="s">
        <v>127</v>
      </c>
      <c r="G688" s="61">
        <v>1</v>
      </c>
      <c r="H688" s="61">
        <v>6</v>
      </c>
      <c r="I688" s="61">
        <v>3</v>
      </c>
      <c r="J688" s="61"/>
      <c r="K688" s="61"/>
      <c r="L688" s="60"/>
    </row>
    <row r="689" spans="2:12">
      <c r="B689" s="368"/>
      <c r="C689" s="357"/>
      <c r="D689" s="127">
        <v>9</v>
      </c>
      <c r="E689" s="60" t="s">
        <v>313</v>
      </c>
      <c r="F689" s="61" t="s">
        <v>125</v>
      </c>
      <c r="G689" s="61">
        <v>10000</v>
      </c>
      <c r="H689" s="61"/>
      <c r="I689" s="61"/>
      <c r="J689" s="61"/>
      <c r="K689" s="61"/>
      <c r="L689" s="60"/>
    </row>
    <row r="690" spans="2:12">
      <c r="B690" s="368"/>
      <c r="C690" s="357"/>
      <c r="D690" s="127">
        <v>10</v>
      </c>
      <c r="E690" s="60" t="s">
        <v>146</v>
      </c>
      <c r="F690" s="61" t="s">
        <v>123</v>
      </c>
      <c r="G690" s="61"/>
      <c r="H690" s="61"/>
      <c r="I690" s="61"/>
      <c r="J690" s="61"/>
      <c r="K690" s="61"/>
      <c r="L690" s="60"/>
    </row>
    <row r="691" spans="2:12">
      <c r="B691" s="369"/>
      <c r="C691" s="358"/>
      <c r="D691" s="60"/>
      <c r="E691" s="60"/>
      <c r="F691" s="61"/>
      <c r="G691" s="61"/>
      <c r="H691" s="61"/>
      <c r="I691" s="61"/>
      <c r="J691" s="61"/>
      <c r="K691" s="61"/>
      <c r="L691" s="60"/>
    </row>
    <row r="692" spans="2:12">
      <c r="B692" s="370" t="s">
        <v>1354</v>
      </c>
      <c r="C692" s="356" t="s">
        <v>1475</v>
      </c>
      <c r="D692" s="127">
        <v>1</v>
      </c>
      <c r="E692" s="148" t="s">
        <v>1608</v>
      </c>
      <c r="F692" s="61" t="s">
        <v>87</v>
      </c>
      <c r="G692" s="61" t="s">
        <v>1609</v>
      </c>
      <c r="H692" s="61"/>
      <c r="I692" s="61"/>
      <c r="J692" s="61"/>
      <c r="K692" s="61"/>
      <c r="L692" s="127"/>
    </row>
    <row r="693" spans="2:12">
      <c r="B693" s="368"/>
      <c r="C693" s="357"/>
      <c r="D693" s="127">
        <v>2</v>
      </c>
      <c r="E693" s="127" t="s">
        <v>142</v>
      </c>
      <c r="F693" s="61" t="s">
        <v>122</v>
      </c>
      <c r="G693" s="61"/>
      <c r="H693" s="61"/>
      <c r="I693" s="61"/>
      <c r="J693" s="61"/>
      <c r="K693" s="61"/>
      <c r="L693" s="127"/>
    </row>
    <row r="694" spans="2:12">
      <c r="B694" s="368"/>
      <c r="C694" s="357"/>
      <c r="D694" s="180">
        <v>3</v>
      </c>
      <c r="E694" s="127" t="s">
        <v>36</v>
      </c>
      <c r="F694" s="61" t="s">
        <v>126</v>
      </c>
      <c r="G694" s="61">
        <v>1</v>
      </c>
      <c r="H694" s="61">
        <v>10</v>
      </c>
      <c r="I694" s="61"/>
      <c r="J694" s="61"/>
      <c r="K694" s="61"/>
      <c r="L694" s="127"/>
    </row>
    <row r="695" spans="2:12">
      <c r="B695" s="368"/>
      <c r="C695" s="357"/>
      <c r="D695" s="180">
        <v>4</v>
      </c>
      <c r="E695" s="127"/>
      <c r="F695" s="61" t="s">
        <v>125</v>
      </c>
      <c r="G695" s="61">
        <v>100</v>
      </c>
      <c r="H695" s="61"/>
      <c r="I695" s="61"/>
      <c r="J695" s="61"/>
      <c r="K695" s="61"/>
      <c r="L695" s="127"/>
    </row>
    <row r="696" spans="2:12">
      <c r="B696" s="368"/>
      <c r="C696" s="357"/>
      <c r="D696" s="180">
        <v>5</v>
      </c>
      <c r="E696" s="127" t="s">
        <v>166</v>
      </c>
      <c r="F696" s="61" t="s">
        <v>127</v>
      </c>
      <c r="G696" s="61">
        <v>1</v>
      </c>
      <c r="H696" s="61">
        <v>10</v>
      </c>
      <c r="I696" s="61">
        <v>1</v>
      </c>
      <c r="J696" s="61"/>
      <c r="K696" s="61"/>
      <c r="L696" s="127"/>
    </row>
    <row r="697" spans="2:12">
      <c r="B697" s="368"/>
      <c r="C697" s="357"/>
      <c r="D697" s="180">
        <v>6</v>
      </c>
      <c r="E697" s="127" t="s">
        <v>163</v>
      </c>
      <c r="F697" s="61" t="s">
        <v>164</v>
      </c>
      <c r="G697" s="61">
        <v>1</v>
      </c>
      <c r="H697" s="61">
        <v>4</v>
      </c>
      <c r="I697" s="61" t="s">
        <v>165</v>
      </c>
      <c r="J697" s="61"/>
      <c r="K697" s="61"/>
      <c r="L697" s="127"/>
    </row>
    <row r="698" spans="2:12">
      <c r="B698" s="368"/>
      <c r="C698" s="357"/>
      <c r="D698" s="180">
        <v>7</v>
      </c>
      <c r="E698" s="127"/>
      <c r="F698" s="61" t="s">
        <v>125</v>
      </c>
      <c r="G698" s="61">
        <v>100</v>
      </c>
      <c r="H698" s="61"/>
      <c r="I698" s="61"/>
      <c r="J698" s="61"/>
      <c r="K698" s="61"/>
      <c r="L698" s="127"/>
    </row>
    <row r="699" spans="2:12">
      <c r="B699" s="368"/>
      <c r="C699" s="357"/>
      <c r="D699" s="180">
        <v>8</v>
      </c>
      <c r="E699" s="180" t="s">
        <v>1524</v>
      </c>
      <c r="F699" s="61" t="s">
        <v>81</v>
      </c>
      <c r="G699" s="61" t="s">
        <v>1517</v>
      </c>
      <c r="H699" s="61"/>
      <c r="I699" s="61"/>
      <c r="J699" s="61"/>
      <c r="K699" s="61"/>
      <c r="L699" s="180"/>
    </row>
    <row r="700" spans="2:12">
      <c r="B700" s="368"/>
      <c r="C700" s="357"/>
      <c r="D700" s="180">
        <v>9</v>
      </c>
      <c r="E700" s="127" t="s">
        <v>166</v>
      </c>
      <c r="F700" s="61" t="s">
        <v>127</v>
      </c>
      <c r="G700" s="61">
        <v>1</v>
      </c>
      <c r="H700" s="61">
        <v>3</v>
      </c>
      <c r="I700" s="61">
        <v>3</v>
      </c>
      <c r="J700" s="61"/>
      <c r="K700" s="61"/>
      <c r="L700" s="127"/>
    </row>
    <row r="701" spans="2:12">
      <c r="B701" s="368"/>
      <c r="C701" s="357"/>
      <c r="D701" s="180">
        <v>10</v>
      </c>
      <c r="E701" s="142" t="s">
        <v>194</v>
      </c>
      <c r="F701" s="61" t="s">
        <v>125</v>
      </c>
      <c r="G701" s="61" t="s">
        <v>1546</v>
      </c>
      <c r="H701" s="61"/>
      <c r="I701" s="61"/>
      <c r="J701" s="61"/>
      <c r="K701" s="61"/>
      <c r="L701" s="127"/>
    </row>
    <row r="702" spans="2:12">
      <c r="B702" s="368"/>
      <c r="C702" s="357"/>
      <c r="D702" s="180">
        <v>11</v>
      </c>
      <c r="E702" s="180" t="s">
        <v>195</v>
      </c>
      <c r="F702" s="61" t="s">
        <v>81</v>
      </c>
      <c r="G702" s="61" t="s">
        <v>196</v>
      </c>
      <c r="H702" s="61" t="s">
        <v>197</v>
      </c>
      <c r="I702" s="61" t="s">
        <v>197</v>
      </c>
      <c r="J702" s="61"/>
      <c r="K702" s="61"/>
      <c r="L702" s="180"/>
    </row>
    <row r="703" spans="2:12">
      <c r="B703" s="368"/>
      <c r="C703" s="357"/>
      <c r="D703" s="180">
        <v>12</v>
      </c>
      <c r="E703" s="180"/>
      <c r="F703" s="61" t="s">
        <v>81</v>
      </c>
      <c r="G703" s="61" t="s">
        <v>198</v>
      </c>
      <c r="H703" s="61" t="s">
        <v>199</v>
      </c>
      <c r="I703" s="61" t="s">
        <v>197</v>
      </c>
      <c r="J703" s="61" t="s">
        <v>197</v>
      </c>
      <c r="K703" s="61"/>
      <c r="L703" s="180"/>
    </row>
    <row r="704" spans="2:12">
      <c r="B704" s="368"/>
      <c r="C704" s="357"/>
      <c r="D704" s="180">
        <v>13</v>
      </c>
      <c r="E704" s="127" t="s">
        <v>146</v>
      </c>
      <c r="F704" s="61" t="s">
        <v>123</v>
      </c>
      <c r="G704" s="61"/>
      <c r="H704" s="61"/>
      <c r="I704" s="61"/>
      <c r="J704" s="61"/>
      <c r="K704" s="61"/>
      <c r="L704" s="127"/>
    </row>
    <row r="705" spans="2:12">
      <c r="B705" s="369"/>
      <c r="C705" s="358"/>
      <c r="D705" s="127"/>
      <c r="E705" s="127"/>
      <c r="F705" s="61"/>
      <c r="G705" s="61"/>
      <c r="H705" s="61"/>
      <c r="I705" s="61"/>
      <c r="J705" s="61"/>
      <c r="K705" s="61"/>
      <c r="L705" s="127"/>
    </row>
    <row r="706" spans="2:12">
      <c r="B706" s="370" t="s">
        <v>1355</v>
      </c>
      <c r="C706" s="356" t="s">
        <v>1475</v>
      </c>
      <c r="D706" s="60">
        <v>1</v>
      </c>
      <c r="E706" s="148" t="s">
        <v>1608</v>
      </c>
      <c r="F706" s="61" t="s">
        <v>87</v>
      </c>
      <c r="G706" s="61" t="s">
        <v>1609</v>
      </c>
      <c r="H706" s="61"/>
      <c r="I706" s="61"/>
      <c r="J706" s="61"/>
      <c r="K706" s="61"/>
      <c r="L706" s="60"/>
    </row>
    <row r="707" spans="2:12">
      <c r="B707" s="368"/>
      <c r="C707" s="357"/>
      <c r="D707" s="60">
        <v>2</v>
      </c>
      <c r="E707" s="60" t="s">
        <v>142</v>
      </c>
      <c r="F707" s="61" t="s">
        <v>122</v>
      </c>
      <c r="G707" s="61"/>
      <c r="H707" s="61"/>
      <c r="I707" s="61"/>
      <c r="J707" s="61"/>
      <c r="K707" s="61"/>
      <c r="L707" s="60"/>
    </row>
    <row r="708" spans="2:12">
      <c r="B708" s="368"/>
      <c r="C708" s="357"/>
      <c r="D708" s="60">
        <v>3</v>
      </c>
      <c r="E708" s="60" t="s">
        <v>36</v>
      </c>
      <c r="F708" s="61" t="s">
        <v>126</v>
      </c>
      <c r="G708" s="61">
        <v>1</v>
      </c>
      <c r="H708" s="61">
        <v>10</v>
      </c>
      <c r="I708" s="61"/>
      <c r="J708" s="61"/>
      <c r="K708" s="61"/>
      <c r="L708" s="60"/>
    </row>
    <row r="709" spans="2:12">
      <c r="B709" s="368"/>
      <c r="C709" s="357"/>
      <c r="D709" s="60">
        <v>4</v>
      </c>
      <c r="E709" s="60"/>
      <c r="F709" s="61" t="s">
        <v>181</v>
      </c>
      <c r="G709" s="61">
        <v>100</v>
      </c>
      <c r="H709" s="61"/>
      <c r="I709" s="61"/>
      <c r="J709" s="61"/>
      <c r="K709" s="61"/>
      <c r="L709" s="60"/>
    </row>
    <row r="710" spans="2:12">
      <c r="B710" s="368"/>
      <c r="C710" s="357"/>
      <c r="D710" s="60">
        <v>5</v>
      </c>
      <c r="E710" s="60" t="s">
        <v>166</v>
      </c>
      <c r="F710" s="61" t="s">
        <v>182</v>
      </c>
      <c r="G710" s="61">
        <v>1</v>
      </c>
      <c r="H710" s="61">
        <v>10</v>
      </c>
      <c r="I710" s="61">
        <v>1</v>
      </c>
      <c r="J710" s="61"/>
      <c r="K710" s="61"/>
      <c r="L710" s="60"/>
    </row>
    <row r="711" spans="2:12">
      <c r="B711" s="368"/>
      <c r="C711" s="357"/>
      <c r="D711" s="127">
        <v>6</v>
      </c>
      <c r="E711" s="60" t="s">
        <v>183</v>
      </c>
      <c r="F711" s="61" t="s">
        <v>164</v>
      </c>
      <c r="G711" s="61">
        <v>1</v>
      </c>
      <c r="H711" s="61">
        <v>4</v>
      </c>
      <c r="I711" s="61" t="s">
        <v>165</v>
      </c>
      <c r="J711" s="61"/>
      <c r="K711" s="61"/>
      <c r="L711" s="60"/>
    </row>
    <row r="712" spans="2:12">
      <c r="B712" s="368"/>
      <c r="C712" s="357"/>
      <c r="D712" s="127">
        <v>7</v>
      </c>
      <c r="E712" s="60"/>
      <c r="F712" s="61" t="s">
        <v>181</v>
      </c>
      <c r="G712" s="61">
        <v>100</v>
      </c>
      <c r="H712" s="61"/>
      <c r="I712" s="61"/>
      <c r="J712" s="61"/>
      <c r="K712" s="61"/>
      <c r="L712" s="60"/>
    </row>
    <row r="713" spans="2:12">
      <c r="B713" s="368"/>
      <c r="C713" s="357"/>
      <c r="D713" s="127">
        <v>8</v>
      </c>
      <c r="E713" s="60" t="s">
        <v>184</v>
      </c>
      <c r="F713" s="61" t="s">
        <v>127</v>
      </c>
      <c r="G713" s="61">
        <v>1</v>
      </c>
      <c r="H713" s="61">
        <v>3</v>
      </c>
      <c r="I713" s="61">
        <v>3</v>
      </c>
      <c r="J713" s="61"/>
      <c r="K713" s="61"/>
      <c r="L713" s="60"/>
    </row>
    <row r="714" spans="2:12">
      <c r="B714" s="368"/>
      <c r="C714" s="357"/>
      <c r="D714" s="127">
        <v>9</v>
      </c>
      <c r="E714" s="60" t="s">
        <v>313</v>
      </c>
      <c r="F714" s="61" t="s">
        <v>125</v>
      </c>
      <c r="G714" s="61">
        <v>10000</v>
      </c>
      <c r="H714" s="61"/>
      <c r="I714" s="61"/>
      <c r="J714" s="61"/>
      <c r="K714" s="61"/>
      <c r="L714" s="60"/>
    </row>
    <row r="715" spans="2:12">
      <c r="B715" s="368"/>
      <c r="C715" s="357"/>
      <c r="D715" s="127">
        <v>10</v>
      </c>
      <c r="E715" s="60" t="s">
        <v>146</v>
      </c>
      <c r="F715" s="61" t="s">
        <v>123</v>
      </c>
      <c r="G715" s="61"/>
      <c r="H715" s="61"/>
      <c r="I715" s="61"/>
      <c r="J715" s="61"/>
      <c r="K715" s="61"/>
      <c r="L715" s="60"/>
    </row>
    <row r="716" spans="2:12">
      <c r="B716" s="369"/>
      <c r="C716" s="358"/>
      <c r="D716" s="60"/>
      <c r="E716" s="60"/>
      <c r="F716" s="61"/>
      <c r="G716" s="61"/>
      <c r="H716" s="61"/>
      <c r="I716" s="61"/>
      <c r="J716" s="61"/>
      <c r="K716" s="61"/>
      <c r="L716" s="60"/>
    </row>
    <row r="717" spans="2:12">
      <c r="B717" s="370" t="s">
        <v>1356</v>
      </c>
      <c r="C717" s="356" t="s">
        <v>1475</v>
      </c>
      <c r="D717" s="127">
        <v>1</v>
      </c>
      <c r="E717" s="148" t="s">
        <v>1608</v>
      </c>
      <c r="F717" s="61" t="s">
        <v>87</v>
      </c>
      <c r="G717" s="61" t="s">
        <v>1609</v>
      </c>
      <c r="H717" s="61"/>
      <c r="I717" s="61"/>
      <c r="J717" s="61"/>
      <c r="K717" s="61"/>
      <c r="L717" s="127"/>
    </row>
    <row r="718" spans="2:12">
      <c r="B718" s="368"/>
      <c r="C718" s="357"/>
      <c r="D718" s="127">
        <v>2</v>
      </c>
      <c r="E718" s="127" t="s">
        <v>142</v>
      </c>
      <c r="F718" s="61" t="s">
        <v>122</v>
      </c>
      <c r="G718" s="61"/>
      <c r="H718" s="61"/>
      <c r="I718" s="61"/>
      <c r="J718" s="61"/>
      <c r="K718" s="61"/>
      <c r="L718" s="127"/>
    </row>
    <row r="719" spans="2:12">
      <c r="B719" s="368"/>
      <c r="C719" s="357"/>
      <c r="D719" s="180">
        <v>3</v>
      </c>
      <c r="E719" s="127" t="s">
        <v>36</v>
      </c>
      <c r="F719" s="61" t="s">
        <v>126</v>
      </c>
      <c r="G719" s="61">
        <v>1</v>
      </c>
      <c r="H719" s="61">
        <v>10</v>
      </c>
      <c r="I719" s="61"/>
      <c r="J719" s="61"/>
      <c r="K719" s="61"/>
      <c r="L719" s="127"/>
    </row>
    <row r="720" spans="2:12">
      <c r="B720" s="368"/>
      <c r="C720" s="357"/>
      <c r="D720" s="180">
        <v>4</v>
      </c>
      <c r="E720" s="127"/>
      <c r="F720" s="61" t="s">
        <v>125</v>
      </c>
      <c r="G720" s="61">
        <v>100</v>
      </c>
      <c r="H720" s="61"/>
      <c r="I720" s="61"/>
      <c r="J720" s="61"/>
      <c r="K720" s="61"/>
      <c r="L720" s="127"/>
    </row>
    <row r="721" spans="2:12">
      <c r="B721" s="368"/>
      <c r="C721" s="357"/>
      <c r="D721" s="180">
        <v>5</v>
      </c>
      <c r="E721" s="127" t="s">
        <v>166</v>
      </c>
      <c r="F721" s="61" t="s">
        <v>127</v>
      </c>
      <c r="G721" s="61">
        <v>1</v>
      </c>
      <c r="H721" s="61">
        <v>10</v>
      </c>
      <c r="I721" s="61">
        <v>1</v>
      </c>
      <c r="J721" s="61"/>
      <c r="K721" s="61"/>
      <c r="L721" s="127"/>
    </row>
    <row r="722" spans="2:12">
      <c r="B722" s="368"/>
      <c r="C722" s="357"/>
      <c r="D722" s="180">
        <v>6</v>
      </c>
      <c r="E722" s="127" t="s">
        <v>163</v>
      </c>
      <c r="F722" s="61" t="s">
        <v>164</v>
      </c>
      <c r="G722" s="61">
        <v>1</v>
      </c>
      <c r="H722" s="61">
        <v>4</v>
      </c>
      <c r="I722" s="61" t="s">
        <v>165</v>
      </c>
      <c r="J722" s="61"/>
      <c r="K722" s="61"/>
      <c r="L722" s="127"/>
    </row>
    <row r="723" spans="2:12">
      <c r="B723" s="368"/>
      <c r="C723" s="357"/>
      <c r="D723" s="180">
        <v>7</v>
      </c>
      <c r="E723" s="127"/>
      <c r="F723" s="61" t="s">
        <v>125</v>
      </c>
      <c r="G723" s="61">
        <v>100</v>
      </c>
      <c r="H723" s="61"/>
      <c r="I723" s="61"/>
      <c r="J723" s="61"/>
      <c r="K723" s="61"/>
      <c r="L723" s="127"/>
    </row>
    <row r="724" spans="2:12">
      <c r="B724" s="368"/>
      <c r="C724" s="357"/>
      <c r="D724" s="180">
        <v>8</v>
      </c>
      <c r="E724" s="180" t="s">
        <v>1524</v>
      </c>
      <c r="F724" s="61" t="s">
        <v>81</v>
      </c>
      <c r="G724" s="61" t="s">
        <v>1517</v>
      </c>
      <c r="H724" s="61"/>
      <c r="I724" s="61"/>
      <c r="J724" s="61"/>
      <c r="K724" s="61"/>
      <c r="L724" s="180"/>
    </row>
    <row r="725" spans="2:12">
      <c r="B725" s="368"/>
      <c r="C725" s="357"/>
      <c r="D725" s="180">
        <v>9</v>
      </c>
      <c r="E725" s="127" t="s">
        <v>166</v>
      </c>
      <c r="F725" s="61" t="s">
        <v>127</v>
      </c>
      <c r="G725" s="61">
        <v>1</v>
      </c>
      <c r="H725" s="61">
        <v>7</v>
      </c>
      <c r="I725" s="61">
        <v>3</v>
      </c>
      <c r="J725" s="61"/>
      <c r="K725" s="61"/>
      <c r="L725" s="127"/>
    </row>
    <row r="726" spans="2:12">
      <c r="B726" s="368"/>
      <c r="C726" s="357"/>
      <c r="D726" s="180">
        <v>10</v>
      </c>
      <c r="E726" s="142" t="s">
        <v>194</v>
      </c>
      <c r="F726" s="61" t="s">
        <v>125</v>
      </c>
      <c r="G726" s="61" t="s">
        <v>1546</v>
      </c>
      <c r="H726" s="61"/>
      <c r="I726" s="61"/>
      <c r="J726" s="61"/>
      <c r="K726" s="61"/>
      <c r="L726" s="127"/>
    </row>
    <row r="727" spans="2:12">
      <c r="B727" s="368"/>
      <c r="C727" s="357"/>
      <c r="D727" s="180">
        <v>11</v>
      </c>
      <c r="E727" s="180" t="s">
        <v>195</v>
      </c>
      <c r="F727" s="61" t="s">
        <v>81</v>
      </c>
      <c r="G727" s="61" t="s">
        <v>196</v>
      </c>
      <c r="H727" s="61" t="s">
        <v>197</v>
      </c>
      <c r="I727" s="61" t="s">
        <v>197</v>
      </c>
      <c r="J727" s="61"/>
      <c r="K727" s="61"/>
      <c r="L727" s="180"/>
    </row>
    <row r="728" spans="2:12">
      <c r="B728" s="368"/>
      <c r="C728" s="357"/>
      <c r="D728" s="180">
        <v>12</v>
      </c>
      <c r="E728" s="180"/>
      <c r="F728" s="61" t="s">
        <v>81</v>
      </c>
      <c r="G728" s="61" t="s">
        <v>198</v>
      </c>
      <c r="H728" s="61" t="s">
        <v>199</v>
      </c>
      <c r="I728" s="61" t="s">
        <v>197</v>
      </c>
      <c r="J728" s="61" t="s">
        <v>197</v>
      </c>
      <c r="K728" s="61"/>
      <c r="L728" s="180"/>
    </row>
    <row r="729" spans="2:12">
      <c r="B729" s="368"/>
      <c r="C729" s="357"/>
      <c r="D729" s="180">
        <v>13</v>
      </c>
      <c r="E729" s="127" t="s">
        <v>146</v>
      </c>
      <c r="F729" s="61" t="s">
        <v>123</v>
      </c>
      <c r="G729" s="61"/>
      <c r="H729" s="61"/>
      <c r="I729" s="61"/>
      <c r="J729" s="61"/>
      <c r="K729" s="61"/>
      <c r="L729" s="127"/>
    </row>
    <row r="730" spans="2:12">
      <c r="B730" s="369"/>
      <c r="C730" s="358"/>
      <c r="D730" s="127"/>
      <c r="E730" s="127"/>
      <c r="F730" s="61"/>
      <c r="G730" s="61"/>
      <c r="H730" s="61"/>
      <c r="I730" s="61"/>
      <c r="J730" s="61"/>
      <c r="K730" s="61"/>
      <c r="L730" s="127"/>
    </row>
    <row r="731" spans="2:12">
      <c r="B731" s="370" t="s">
        <v>1357</v>
      </c>
      <c r="C731" s="356" t="s">
        <v>1475</v>
      </c>
      <c r="D731" s="60">
        <v>1</v>
      </c>
      <c r="E731" s="148" t="s">
        <v>1608</v>
      </c>
      <c r="F731" s="61" t="s">
        <v>87</v>
      </c>
      <c r="G731" s="61" t="s">
        <v>1609</v>
      </c>
      <c r="H731" s="61"/>
      <c r="I731" s="61"/>
      <c r="J731" s="61"/>
      <c r="K731" s="61"/>
      <c r="L731" s="60"/>
    </row>
    <row r="732" spans="2:12">
      <c r="B732" s="368"/>
      <c r="C732" s="357"/>
      <c r="D732" s="60">
        <v>2</v>
      </c>
      <c r="E732" s="60" t="s">
        <v>142</v>
      </c>
      <c r="F732" s="61" t="s">
        <v>122</v>
      </c>
      <c r="G732" s="61"/>
      <c r="H732" s="61"/>
      <c r="I732" s="61"/>
      <c r="J732" s="61"/>
      <c r="K732" s="61"/>
      <c r="L732" s="60"/>
    </row>
    <row r="733" spans="2:12">
      <c r="B733" s="368"/>
      <c r="C733" s="357"/>
      <c r="D733" s="127">
        <v>3</v>
      </c>
      <c r="E733" s="60" t="s">
        <v>36</v>
      </c>
      <c r="F733" s="61" t="s">
        <v>126</v>
      </c>
      <c r="G733" s="61">
        <v>1</v>
      </c>
      <c r="H733" s="61">
        <v>10</v>
      </c>
      <c r="I733" s="61"/>
      <c r="J733" s="61"/>
      <c r="K733" s="61"/>
      <c r="L733" s="60"/>
    </row>
    <row r="734" spans="2:12">
      <c r="B734" s="368"/>
      <c r="C734" s="357"/>
      <c r="D734" s="127">
        <v>4</v>
      </c>
      <c r="E734" s="60"/>
      <c r="F734" s="61" t="s">
        <v>181</v>
      </c>
      <c r="G734" s="61">
        <v>100</v>
      </c>
      <c r="H734" s="61"/>
      <c r="I734" s="61"/>
      <c r="J734" s="61"/>
      <c r="K734" s="61"/>
      <c r="L734" s="60"/>
    </row>
    <row r="735" spans="2:12">
      <c r="B735" s="368"/>
      <c r="C735" s="357"/>
      <c r="D735" s="127">
        <v>5</v>
      </c>
      <c r="E735" s="60" t="s">
        <v>166</v>
      </c>
      <c r="F735" s="61" t="s">
        <v>182</v>
      </c>
      <c r="G735" s="61">
        <v>1</v>
      </c>
      <c r="H735" s="61">
        <v>10</v>
      </c>
      <c r="I735" s="61">
        <v>1</v>
      </c>
      <c r="J735" s="61"/>
      <c r="K735" s="61"/>
      <c r="L735" s="60"/>
    </row>
    <row r="736" spans="2:12">
      <c r="B736" s="368"/>
      <c r="C736" s="357"/>
      <c r="D736" s="127">
        <v>6</v>
      </c>
      <c r="E736" s="60" t="s">
        <v>183</v>
      </c>
      <c r="F736" s="61" t="s">
        <v>164</v>
      </c>
      <c r="G736" s="61">
        <v>1</v>
      </c>
      <c r="H736" s="61">
        <v>4</v>
      </c>
      <c r="I736" s="61" t="s">
        <v>165</v>
      </c>
      <c r="J736" s="61"/>
      <c r="K736" s="61"/>
      <c r="L736" s="60"/>
    </row>
    <row r="737" spans="2:12">
      <c r="B737" s="368"/>
      <c r="C737" s="357"/>
      <c r="D737" s="127">
        <v>7</v>
      </c>
      <c r="E737" s="60"/>
      <c r="F737" s="61" t="s">
        <v>181</v>
      </c>
      <c r="G737" s="61">
        <v>100</v>
      </c>
      <c r="H737" s="61"/>
      <c r="I737" s="61"/>
      <c r="J737" s="61"/>
      <c r="K737" s="61"/>
      <c r="L737" s="60"/>
    </row>
    <row r="738" spans="2:12">
      <c r="B738" s="368"/>
      <c r="C738" s="357"/>
      <c r="D738" s="127">
        <v>8</v>
      </c>
      <c r="E738" s="60" t="s">
        <v>184</v>
      </c>
      <c r="F738" s="61" t="s">
        <v>127</v>
      </c>
      <c r="G738" s="61">
        <v>1</v>
      </c>
      <c r="H738" s="61">
        <v>7</v>
      </c>
      <c r="I738" s="61">
        <v>3</v>
      </c>
      <c r="J738" s="61"/>
      <c r="K738" s="61"/>
      <c r="L738" s="60"/>
    </row>
    <row r="739" spans="2:12">
      <c r="B739" s="368"/>
      <c r="C739" s="357"/>
      <c r="D739" s="127">
        <v>9</v>
      </c>
      <c r="E739" s="60" t="s">
        <v>313</v>
      </c>
      <c r="F739" s="61" t="s">
        <v>125</v>
      </c>
      <c r="G739" s="61">
        <v>10000</v>
      </c>
      <c r="H739" s="61"/>
      <c r="I739" s="61"/>
      <c r="J739" s="61"/>
      <c r="K739" s="61"/>
      <c r="L739" s="60"/>
    </row>
    <row r="740" spans="2:12">
      <c r="B740" s="368"/>
      <c r="C740" s="357"/>
      <c r="D740" s="127">
        <v>10</v>
      </c>
      <c r="E740" s="60" t="s">
        <v>146</v>
      </c>
      <c r="F740" s="61" t="s">
        <v>123</v>
      </c>
      <c r="G740" s="61"/>
      <c r="H740" s="61"/>
      <c r="I740" s="61"/>
      <c r="J740" s="61"/>
      <c r="K740" s="61"/>
      <c r="L740" s="60"/>
    </row>
    <row r="741" spans="2:12">
      <c r="B741" s="369"/>
      <c r="C741" s="358"/>
      <c r="D741" s="60"/>
      <c r="E741" s="60"/>
      <c r="F741" s="61"/>
      <c r="G741" s="61"/>
      <c r="H741" s="61"/>
      <c r="I741" s="61"/>
      <c r="J741" s="61"/>
      <c r="K741" s="61"/>
      <c r="L741" s="60"/>
    </row>
    <row r="742" spans="2:12">
      <c r="B742" s="370" t="s">
        <v>185</v>
      </c>
      <c r="C742" s="356" t="s">
        <v>37</v>
      </c>
      <c r="D742" s="60">
        <v>1</v>
      </c>
      <c r="E742" s="148" t="s">
        <v>1608</v>
      </c>
      <c r="F742" s="61" t="s">
        <v>87</v>
      </c>
      <c r="G742" s="61" t="s">
        <v>1609</v>
      </c>
      <c r="H742" s="61"/>
      <c r="I742" s="61"/>
      <c r="J742" s="61"/>
      <c r="K742" s="61"/>
      <c r="L742" s="60"/>
    </row>
    <row r="743" spans="2:12">
      <c r="B743" s="368"/>
      <c r="C743" s="357"/>
      <c r="D743" s="60">
        <v>2</v>
      </c>
      <c r="E743" s="60" t="s">
        <v>142</v>
      </c>
      <c r="F743" s="61" t="s">
        <v>122</v>
      </c>
      <c r="G743" s="61"/>
      <c r="H743" s="61"/>
      <c r="I743" s="61"/>
      <c r="J743" s="61"/>
      <c r="K743" s="61"/>
      <c r="L743" s="60"/>
    </row>
    <row r="744" spans="2:12">
      <c r="B744" s="368"/>
      <c r="C744" s="357"/>
      <c r="D744" s="60">
        <v>3</v>
      </c>
      <c r="E744" s="60" t="s">
        <v>1723</v>
      </c>
      <c r="F744" s="61" t="s">
        <v>127</v>
      </c>
      <c r="G744" s="61">
        <v>0</v>
      </c>
      <c r="H744" s="61">
        <v>0</v>
      </c>
      <c r="I744" s="61">
        <v>1</v>
      </c>
      <c r="J744" s="61"/>
      <c r="K744" s="61"/>
      <c r="L744" s="60"/>
    </row>
    <row r="745" spans="2:12">
      <c r="B745" s="368"/>
      <c r="C745" s="357"/>
      <c r="D745" s="60">
        <v>4</v>
      </c>
      <c r="E745" s="60" t="s">
        <v>313</v>
      </c>
      <c r="F745" s="61" t="s">
        <v>125</v>
      </c>
      <c r="G745" s="61">
        <v>10000</v>
      </c>
      <c r="H745" s="61"/>
      <c r="I745" s="61"/>
      <c r="J745" s="61"/>
      <c r="K745" s="61"/>
      <c r="L745" s="60"/>
    </row>
    <row r="746" spans="2:12">
      <c r="B746" s="368"/>
      <c r="C746" s="357"/>
      <c r="D746" s="60">
        <v>5</v>
      </c>
      <c r="E746" s="60" t="s">
        <v>146</v>
      </c>
      <c r="F746" s="61" t="s">
        <v>123</v>
      </c>
      <c r="G746" s="61"/>
      <c r="H746" s="61"/>
      <c r="I746" s="61"/>
      <c r="J746" s="61"/>
      <c r="K746" s="61"/>
      <c r="L746" s="60"/>
    </row>
    <row r="747" spans="2:12">
      <c r="B747" s="369"/>
      <c r="C747" s="358"/>
      <c r="D747" s="60"/>
      <c r="E747" s="60"/>
      <c r="F747" s="61"/>
      <c r="G747" s="61"/>
      <c r="H747" s="61"/>
      <c r="I747" s="61"/>
      <c r="J747" s="61"/>
      <c r="K747" s="61"/>
      <c r="L747" s="60"/>
    </row>
    <row r="748" spans="2:12">
      <c r="B748" s="370" t="s">
        <v>1359</v>
      </c>
      <c r="C748" s="356" t="s">
        <v>1475</v>
      </c>
      <c r="D748" s="127">
        <v>1</v>
      </c>
      <c r="E748" s="148" t="s">
        <v>1608</v>
      </c>
      <c r="F748" s="61" t="s">
        <v>87</v>
      </c>
      <c r="G748" s="61" t="s">
        <v>1609</v>
      </c>
      <c r="H748" s="61"/>
      <c r="I748" s="61"/>
      <c r="J748" s="61"/>
      <c r="K748" s="61"/>
      <c r="L748" s="127"/>
    </row>
    <row r="749" spans="2:12">
      <c r="B749" s="368"/>
      <c r="C749" s="357"/>
      <c r="D749" s="127">
        <v>2</v>
      </c>
      <c r="E749" s="127" t="s">
        <v>142</v>
      </c>
      <c r="F749" s="61" t="s">
        <v>122</v>
      </c>
      <c r="G749" s="61"/>
      <c r="H749" s="61"/>
      <c r="I749" s="61"/>
      <c r="J749" s="61"/>
      <c r="K749" s="61"/>
      <c r="L749" s="127"/>
    </row>
    <row r="750" spans="2:12">
      <c r="B750" s="368"/>
      <c r="C750" s="357"/>
      <c r="D750" s="180">
        <v>3</v>
      </c>
      <c r="E750" s="142" t="s">
        <v>36</v>
      </c>
      <c r="F750" s="61" t="s">
        <v>126</v>
      </c>
      <c r="G750" s="61">
        <v>1</v>
      </c>
      <c r="H750" s="61">
        <v>1</v>
      </c>
      <c r="I750" s="61"/>
      <c r="J750" s="61"/>
      <c r="K750" s="61"/>
      <c r="L750" s="142"/>
    </row>
    <row r="751" spans="2:12">
      <c r="B751" s="368"/>
      <c r="C751" s="357"/>
      <c r="D751" s="180">
        <v>4</v>
      </c>
      <c r="E751" s="142" t="s">
        <v>1564</v>
      </c>
      <c r="F751" s="61" t="s">
        <v>1548</v>
      </c>
      <c r="G751" s="61">
        <v>20</v>
      </c>
      <c r="H751" s="61"/>
      <c r="I751" s="61"/>
      <c r="J751" s="61"/>
      <c r="K751" s="61"/>
      <c r="L751" s="142"/>
    </row>
    <row r="752" spans="2:12">
      <c r="B752" s="368"/>
      <c r="C752" s="357"/>
      <c r="D752" s="180">
        <v>5</v>
      </c>
      <c r="E752" s="142"/>
      <c r="F752" s="61" t="s">
        <v>1549</v>
      </c>
      <c r="G752" s="61" t="s">
        <v>162</v>
      </c>
      <c r="H752" s="61">
        <v>1</v>
      </c>
      <c r="I752" s="61"/>
      <c r="J752" s="61"/>
      <c r="K752" s="61"/>
      <c r="L752" s="142"/>
    </row>
    <row r="753" spans="2:12">
      <c r="B753" s="368"/>
      <c r="C753" s="357"/>
      <c r="D753" s="180">
        <v>6</v>
      </c>
      <c r="E753" s="142"/>
      <c r="F753" s="61" t="s">
        <v>1547</v>
      </c>
      <c r="G753" s="61">
        <v>1</v>
      </c>
      <c r="H753" s="61">
        <v>1</v>
      </c>
      <c r="I753" s="61" t="s">
        <v>162</v>
      </c>
      <c r="J753" s="61"/>
      <c r="K753" s="61"/>
      <c r="L753" s="142"/>
    </row>
    <row r="754" spans="2:12">
      <c r="B754" s="368"/>
      <c r="C754" s="357"/>
      <c r="D754" s="180">
        <v>7</v>
      </c>
      <c r="E754" s="142"/>
      <c r="F754" s="61" t="s">
        <v>135</v>
      </c>
      <c r="G754" s="61">
        <v>4</v>
      </c>
      <c r="H754" s="61" t="s">
        <v>162</v>
      </c>
      <c r="I754" s="61">
        <v>255</v>
      </c>
      <c r="J754" s="61"/>
      <c r="K754" s="61"/>
      <c r="L754" s="142"/>
    </row>
    <row r="755" spans="2:12">
      <c r="B755" s="368"/>
      <c r="C755" s="357"/>
      <c r="D755" s="180">
        <v>8</v>
      </c>
      <c r="E755" s="144"/>
      <c r="F755" s="61" t="s">
        <v>1553</v>
      </c>
      <c r="G755" s="61">
        <v>100</v>
      </c>
      <c r="H755" s="61"/>
      <c r="I755" s="61"/>
      <c r="J755" s="61"/>
      <c r="K755" s="61"/>
      <c r="L755" s="144"/>
    </row>
    <row r="756" spans="2:12">
      <c r="B756" s="368"/>
      <c r="C756" s="357"/>
      <c r="D756" s="180">
        <v>9</v>
      </c>
      <c r="E756" s="180" t="s">
        <v>1524</v>
      </c>
      <c r="F756" s="61" t="s">
        <v>81</v>
      </c>
      <c r="G756" s="61" t="s">
        <v>1517</v>
      </c>
      <c r="H756" s="61"/>
      <c r="I756" s="61"/>
      <c r="J756" s="61"/>
      <c r="K756" s="61"/>
      <c r="L756" s="180"/>
    </row>
    <row r="757" spans="2:12">
      <c r="B757" s="368"/>
      <c r="C757" s="357"/>
      <c r="D757" s="180">
        <v>10</v>
      </c>
      <c r="E757" s="180" t="s">
        <v>186</v>
      </c>
      <c r="F757" s="61" t="s">
        <v>127</v>
      </c>
      <c r="G757" s="61">
        <v>1</v>
      </c>
      <c r="H757" s="61">
        <v>1</v>
      </c>
      <c r="I757" s="61">
        <v>255</v>
      </c>
      <c r="J757" s="61"/>
      <c r="K757" s="61"/>
      <c r="L757" s="180"/>
    </row>
    <row r="758" spans="2:12">
      <c r="B758" s="368"/>
      <c r="C758" s="357"/>
      <c r="D758" s="180">
        <v>11</v>
      </c>
      <c r="E758" s="180" t="s">
        <v>194</v>
      </c>
      <c r="F758" s="61" t="s">
        <v>125</v>
      </c>
      <c r="G758" s="61" t="s">
        <v>1546</v>
      </c>
      <c r="H758" s="61"/>
      <c r="I758" s="61"/>
      <c r="J758" s="61"/>
      <c r="K758" s="61"/>
      <c r="L758" s="180"/>
    </row>
    <row r="759" spans="2:12">
      <c r="B759" s="368"/>
      <c r="C759" s="357"/>
      <c r="D759" s="180">
        <v>12</v>
      </c>
      <c r="E759" s="180" t="s">
        <v>1525</v>
      </c>
      <c r="F759" s="61" t="s">
        <v>81</v>
      </c>
      <c r="G759" s="61" t="s">
        <v>196</v>
      </c>
      <c r="H759" s="61" t="s">
        <v>197</v>
      </c>
      <c r="I759" s="61" t="s">
        <v>197</v>
      </c>
      <c r="J759" s="61"/>
      <c r="K759" s="61"/>
      <c r="L759" s="180"/>
    </row>
    <row r="760" spans="2:12">
      <c r="B760" s="368"/>
      <c r="C760" s="357"/>
      <c r="D760" s="180">
        <v>13</v>
      </c>
      <c r="E760" s="180"/>
      <c r="F760" s="61" t="s">
        <v>81</v>
      </c>
      <c r="G760" s="61" t="s">
        <v>198</v>
      </c>
      <c r="H760" s="61" t="s">
        <v>199</v>
      </c>
      <c r="I760" s="61" t="s">
        <v>197</v>
      </c>
      <c r="J760" s="61" t="s">
        <v>197</v>
      </c>
      <c r="K760" s="61">
        <v>1</v>
      </c>
      <c r="L760" s="180"/>
    </row>
    <row r="761" spans="2:12">
      <c r="B761" s="368"/>
      <c r="C761" s="357"/>
      <c r="D761" s="180">
        <v>14</v>
      </c>
      <c r="E761" s="180" t="s">
        <v>1524</v>
      </c>
      <c r="F761" s="61" t="s">
        <v>81</v>
      </c>
      <c r="G761" s="61" t="s">
        <v>1517</v>
      </c>
      <c r="H761" s="61"/>
      <c r="I761" s="61"/>
      <c r="J761" s="61"/>
      <c r="K761" s="61"/>
      <c r="L761" s="180"/>
    </row>
    <row r="762" spans="2:12">
      <c r="B762" s="368"/>
      <c r="C762" s="357"/>
      <c r="D762" s="180">
        <v>15</v>
      </c>
      <c r="E762" s="127" t="s">
        <v>163</v>
      </c>
      <c r="F762" s="61" t="s">
        <v>164</v>
      </c>
      <c r="G762" s="61">
        <v>1</v>
      </c>
      <c r="H762" s="61">
        <v>4</v>
      </c>
      <c r="I762" s="61" t="s">
        <v>165</v>
      </c>
      <c r="J762" s="61"/>
      <c r="K762" s="61"/>
      <c r="L762" s="127"/>
    </row>
    <row r="763" spans="2:12">
      <c r="B763" s="368"/>
      <c r="C763" s="357"/>
      <c r="D763" s="180">
        <v>16</v>
      </c>
      <c r="E763" s="127" t="s">
        <v>187</v>
      </c>
      <c r="F763" s="61" t="s">
        <v>127</v>
      </c>
      <c r="G763" s="61">
        <v>1</v>
      </c>
      <c r="H763" s="61">
        <v>1</v>
      </c>
      <c r="I763" s="61" t="s">
        <v>188</v>
      </c>
      <c r="J763" s="61"/>
      <c r="K763" s="61"/>
      <c r="L763" s="127"/>
    </row>
    <row r="764" spans="2:12">
      <c r="B764" s="368"/>
      <c r="C764" s="357"/>
      <c r="D764" s="180">
        <v>17</v>
      </c>
      <c r="E764" s="180" t="s">
        <v>194</v>
      </c>
      <c r="F764" s="61" t="s">
        <v>125</v>
      </c>
      <c r="G764" s="61" t="s">
        <v>1546</v>
      </c>
      <c r="H764" s="61"/>
      <c r="I764" s="61"/>
      <c r="J764" s="61"/>
      <c r="K764" s="61"/>
      <c r="L764" s="180"/>
    </row>
    <row r="765" spans="2:12">
      <c r="B765" s="368"/>
      <c r="C765" s="357"/>
      <c r="D765" s="180">
        <v>18</v>
      </c>
      <c r="E765" s="180" t="s">
        <v>195</v>
      </c>
      <c r="F765" s="61" t="s">
        <v>81</v>
      </c>
      <c r="G765" s="61" t="s">
        <v>196</v>
      </c>
      <c r="H765" s="61" t="s">
        <v>197</v>
      </c>
      <c r="I765" s="61" t="s">
        <v>197</v>
      </c>
      <c r="J765" s="61"/>
      <c r="K765" s="61"/>
      <c r="L765" s="180"/>
    </row>
    <row r="766" spans="2:12">
      <c r="B766" s="368"/>
      <c r="C766" s="357"/>
      <c r="D766" s="180">
        <v>19</v>
      </c>
      <c r="E766" s="180"/>
      <c r="F766" s="61" t="s">
        <v>81</v>
      </c>
      <c r="G766" s="61" t="s">
        <v>198</v>
      </c>
      <c r="H766" s="61" t="s">
        <v>199</v>
      </c>
      <c r="I766" s="61" t="s">
        <v>197</v>
      </c>
      <c r="J766" s="61" t="s">
        <v>197</v>
      </c>
      <c r="K766" s="61"/>
      <c r="L766" s="180"/>
    </row>
    <row r="767" spans="2:12">
      <c r="B767" s="368"/>
      <c r="C767" s="357"/>
      <c r="D767" s="180">
        <v>20</v>
      </c>
      <c r="E767" s="180" t="s">
        <v>1524</v>
      </c>
      <c r="F767" s="61" t="s">
        <v>81</v>
      </c>
      <c r="G767" s="61" t="s">
        <v>1517</v>
      </c>
      <c r="H767" s="61"/>
      <c r="I767" s="61"/>
      <c r="J767" s="61"/>
      <c r="K767" s="61"/>
      <c r="L767" s="144"/>
    </row>
    <row r="768" spans="2:12">
      <c r="B768" s="368"/>
      <c r="C768" s="357"/>
      <c r="D768" s="180">
        <v>21</v>
      </c>
      <c r="E768" s="127" t="s">
        <v>189</v>
      </c>
      <c r="F768" s="61" t="s">
        <v>127</v>
      </c>
      <c r="G768" s="61">
        <v>1</v>
      </c>
      <c r="H768" s="61">
        <v>1</v>
      </c>
      <c r="I768" s="61">
        <v>1</v>
      </c>
      <c r="J768" s="61"/>
      <c r="K768" s="61"/>
      <c r="L768" s="127"/>
    </row>
    <row r="769" spans="2:12">
      <c r="B769" s="368"/>
      <c r="C769" s="357"/>
      <c r="D769" s="180">
        <v>22</v>
      </c>
      <c r="E769" s="180" t="s">
        <v>194</v>
      </c>
      <c r="F769" s="61" t="s">
        <v>125</v>
      </c>
      <c r="G769" s="61" t="s">
        <v>1546</v>
      </c>
      <c r="H769" s="61"/>
      <c r="I769" s="61"/>
      <c r="J769" s="61"/>
      <c r="K769" s="61"/>
      <c r="L769" s="180"/>
    </row>
    <row r="770" spans="2:12">
      <c r="B770" s="368"/>
      <c r="C770" s="357"/>
      <c r="D770" s="180">
        <v>23</v>
      </c>
      <c r="E770" s="180" t="s">
        <v>195</v>
      </c>
      <c r="F770" s="61" t="s">
        <v>81</v>
      </c>
      <c r="G770" s="61" t="s">
        <v>196</v>
      </c>
      <c r="H770" s="61" t="s">
        <v>197</v>
      </c>
      <c r="I770" s="61" t="s">
        <v>197</v>
      </c>
      <c r="J770" s="61"/>
      <c r="K770" s="61"/>
      <c r="L770" s="180"/>
    </row>
    <row r="771" spans="2:12">
      <c r="B771" s="368"/>
      <c r="C771" s="357"/>
      <c r="D771" s="180">
        <v>24</v>
      </c>
      <c r="E771" s="180"/>
      <c r="F771" s="61" t="s">
        <v>81</v>
      </c>
      <c r="G771" s="61" t="s">
        <v>198</v>
      </c>
      <c r="H771" s="61" t="s">
        <v>199</v>
      </c>
      <c r="I771" s="61" t="s">
        <v>197</v>
      </c>
      <c r="J771" s="61" t="s">
        <v>197</v>
      </c>
      <c r="K771" s="61"/>
      <c r="L771" s="180"/>
    </row>
    <row r="772" spans="2:12">
      <c r="B772" s="368"/>
      <c r="C772" s="357"/>
      <c r="D772" s="180">
        <v>25</v>
      </c>
      <c r="E772" s="180" t="s">
        <v>1524</v>
      </c>
      <c r="F772" s="61" t="s">
        <v>81</v>
      </c>
      <c r="G772" s="61" t="s">
        <v>1517</v>
      </c>
      <c r="H772" s="61"/>
      <c r="I772" s="61"/>
      <c r="J772" s="61"/>
      <c r="K772" s="61"/>
      <c r="L772" s="144"/>
    </row>
    <row r="773" spans="2:12">
      <c r="B773" s="368"/>
      <c r="C773" s="357"/>
      <c r="D773" s="180">
        <v>26</v>
      </c>
      <c r="E773" s="127" t="s">
        <v>1362</v>
      </c>
      <c r="F773" s="61" t="s">
        <v>127</v>
      </c>
      <c r="G773" s="61">
        <v>1</v>
      </c>
      <c r="H773" s="61">
        <v>1</v>
      </c>
      <c r="I773" s="61" t="s">
        <v>1361</v>
      </c>
      <c r="J773" s="61"/>
      <c r="K773" s="61"/>
      <c r="L773" s="127"/>
    </row>
    <row r="774" spans="2:12">
      <c r="B774" s="368"/>
      <c r="C774" s="357"/>
      <c r="D774" s="180">
        <v>27</v>
      </c>
      <c r="E774" s="142" t="s">
        <v>194</v>
      </c>
      <c r="F774" s="61" t="s">
        <v>125</v>
      </c>
      <c r="G774" s="61" t="s">
        <v>1546</v>
      </c>
      <c r="H774" s="61"/>
      <c r="I774" s="61"/>
      <c r="J774" s="61"/>
      <c r="K774" s="61"/>
      <c r="L774" s="127"/>
    </row>
    <row r="775" spans="2:12">
      <c r="B775" s="368"/>
      <c r="C775" s="357"/>
      <c r="D775" s="180">
        <v>28</v>
      </c>
      <c r="E775" s="180" t="s">
        <v>195</v>
      </c>
      <c r="F775" s="61" t="s">
        <v>81</v>
      </c>
      <c r="G775" s="61" t="s">
        <v>196</v>
      </c>
      <c r="H775" s="61" t="s">
        <v>197</v>
      </c>
      <c r="I775" s="61" t="s">
        <v>197</v>
      </c>
      <c r="J775" s="61"/>
      <c r="K775" s="61"/>
      <c r="L775" s="180"/>
    </row>
    <row r="776" spans="2:12">
      <c r="B776" s="368"/>
      <c r="C776" s="357"/>
      <c r="D776" s="180">
        <v>29</v>
      </c>
      <c r="E776" s="180"/>
      <c r="F776" s="61" t="s">
        <v>81</v>
      </c>
      <c r="G776" s="61" t="s">
        <v>198</v>
      </c>
      <c r="H776" s="61" t="s">
        <v>199</v>
      </c>
      <c r="I776" s="61" t="s">
        <v>197</v>
      </c>
      <c r="J776" s="61" t="s">
        <v>197</v>
      </c>
      <c r="K776" s="61"/>
      <c r="L776" s="180"/>
    </row>
    <row r="777" spans="2:12">
      <c r="B777" s="368"/>
      <c r="C777" s="357"/>
      <c r="D777" s="180">
        <v>30</v>
      </c>
      <c r="E777" s="127" t="s">
        <v>146</v>
      </c>
      <c r="F777" s="61" t="s">
        <v>123</v>
      </c>
      <c r="G777" s="61"/>
      <c r="H777" s="61"/>
      <c r="I777" s="61"/>
      <c r="J777" s="61"/>
      <c r="K777" s="61"/>
      <c r="L777" s="127"/>
    </row>
    <row r="778" spans="2:12">
      <c r="B778" s="369"/>
      <c r="C778" s="358"/>
      <c r="D778" s="127"/>
      <c r="E778" s="127"/>
      <c r="F778" s="61"/>
      <c r="G778" s="61"/>
      <c r="H778" s="61"/>
      <c r="I778" s="61"/>
      <c r="J778" s="61"/>
      <c r="K778" s="61"/>
      <c r="L778" s="127"/>
    </row>
    <row r="779" spans="2:12">
      <c r="B779" s="370" t="s">
        <v>1360</v>
      </c>
      <c r="C779" s="356" t="s">
        <v>1475</v>
      </c>
      <c r="D779" s="60">
        <v>1</v>
      </c>
      <c r="E779" s="148" t="s">
        <v>1608</v>
      </c>
      <c r="F779" s="61" t="s">
        <v>87</v>
      </c>
      <c r="G779" s="61" t="s">
        <v>1609</v>
      </c>
      <c r="H779" s="61"/>
      <c r="I779" s="61"/>
      <c r="J779" s="61"/>
      <c r="K779" s="61"/>
      <c r="L779" s="60"/>
    </row>
    <row r="780" spans="2:12">
      <c r="B780" s="368"/>
      <c r="C780" s="357"/>
      <c r="D780" s="60">
        <v>2</v>
      </c>
      <c r="E780" s="60" t="s">
        <v>142</v>
      </c>
      <c r="F780" s="61" t="s">
        <v>122</v>
      </c>
      <c r="G780" s="61"/>
      <c r="H780" s="61"/>
      <c r="I780" s="61"/>
      <c r="J780" s="61"/>
      <c r="K780" s="61"/>
      <c r="L780" s="60"/>
    </row>
    <row r="781" spans="2:12">
      <c r="B781" s="368"/>
      <c r="C781" s="357"/>
      <c r="D781" s="127">
        <v>3</v>
      </c>
      <c r="E781" s="60" t="s">
        <v>36</v>
      </c>
      <c r="F781" s="61" t="s">
        <v>126</v>
      </c>
      <c r="G781" s="61">
        <v>1</v>
      </c>
      <c r="H781" s="61">
        <v>1</v>
      </c>
      <c r="I781" s="61"/>
      <c r="J781" s="61"/>
      <c r="K781" s="61"/>
      <c r="L781" s="60"/>
    </row>
    <row r="782" spans="2:12">
      <c r="B782" s="368"/>
      <c r="C782" s="357"/>
      <c r="D782" s="127">
        <v>4</v>
      </c>
      <c r="E782" s="146" t="s">
        <v>1564</v>
      </c>
      <c r="F782" s="61" t="s">
        <v>1358</v>
      </c>
      <c r="G782" s="61">
        <v>20</v>
      </c>
      <c r="H782" s="61"/>
      <c r="I782" s="61"/>
      <c r="J782" s="61"/>
      <c r="K782" s="61"/>
      <c r="L782" s="127"/>
    </row>
    <row r="783" spans="2:12">
      <c r="B783" s="368"/>
      <c r="C783" s="357"/>
      <c r="D783" s="146">
        <v>5</v>
      </c>
      <c r="E783" s="146"/>
      <c r="F783" s="61" t="s">
        <v>131</v>
      </c>
      <c r="G783" s="61" t="s">
        <v>162</v>
      </c>
      <c r="H783" s="61">
        <v>1</v>
      </c>
      <c r="I783" s="61"/>
      <c r="J783" s="61"/>
      <c r="K783" s="61"/>
      <c r="L783" s="146"/>
    </row>
    <row r="784" spans="2:12">
      <c r="B784" s="368"/>
      <c r="C784" s="357"/>
      <c r="D784" s="146">
        <v>6</v>
      </c>
      <c r="E784" s="146"/>
      <c r="F784" s="61" t="s">
        <v>127</v>
      </c>
      <c r="G784" s="61">
        <v>1</v>
      </c>
      <c r="H784" s="61">
        <v>1</v>
      </c>
      <c r="I784" s="61" t="s">
        <v>162</v>
      </c>
      <c r="J784" s="61"/>
      <c r="K784" s="61"/>
      <c r="L784" s="146"/>
    </row>
    <row r="785" spans="2:12">
      <c r="B785" s="368"/>
      <c r="C785" s="357"/>
      <c r="D785" s="146">
        <v>7</v>
      </c>
      <c r="E785" s="60"/>
      <c r="F785" s="61" t="s">
        <v>135</v>
      </c>
      <c r="G785" s="61">
        <v>4</v>
      </c>
      <c r="H785" s="61" t="s">
        <v>162</v>
      </c>
      <c r="I785" s="61">
        <v>255</v>
      </c>
      <c r="J785" s="61">
        <v>255</v>
      </c>
      <c r="K785" s="61">
        <v>1</v>
      </c>
      <c r="L785" s="60"/>
    </row>
    <row r="786" spans="2:12">
      <c r="B786" s="368"/>
      <c r="C786" s="357"/>
      <c r="D786" s="146">
        <v>8</v>
      </c>
      <c r="E786" s="127"/>
      <c r="F786" s="61" t="s">
        <v>1358</v>
      </c>
      <c r="G786" s="61">
        <v>100</v>
      </c>
      <c r="H786" s="61"/>
      <c r="I786" s="61"/>
      <c r="J786" s="61"/>
      <c r="K786" s="61"/>
      <c r="L786" s="127"/>
    </row>
    <row r="787" spans="2:12">
      <c r="B787" s="368"/>
      <c r="C787" s="357"/>
      <c r="D787" s="180">
        <v>9</v>
      </c>
      <c r="E787" s="180" t="s">
        <v>186</v>
      </c>
      <c r="F787" s="61" t="s">
        <v>127</v>
      </c>
      <c r="G787" s="61">
        <v>1</v>
      </c>
      <c r="H787" s="61">
        <v>1</v>
      </c>
      <c r="I787" s="61">
        <v>255</v>
      </c>
      <c r="J787" s="61"/>
      <c r="K787" s="61"/>
      <c r="L787" s="180"/>
    </row>
    <row r="788" spans="2:12">
      <c r="B788" s="368"/>
      <c r="C788" s="357"/>
      <c r="D788" s="180">
        <v>10</v>
      </c>
      <c r="E788" s="180"/>
      <c r="F788" s="61" t="s">
        <v>125</v>
      </c>
      <c r="G788" s="61">
        <v>10000</v>
      </c>
      <c r="H788" s="61"/>
      <c r="I788" s="61"/>
      <c r="J788" s="61"/>
      <c r="K788" s="61"/>
      <c r="L788" s="180"/>
    </row>
    <row r="789" spans="2:12">
      <c r="B789" s="368"/>
      <c r="C789" s="357"/>
      <c r="D789" s="180">
        <v>11</v>
      </c>
      <c r="E789" s="60" t="s">
        <v>183</v>
      </c>
      <c r="F789" s="61" t="s">
        <v>164</v>
      </c>
      <c r="G789" s="61">
        <v>1</v>
      </c>
      <c r="H789" s="61">
        <v>4</v>
      </c>
      <c r="I789" s="61" t="s">
        <v>165</v>
      </c>
      <c r="J789" s="61"/>
      <c r="K789" s="61"/>
      <c r="L789" s="60"/>
    </row>
    <row r="790" spans="2:12">
      <c r="B790" s="368"/>
      <c r="C790" s="357"/>
      <c r="D790" s="180">
        <v>12</v>
      </c>
      <c r="E790" s="60" t="s">
        <v>187</v>
      </c>
      <c r="F790" s="61" t="s">
        <v>182</v>
      </c>
      <c r="G790" s="61">
        <v>1</v>
      </c>
      <c r="H790" s="61">
        <v>1</v>
      </c>
      <c r="I790" s="61" t="s">
        <v>188</v>
      </c>
      <c r="J790" s="61"/>
      <c r="K790" s="61"/>
      <c r="L790" s="60"/>
    </row>
    <row r="791" spans="2:12">
      <c r="B791" s="368"/>
      <c r="C791" s="357"/>
      <c r="D791" s="180">
        <v>13</v>
      </c>
      <c r="E791" s="60"/>
      <c r="F791" s="61" t="s">
        <v>181</v>
      </c>
      <c r="G791" s="61">
        <v>10000</v>
      </c>
      <c r="H791" s="61"/>
      <c r="I791" s="61"/>
      <c r="J791" s="61"/>
      <c r="K791" s="61"/>
      <c r="L791" s="60"/>
    </row>
    <row r="792" spans="2:12">
      <c r="B792" s="368"/>
      <c r="C792" s="357"/>
      <c r="D792" s="180">
        <v>14</v>
      </c>
      <c r="E792" s="60" t="s">
        <v>189</v>
      </c>
      <c r="F792" s="61" t="s">
        <v>182</v>
      </c>
      <c r="G792" s="61">
        <v>1</v>
      </c>
      <c r="H792" s="61">
        <v>1</v>
      </c>
      <c r="I792" s="61">
        <v>1</v>
      </c>
      <c r="J792" s="61"/>
      <c r="K792" s="61"/>
      <c r="L792" s="60"/>
    </row>
    <row r="793" spans="2:12">
      <c r="B793" s="368"/>
      <c r="C793" s="357"/>
      <c r="D793" s="180">
        <v>15</v>
      </c>
      <c r="E793" s="60"/>
      <c r="F793" s="61" t="s">
        <v>181</v>
      </c>
      <c r="G793" s="61">
        <v>10000</v>
      </c>
      <c r="H793" s="61"/>
      <c r="I793" s="61"/>
      <c r="J793" s="61"/>
      <c r="K793" s="61"/>
      <c r="L793" s="60"/>
    </row>
    <row r="794" spans="2:12">
      <c r="B794" s="368"/>
      <c r="C794" s="357"/>
      <c r="D794" s="180">
        <v>16</v>
      </c>
      <c r="E794" s="127" t="s">
        <v>1362</v>
      </c>
      <c r="F794" s="61" t="s">
        <v>127</v>
      </c>
      <c r="G794" s="61">
        <v>1</v>
      </c>
      <c r="H794" s="61">
        <v>1</v>
      </c>
      <c r="I794" s="61" t="s">
        <v>1361</v>
      </c>
      <c r="J794" s="61"/>
      <c r="K794" s="61"/>
      <c r="L794" s="127"/>
    </row>
    <row r="795" spans="2:12">
      <c r="B795" s="368"/>
      <c r="C795" s="357"/>
      <c r="D795" s="180">
        <v>17</v>
      </c>
      <c r="E795" s="127"/>
      <c r="F795" s="61" t="s">
        <v>125</v>
      </c>
      <c r="G795" s="61">
        <v>100</v>
      </c>
      <c r="H795" s="61"/>
      <c r="I795" s="61"/>
      <c r="J795" s="61"/>
      <c r="K795" s="61"/>
      <c r="L795" s="127"/>
    </row>
    <row r="796" spans="2:12">
      <c r="B796" s="368"/>
      <c r="C796" s="357"/>
      <c r="D796" s="180">
        <v>18</v>
      </c>
      <c r="E796" s="60" t="s">
        <v>190</v>
      </c>
      <c r="F796" s="61" t="s">
        <v>123</v>
      </c>
      <c r="G796" s="61"/>
      <c r="H796" s="61"/>
      <c r="I796" s="61"/>
      <c r="J796" s="61"/>
      <c r="K796" s="61"/>
      <c r="L796" s="60"/>
    </row>
    <row r="797" spans="2:12">
      <c r="B797" s="369"/>
      <c r="C797" s="358"/>
      <c r="D797" s="60"/>
      <c r="E797" s="60"/>
      <c r="F797" s="61"/>
      <c r="G797" s="61"/>
      <c r="H797" s="61"/>
      <c r="I797" s="61"/>
      <c r="J797" s="61"/>
      <c r="K797" s="61"/>
      <c r="L797" s="60"/>
    </row>
    <row r="798" spans="2:12">
      <c r="B798" s="370" t="s">
        <v>1363</v>
      </c>
      <c r="C798" s="356" t="s">
        <v>1475</v>
      </c>
      <c r="D798" s="127">
        <v>1</v>
      </c>
      <c r="E798" s="148" t="s">
        <v>1608</v>
      </c>
      <c r="F798" s="61" t="s">
        <v>87</v>
      </c>
      <c r="G798" s="61" t="s">
        <v>1609</v>
      </c>
      <c r="H798" s="61"/>
      <c r="I798" s="61"/>
      <c r="J798" s="61"/>
      <c r="K798" s="61"/>
      <c r="L798" s="127"/>
    </row>
    <row r="799" spans="2:12">
      <c r="B799" s="368"/>
      <c r="C799" s="357"/>
      <c r="D799" s="127">
        <v>2</v>
      </c>
      <c r="E799" s="127" t="s">
        <v>142</v>
      </c>
      <c r="F799" s="61" t="s">
        <v>122</v>
      </c>
      <c r="G799" s="61"/>
      <c r="H799" s="61"/>
      <c r="I799" s="61"/>
      <c r="J799" s="61"/>
      <c r="K799" s="61"/>
      <c r="L799" s="127"/>
    </row>
    <row r="800" spans="2:12">
      <c r="B800" s="368"/>
      <c r="C800" s="357"/>
      <c r="D800" s="180">
        <v>3</v>
      </c>
      <c r="E800" s="127" t="s">
        <v>191</v>
      </c>
      <c r="F800" s="61" t="s">
        <v>126</v>
      </c>
      <c r="G800" s="61">
        <v>1</v>
      </c>
      <c r="H800" s="61" t="s">
        <v>192</v>
      </c>
      <c r="I800" s="61"/>
      <c r="J800" s="61"/>
      <c r="K800" s="61"/>
      <c r="L800" s="127"/>
    </row>
    <row r="801" spans="2:12">
      <c r="B801" s="368"/>
      <c r="C801" s="357"/>
      <c r="D801" s="180">
        <v>4</v>
      </c>
      <c r="E801" s="127" t="s">
        <v>163</v>
      </c>
      <c r="F801" s="61" t="s">
        <v>164</v>
      </c>
      <c r="G801" s="61">
        <v>1</v>
      </c>
      <c r="H801" s="61">
        <v>4</v>
      </c>
      <c r="I801" s="61" t="s">
        <v>165</v>
      </c>
      <c r="J801" s="61"/>
      <c r="K801" s="61"/>
      <c r="L801" s="127"/>
    </row>
    <row r="802" spans="2:12">
      <c r="B802" s="368"/>
      <c r="C802" s="357"/>
      <c r="D802" s="180">
        <v>5</v>
      </c>
      <c r="E802" s="127"/>
      <c r="F802" s="61" t="s">
        <v>125</v>
      </c>
      <c r="G802" s="61">
        <v>100</v>
      </c>
      <c r="H802" s="61"/>
      <c r="I802" s="61"/>
      <c r="J802" s="61"/>
      <c r="K802" s="61"/>
      <c r="L802" s="127"/>
    </row>
    <row r="803" spans="2:12">
      <c r="B803" s="368"/>
      <c r="C803" s="357"/>
      <c r="D803" s="180">
        <v>6</v>
      </c>
      <c r="E803" s="180" t="s">
        <v>1524</v>
      </c>
      <c r="F803" s="61" t="s">
        <v>81</v>
      </c>
      <c r="G803" s="61" t="s">
        <v>1517</v>
      </c>
      <c r="H803" s="61"/>
      <c r="I803" s="61"/>
      <c r="J803" s="61"/>
      <c r="K803" s="61"/>
      <c r="L803" s="180"/>
    </row>
    <row r="804" spans="2:12">
      <c r="B804" s="368"/>
      <c r="C804" s="357"/>
      <c r="D804" s="180">
        <v>7</v>
      </c>
      <c r="E804" s="127" t="s">
        <v>186</v>
      </c>
      <c r="F804" s="61" t="s">
        <v>127</v>
      </c>
      <c r="G804" s="61">
        <v>1</v>
      </c>
      <c r="H804" s="61" t="s">
        <v>192</v>
      </c>
      <c r="I804" s="61" t="s">
        <v>193</v>
      </c>
      <c r="J804" s="61"/>
      <c r="K804" s="61"/>
      <c r="L804" s="127"/>
    </row>
    <row r="805" spans="2:12">
      <c r="B805" s="368"/>
      <c r="C805" s="357"/>
      <c r="D805" s="180">
        <v>8</v>
      </c>
      <c r="E805" s="142" t="s">
        <v>194</v>
      </c>
      <c r="F805" s="61" t="s">
        <v>125</v>
      </c>
      <c r="G805" s="61" t="s">
        <v>1546</v>
      </c>
      <c r="H805" s="61"/>
      <c r="I805" s="61"/>
      <c r="J805" s="61"/>
      <c r="K805" s="61"/>
      <c r="L805" s="127"/>
    </row>
    <row r="806" spans="2:12">
      <c r="B806" s="368"/>
      <c r="C806" s="357"/>
      <c r="D806" s="180">
        <v>9</v>
      </c>
      <c r="E806" s="180" t="s">
        <v>1525</v>
      </c>
      <c r="F806" s="61" t="s">
        <v>81</v>
      </c>
      <c r="G806" s="61" t="s">
        <v>196</v>
      </c>
      <c r="H806" s="61" t="s">
        <v>197</v>
      </c>
      <c r="I806" s="61" t="s">
        <v>197</v>
      </c>
      <c r="J806" s="61"/>
      <c r="K806" s="61"/>
      <c r="L806" s="180"/>
    </row>
    <row r="807" spans="2:12">
      <c r="B807" s="368"/>
      <c r="C807" s="357"/>
      <c r="D807" s="180">
        <v>10</v>
      </c>
      <c r="E807" s="180"/>
      <c r="F807" s="61" t="s">
        <v>81</v>
      </c>
      <c r="G807" s="61" t="s">
        <v>198</v>
      </c>
      <c r="H807" s="61" t="s">
        <v>199</v>
      </c>
      <c r="I807" s="61" t="s">
        <v>197</v>
      </c>
      <c r="J807" s="61" t="s">
        <v>197</v>
      </c>
      <c r="K807" s="61">
        <v>1</v>
      </c>
      <c r="L807" s="180"/>
    </row>
    <row r="808" spans="2:12">
      <c r="B808" s="368"/>
      <c r="C808" s="357"/>
      <c r="D808" s="180">
        <v>11</v>
      </c>
      <c r="E808" s="127" t="s">
        <v>146</v>
      </c>
      <c r="F808" s="61" t="s">
        <v>123</v>
      </c>
      <c r="G808" s="61"/>
      <c r="H808" s="61"/>
      <c r="I808" s="61"/>
      <c r="J808" s="61"/>
      <c r="K808" s="61"/>
      <c r="L808" s="127"/>
    </row>
    <row r="809" spans="2:12">
      <c r="B809" s="369"/>
      <c r="C809" s="358"/>
      <c r="D809" s="127"/>
      <c r="E809" s="127"/>
      <c r="F809" s="61"/>
      <c r="G809" s="61"/>
      <c r="H809" s="61"/>
      <c r="I809" s="61"/>
      <c r="J809" s="61"/>
      <c r="K809" s="61"/>
      <c r="L809" s="127"/>
    </row>
    <row r="810" spans="2:12">
      <c r="B810" s="370" t="s">
        <v>1364</v>
      </c>
      <c r="C810" s="356" t="s">
        <v>1475</v>
      </c>
      <c r="D810" s="60">
        <v>1</v>
      </c>
      <c r="E810" s="148" t="s">
        <v>1608</v>
      </c>
      <c r="F810" s="61" t="s">
        <v>87</v>
      </c>
      <c r="G810" s="61" t="s">
        <v>1609</v>
      </c>
      <c r="H810" s="61"/>
      <c r="I810" s="61"/>
      <c r="J810" s="61"/>
      <c r="K810" s="61"/>
      <c r="L810" s="60"/>
    </row>
    <row r="811" spans="2:12">
      <c r="B811" s="368"/>
      <c r="C811" s="357"/>
      <c r="D811" s="60">
        <v>2</v>
      </c>
      <c r="E811" s="60" t="s">
        <v>142</v>
      </c>
      <c r="F811" s="61" t="s">
        <v>122</v>
      </c>
      <c r="G811" s="61"/>
      <c r="H811" s="61"/>
      <c r="I811" s="61"/>
      <c r="J811" s="61"/>
      <c r="K811" s="61"/>
      <c r="L811" s="60"/>
    </row>
    <row r="812" spans="2:12">
      <c r="B812" s="368"/>
      <c r="C812" s="357"/>
      <c r="D812" s="127">
        <v>3</v>
      </c>
      <c r="E812" s="60" t="s">
        <v>191</v>
      </c>
      <c r="F812" s="61" t="s">
        <v>126</v>
      </c>
      <c r="G812" s="61">
        <v>1</v>
      </c>
      <c r="H812" s="61" t="s">
        <v>192</v>
      </c>
      <c r="I812" s="61"/>
      <c r="J812" s="61"/>
      <c r="K812" s="61"/>
      <c r="L812" s="60"/>
    </row>
    <row r="813" spans="2:12">
      <c r="B813" s="368"/>
      <c r="C813" s="357"/>
      <c r="D813" s="127">
        <v>4</v>
      </c>
      <c r="E813" s="60" t="s">
        <v>183</v>
      </c>
      <c r="F813" s="61" t="s">
        <v>164</v>
      </c>
      <c r="G813" s="61">
        <v>1</v>
      </c>
      <c r="H813" s="61">
        <v>4</v>
      </c>
      <c r="I813" s="61" t="s">
        <v>165</v>
      </c>
      <c r="J813" s="61"/>
      <c r="K813" s="61"/>
      <c r="L813" s="60"/>
    </row>
    <row r="814" spans="2:12">
      <c r="B814" s="368"/>
      <c r="C814" s="357"/>
      <c r="D814" s="127">
        <v>5</v>
      </c>
      <c r="E814" s="60"/>
      <c r="F814" s="61" t="s">
        <v>181</v>
      </c>
      <c r="G814" s="61">
        <v>100</v>
      </c>
      <c r="H814" s="61"/>
      <c r="I814" s="61"/>
      <c r="J814" s="61"/>
      <c r="K814" s="61"/>
      <c r="L814" s="60"/>
    </row>
    <row r="815" spans="2:12">
      <c r="B815" s="368"/>
      <c r="C815" s="357"/>
      <c r="D815" s="127">
        <v>6</v>
      </c>
      <c r="E815" s="60" t="s">
        <v>186</v>
      </c>
      <c r="F815" s="61" t="s">
        <v>182</v>
      </c>
      <c r="G815" s="61">
        <v>1</v>
      </c>
      <c r="H815" s="61" t="s">
        <v>192</v>
      </c>
      <c r="I815" s="61" t="s">
        <v>193</v>
      </c>
      <c r="J815" s="61"/>
      <c r="K815" s="61"/>
      <c r="L815" s="60"/>
    </row>
    <row r="816" spans="2:12">
      <c r="B816" s="368"/>
      <c r="C816" s="357"/>
      <c r="D816" s="127">
        <v>7</v>
      </c>
      <c r="E816" s="60"/>
      <c r="F816" s="61" t="s">
        <v>817</v>
      </c>
      <c r="G816" s="61">
        <v>1000</v>
      </c>
      <c r="H816" s="61"/>
      <c r="I816" s="61"/>
      <c r="J816" s="61"/>
      <c r="K816" s="61"/>
      <c r="L816" s="60"/>
    </row>
    <row r="817" spans="2:12">
      <c r="B817" s="368"/>
      <c r="C817" s="357"/>
      <c r="D817" s="127">
        <v>8</v>
      </c>
      <c r="E817" s="60" t="s">
        <v>146</v>
      </c>
      <c r="F817" s="61" t="s">
        <v>123</v>
      </c>
      <c r="G817" s="61"/>
      <c r="H817" s="61"/>
      <c r="I817" s="61"/>
      <c r="J817" s="61"/>
      <c r="K817" s="61"/>
      <c r="L817" s="60"/>
    </row>
    <row r="818" spans="2:12">
      <c r="B818" s="369"/>
      <c r="C818" s="358"/>
      <c r="D818" s="60"/>
      <c r="E818" s="60"/>
      <c r="F818" s="61"/>
      <c r="G818" s="61"/>
      <c r="H818" s="61"/>
      <c r="I818" s="61"/>
      <c r="J818" s="61"/>
      <c r="K818" s="61"/>
      <c r="L818" s="60"/>
    </row>
    <row r="819" spans="2:12">
      <c r="B819" s="370" t="s">
        <v>1365</v>
      </c>
      <c r="C819" s="356" t="s">
        <v>1475</v>
      </c>
      <c r="D819" s="127">
        <v>1</v>
      </c>
      <c r="E819" s="148" t="s">
        <v>1608</v>
      </c>
      <c r="F819" s="61" t="s">
        <v>87</v>
      </c>
      <c r="G819" s="61" t="s">
        <v>1609</v>
      </c>
      <c r="H819" s="61"/>
      <c r="I819" s="61"/>
      <c r="J819" s="61"/>
      <c r="K819" s="61"/>
      <c r="L819" s="127"/>
    </row>
    <row r="820" spans="2:12">
      <c r="B820" s="368"/>
      <c r="C820" s="357"/>
      <c r="D820" s="127">
        <v>2</v>
      </c>
      <c r="E820" s="127" t="s">
        <v>142</v>
      </c>
      <c r="F820" s="61" t="s">
        <v>122</v>
      </c>
      <c r="G820" s="61"/>
      <c r="H820" s="61"/>
      <c r="I820" s="61"/>
      <c r="J820" s="61"/>
      <c r="K820" s="61"/>
      <c r="L820" s="127"/>
    </row>
    <row r="821" spans="2:12">
      <c r="B821" s="368"/>
      <c r="C821" s="357"/>
      <c r="D821" s="180">
        <v>3</v>
      </c>
      <c r="E821" s="127" t="s">
        <v>191</v>
      </c>
      <c r="F821" s="61" t="s">
        <v>126</v>
      </c>
      <c r="G821" s="61">
        <v>1</v>
      </c>
      <c r="H821" s="61" t="s">
        <v>192</v>
      </c>
      <c r="I821" s="61"/>
      <c r="J821" s="61"/>
      <c r="K821" s="61"/>
      <c r="L821" s="127"/>
    </row>
    <row r="822" spans="2:12">
      <c r="B822" s="368"/>
      <c r="C822" s="357"/>
      <c r="D822" s="180">
        <v>4</v>
      </c>
      <c r="E822" s="127" t="s">
        <v>163</v>
      </c>
      <c r="F822" s="61" t="s">
        <v>164</v>
      </c>
      <c r="G822" s="61">
        <v>1</v>
      </c>
      <c r="H822" s="61">
        <v>4</v>
      </c>
      <c r="I822" s="61" t="s">
        <v>165</v>
      </c>
      <c r="J822" s="61"/>
      <c r="K822" s="61"/>
      <c r="L822" s="127"/>
    </row>
    <row r="823" spans="2:12">
      <c r="B823" s="368"/>
      <c r="C823" s="357"/>
      <c r="D823" s="180">
        <v>5</v>
      </c>
      <c r="E823" s="127"/>
      <c r="F823" s="61" t="s">
        <v>125</v>
      </c>
      <c r="G823" s="61">
        <v>100</v>
      </c>
      <c r="H823" s="61"/>
      <c r="I823" s="61"/>
      <c r="J823" s="61"/>
      <c r="K823" s="61"/>
      <c r="L823" s="127"/>
    </row>
    <row r="824" spans="2:12">
      <c r="B824" s="368"/>
      <c r="C824" s="357"/>
      <c r="D824" s="180">
        <v>6</v>
      </c>
      <c r="E824" s="180" t="s">
        <v>1524</v>
      </c>
      <c r="F824" s="61" t="s">
        <v>81</v>
      </c>
      <c r="G824" s="61" t="s">
        <v>1517</v>
      </c>
      <c r="H824" s="61"/>
      <c r="I824" s="61"/>
      <c r="J824" s="61"/>
      <c r="K824" s="61"/>
      <c r="L824" s="180"/>
    </row>
    <row r="825" spans="2:12">
      <c r="B825" s="368"/>
      <c r="C825" s="357"/>
      <c r="D825" s="180">
        <v>7</v>
      </c>
      <c r="E825" s="127" t="s">
        <v>187</v>
      </c>
      <c r="F825" s="61" t="s">
        <v>127</v>
      </c>
      <c r="G825" s="61">
        <v>1</v>
      </c>
      <c r="H825" s="61" t="s">
        <v>192</v>
      </c>
      <c r="I825" s="61" t="s">
        <v>188</v>
      </c>
      <c r="J825" s="61"/>
      <c r="K825" s="61"/>
      <c r="L825" s="127"/>
    </row>
    <row r="826" spans="2:12">
      <c r="B826" s="368"/>
      <c r="C826" s="357"/>
      <c r="D826" s="180">
        <v>8</v>
      </c>
      <c r="E826" s="142" t="s">
        <v>194</v>
      </c>
      <c r="F826" s="61" t="s">
        <v>125</v>
      </c>
      <c r="G826" s="61" t="s">
        <v>1546</v>
      </c>
      <c r="H826" s="61"/>
      <c r="I826" s="61"/>
      <c r="J826" s="61"/>
      <c r="K826" s="61"/>
      <c r="L826" s="127"/>
    </row>
    <row r="827" spans="2:12">
      <c r="B827" s="368"/>
      <c r="C827" s="357"/>
      <c r="D827" s="180">
        <v>9</v>
      </c>
      <c r="E827" s="180" t="s">
        <v>195</v>
      </c>
      <c r="F827" s="61" t="s">
        <v>81</v>
      </c>
      <c r="G827" s="61" t="s">
        <v>196</v>
      </c>
      <c r="H827" s="61" t="s">
        <v>197</v>
      </c>
      <c r="I827" s="61" t="s">
        <v>197</v>
      </c>
      <c r="J827" s="61"/>
      <c r="K827" s="61"/>
      <c r="L827" s="180"/>
    </row>
    <row r="828" spans="2:12">
      <c r="B828" s="368"/>
      <c r="C828" s="357"/>
      <c r="D828" s="180">
        <v>10</v>
      </c>
      <c r="E828" s="180"/>
      <c r="F828" s="61" t="s">
        <v>81</v>
      </c>
      <c r="G828" s="61" t="s">
        <v>198</v>
      </c>
      <c r="H828" s="61" t="s">
        <v>199</v>
      </c>
      <c r="I828" s="61" t="s">
        <v>197</v>
      </c>
      <c r="J828" s="61" t="s">
        <v>197</v>
      </c>
      <c r="K828" s="61"/>
      <c r="L828" s="180"/>
    </row>
    <row r="829" spans="2:12">
      <c r="B829" s="368"/>
      <c r="C829" s="357"/>
      <c r="D829" s="180">
        <v>11</v>
      </c>
      <c r="E829" s="127" t="s">
        <v>146</v>
      </c>
      <c r="F829" s="61" t="s">
        <v>123</v>
      </c>
      <c r="G829" s="61"/>
      <c r="H829" s="61"/>
      <c r="I829" s="61"/>
      <c r="J829" s="61"/>
      <c r="K829" s="61"/>
      <c r="L829" s="127"/>
    </row>
    <row r="830" spans="2:12">
      <c r="B830" s="369"/>
      <c r="C830" s="358"/>
      <c r="D830" s="127"/>
      <c r="E830" s="127"/>
      <c r="F830" s="61"/>
      <c r="G830" s="61"/>
      <c r="H830" s="61"/>
      <c r="I830" s="61"/>
      <c r="J830" s="61"/>
      <c r="K830" s="61"/>
      <c r="L830" s="127"/>
    </row>
    <row r="831" spans="2:12">
      <c r="B831" s="370" t="s">
        <v>1366</v>
      </c>
      <c r="C831" s="356" t="s">
        <v>1475</v>
      </c>
      <c r="D831" s="60">
        <v>1</v>
      </c>
      <c r="E831" s="148" t="s">
        <v>1608</v>
      </c>
      <c r="F831" s="61" t="s">
        <v>87</v>
      </c>
      <c r="G831" s="61" t="s">
        <v>1609</v>
      </c>
      <c r="H831" s="61"/>
      <c r="I831" s="61"/>
      <c r="J831" s="61"/>
      <c r="K831" s="61"/>
      <c r="L831" s="60"/>
    </row>
    <row r="832" spans="2:12">
      <c r="B832" s="368"/>
      <c r="C832" s="357"/>
      <c r="D832" s="60">
        <v>2</v>
      </c>
      <c r="E832" s="60" t="s">
        <v>142</v>
      </c>
      <c r="F832" s="61" t="s">
        <v>122</v>
      </c>
      <c r="G832" s="61"/>
      <c r="H832" s="61"/>
      <c r="I832" s="61"/>
      <c r="J832" s="61"/>
      <c r="K832" s="61"/>
      <c r="L832" s="60"/>
    </row>
    <row r="833" spans="2:12">
      <c r="B833" s="368"/>
      <c r="C833" s="357"/>
      <c r="D833" s="60">
        <v>3</v>
      </c>
      <c r="E833" s="60" t="s">
        <v>191</v>
      </c>
      <c r="F833" s="61" t="s">
        <v>126</v>
      </c>
      <c r="G833" s="61">
        <v>1</v>
      </c>
      <c r="H833" s="61" t="s">
        <v>192</v>
      </c>
      <c r="I833" s="61"/>
      <c r="J833" s="61"/>
      <c r="K833" s="61"/>
      <c r="L833" s="60"/>
    </row>
    <row r="834" spans="2:12">
      <c r="B834" s="368"/>
      <c r="C834" s="357"/>
      <c r="D834" s="60">
        <v>4</v>
      </c>
      <c r="E834" s="60" t="s">
        <v>183</v>
      </c>
      <c r="F834" s="61" t="s">
        <v>164</v>
      </c>
      <c r="G834" s="61">
        <v>1</v>
      </c>
      <c r="H834" s="61">
        <v>4</v>
      </c>
      <c r="I834" s="61" t="s">
        <v>165</v>
      </c>
      <c r="J834" s="61"/>
      <c r="K834" s="61"/>
      <c r="L834" s="60"/>
    </row>
    <row r="835" spans="2:12">
      <c r="B835" s="368"/>
      <c r="C835" s="357"/>
      <c r="D835" s="60">
        <v>5</v>
      </c>
      <c r="E835" s="60"/>
      <c r="F835" s="61" t="s">
        <v>181</v>
      </c>
      <c r="G835" s="61">
        <v>100</v>
      </c>
      <c r="H835" s="61"/>
      <c r="I835" s="61"/>
      <c r="J835" s="61"/>
      <c r="K835" s="61"/>
      <c r="L835" s="60"/>
    </row>
    <row r="836" spans="2:12">
      <c r="B836" s="368"/>
      <c r="C836" s="357"/>
      <c r="D836" s="60">
        <v>6</v>
      </c>
      <c r="E836" s="60" t="s">
        <v>187</v>
      </c>
      <c r="F836" s="61" t="s">
        <v>182</v>
      </c>
      <c r="G836" s="61">
        <v>1</v>
      </c>
      <c r="H836" s="61" t="s">
        <v>192</v>
      </c>
      <c r="I836" s="61" t="s">
        <v>188</v>
      </c>
      <c r="J836" s="61"/>
      <c r="K836" s="61"/>
      <c r="L836" s="60"/>
    </row>
    <row r="837" spans="2:12">
      <c r="B837" s="368"/>
      <c r="C837" s="357"/>
      <c r="D837" s="60">
        <v>7</v>
      </c>
      <c r="E837" s="60"/>
      <c r="F837" s="61" t="s">
        <v>817</v>
      </c>
      <c r="G837" s="61">
        <v>1000</v>
      </c>
      <c r="H837" s="61"/>
      <c r="I837" s="61"/>
      <c r="J837" s="61"/>
      <c r="K837" s="61"/>
      <c r="L837" s="60"/>
    </row>
    <row r="838" spans="2:12">
      <c r="B838" s="368"/>
      <c r="C838" s="357"/>
      <c r="D838" s="60">
        <v>8</v>
      </c>
      <c r="E838" s="60" t="s">
        <v>146</v>
      </c>
      <c r="F838" s="61" t="s">
        <v>123</v>
      </c>
      <c r="G838" s="61"/>
      <c r="H838" s="61"/>
      <c r="I838" s="61"/>
      <c r="J838" s="61"/>
      <c r="K838" s="61"/>
      <c r="L838" s="60"/>
    </row>
    <row r="839" spans="2:12">
      <c r="B839" s="369"/>
      <c r="C839" s="358"/>
      <c r="D839" s="60"/>
      <c r="E839" s="60"/>
      <c r="F839" s="61"/>
      <c r="G839" s="61"/>
      <c r="H839" s="61"/>
      <c r="I839" s="61"/>
      <c r="J839" s="61"/>
      <c r="K839" s="61"/>
      <c r="L839" s="60"/>
    </row>
    <row r="840" spans="2:12">
      <c r="B840" s="370" t="s">
        <v>1367</v>
      </c>
      <c r="C840" s="356" t="s">
        <v>1475</v>
      </c>
      <c r="D840" s="127">
        <v>1</v>
      </c>
      <c r="E840" s="148" t="s">
        <v>1608</v>
      </c>
      <c r="F840" s="61" t="s">
        <v>87</v>
      </c>
      <c r="G840" s="61" t="s">
        <v>1609</v>
      </c>
      <c r="H840" s="61"/>
      <c r="I840" s="61"/>
      <c r="J840" s="61"/>
      <c r="K840" s="61"/>
      <c r="L840" s="127"/>
    </row>
    <row r="841" spans="2:12">
      <c r="B841" s="368"/>
      <c r="C841" s="357"/>
      <c r="D841" s="127">
        <v>2</v>
      </c>
      <c r="E841" s="127" t="s">
        <v>142</v>
      </c>
      <c r="F841" s="61" t="s">
        <v>122</v>
      </c>
      <c r="G841" s="61"/>
      <c r="H841" s="61"/>
      <c r="I841" s="61"/>
      <c r="J841" s="61"/>
      <c r="K841" s="61"/>
      <c r="L841" s="127"/>
    </row>
    <row r="842" spans="2:12">
      <c r="B842" s="368"/>
      <c r="C842" s="357"/>
      <c r="D842" s="180">
        <v>3</v>
      </c>
      <c r="E842" s="127" t="s">
        <v>191</v>
      </c>
      <c r="F842" s="61" t="s">
        <v>126</v>
      </c>
      <c r="G842" s="61">
        <v>1</v>
      </c>
      <c r="H842" s="61" t="s">
        <v>192</v>
      </c>
      <c r="I842" s="61"/>
      <c r="J842" s="61"/>
      <c r="K842" s="61"/>
      <c r="L842" s="127"/>
    </row>
    <row r="843" spans="2:12">
      <c r="B843" s="368"/>
      <c r="C843" s="357"/>
      <c r="D843" s="180">
        <v>4</v>
      </c>
      <c r="E843" s="127" t="s">
        <v>163</v>
      </c>
      <c r="F843" s="61" t="s">
        <v>164</v>
      </c>
      <c r="G843" s="61">
        <v>1</v>
      </c>
      <c r="H843" s="61">
        <v>4</v>
      </c>
      <c r="I843" s="61" t="s">
        <v>165</v>
      </c>
      <c r="J843" s="61"/>
      <c r="K843" s="61"/>
      <c r="L843" s="127"/>
    </row>
    <row r="844" spans="2:12">
      <c r="B844" s="368"/>
      <c r="C844" s="357"/>
      <c r="D844" s="180">
        <v>5</v>
      </c>
      <c r="E844" s="127"/>
      <c r="F844" s="61" t="s">
        <v>125</v>
      </c>
      <c r="G844" s="61">
        <v>100</v>
      </c>
      <c r="H844" s="61"/>
      <c r="I844" s="61"/>
      <c r="J844" s="61"/>
      <c r="K844" s="61"/>
      <c r="L844" s="127"/>
    </row>
    <row r="845" spans="2:12">
      <c r="B845" s="368"/>
      <c r="C845" s="357"/>
      <c r="D845" s="180">
        <v>6</v>
      </c>
      <c r="E845" s="180" t="s">
        <v>1524</v>
      </c>
      <c r="F845" s="61" t="s">
        <v>81</v>
      </c>
      <c r="G845" s="61" t="s">
        <v>1517</v>
      </c>
      <c r="H845" s="61"/>
      <c r="I845" s="61"/>
      <c r="J845" s="61"/>
      <c r="K845" s="61"/>
      <c r="L845" s="180"/>
    </row>
    <row r="846" spans="2:12">
      <c r="B846" s="368"/>
      <c r="C846" s="357"/>
      <c r="D846" s="180">
        <v>7</v>
      </c>
      <c r="E846" s="127" t="s">
        <v>189</v>
      </c>
      <c r="F846" s="61" t="s">
        <v>127</v>
      </c>
      <c r="G846" s="61">
        <v>1</v>
      </c>
      <c r="H846" s="61" t="s">
        <v>192</v>
      </c>
      <c r="I846" s="61">
        <v>1</v>
      </c>
      <c r="J846" s="61"/>
      <c r="K846" s="61"/>
      <c r="L846" s="127"/>
    </row>
    <row r="847" spans="2:12">
      <c r="B847" s="368"/>
      <c r="C847" s="357"/>
      <c r="D847" s="180">
        <v>8</v>
      </c>
      <c r="E847" s="142" t="s">
        <v>194</v>
      </c>
      <c r="F847" s="61" t="s">
        <v>125</v>
      </c>
      <c r="G847" s="61" t="s">
        <v>1546</v>
      </c>
      <c r="H847" s="61"/>
      <c r="I847" s="61"/>
      <c r="J847" s="61"/>
      <c r="K847" s="61"/>
      <c r="L847" s="127"/>
    </row>
    <row r="848" spans="2:12">
      <c r="B848" s="368"/>
      <c r="C848" s="357"/>
      <c r="D848" s="180">
        <v>9</v>
      </c>
      <c r="E848" s="180" t="s">
        <v>195</v>
      </c>
      <c r="F848" s="61" t="s">
        <v>81</v>
      </c>
      <c r="G848" s="61" t="s">
        <v>196</v>
      </c>
      <c r="H848" s="61" t="s">
        <v>197</v>
      </c>
      <c r="I848" s="61" t="s">
        <v>197</v>
      </c>
      <c r="J848" s="61"/>
      <c r="K848" s="61"/>
      <c r="L848" s="180"/>
    </row>
    <row r="849" spans="2:12">
      <c r="B849" s="368"/>
      <c r="C849" s="357"/>
      <c r="D849" s="180">
        <v>10</v>
      </c>
      <c r="E849" s="180"/>
      <c r="F849" s="61" t="s">
        <v>81</v>
      </c>
      <c r="G849" s="61" t="s">
        <v>198</v>
      </c>
      <c r="H849" s="61" t="s">
        <v>199</v>
      </c>
      <c r="I849" s="61" t="s">
        <v>197</v>
      </c>
      <c r="J849" s="61" t="s">
        <v>197</v>
      </c>
      <c r="K849" s="61"/>
      <c r="L849" s="180"/>
    </row>
    <row r="850" spans="2:12">
      <c r="B850" s="368"/>
      <c r="C850" s="357"/>
      <c r="D850" s="180">
        <v>11</v>
      </c>
      <c r="E850" s="127" t="s">
        <v>146</v>
      </c>
      <c r="F850" s="61" t="s">
        <v>123</v>
      </c>
      <c r="G850" s="61"/>
      <c r="H850" s="61"/>
      <c r="I850" s="61"/>
      <c r="J850" s="61"/>
      <c r="K850" s="61"/>
      <c r="L850" s="127"/>
    </row>
    <row r="851" spans="2:12">
      <c r="B851" s="369"/>
      <c r="C851" s="358"/>
      <c r="D851" s="127"/>
      <c r="E851" s="127"/>
      <c r="F851" s="61"/>
      <c r="G851" s="61"/>
      <c r="H851" s="61"/>
      <c r="I851" s="61"/>
      <c r="J851" s="61"/>
      <c r="K851" s="61"/>
      <c r="L851" s="127"/>
    </row>
    <row r="852" spans="2:12">
      <c r="B852" s="370" t="s">
        <v>1368</v>
      </c>
      <c r="C852" s="356" t="s">
        <v>1475</v>
      </c>
      <c r="D852" s="60">
        <v>1</v>
      </c>
      <c r="E852" s="148" t="s">
        <v>1608</v>
      </c>
      <c r="F852" s="61" t="s">
        <v>87</v>
      </c>
      <c r="G852" s="61" t="s">
        <v>1609</v>
      </c>
      <c r="H852" s="61"/>
      <c r="I852" s="61"/>
      <c r="J852" s="61"/>
      <c r="K852" s="61"/>
      <c r="L852" s="60"/>
    </row>
    <row r="853" spans="2:12">
      <c r="B853" s="368"/>
      <c r="C853" s="357"/>
      <c r="D853" s="60">
        <v>2</v>
      </c>
      <c r="E853" s="60" t="s">
        <v>142</v>
      </c>
      <c r="F853" s="61" t="s">
        <v>122</v>
      </c>
      <c r="G853" s="61"/>
      <c r="H853" s="61"/>
      <c r="I853" s="61"/>
      <c r="J853" s="61"/>
      <c r="K853" s="61"/>
      <c r="L853" s="60"/>
    </row>
    <row r="854" spans="2:12">
      <c r="B854" s="368"/>
      <c r="C854" s="357"/>
      <c r="D854" s="60">
        <v>3</v>
      </c>
      <c r="E854" s="60" t="s">
        <v>191</v>
      </c>
      <c r="F854" s="61" t="s">
        <v>126</v>
      </c>
      <c r="G854" s="61">
        <v>1</v>
      </c>
      <c r="H854" s="61" t="s">
        <v>192</v>
      </c>
      <c r="I854" s="61"/>
      <c r="J854" s="61"/>
      <c r="K854" s="61"/>
      <c r="L854" s="60"/>
    </row>
    <row r="855" spans="2:12">
      <c r="B855" s="368"/>
      <c r="C855" s="357"/>
      <c r="D855" s="60">
        <v>4</v>
      </c>
      <c r="E855" s="60" t="s">
        <v>183</v>
      </c>
      <c r="F855" s="61" t="s">
        <v>164</v>
      </c>
      <c r="G855" s="61">
        <v>1</v>
      </c>
      <c r="H855" s="61">
        <v>4</v>
      </c>
      <c r="I855" s="61" t="s">
        <v>165</v>
      </c>
      <c r="J855" s="61"/>
      <c r="K855" s="61"/>
      <c r="L855" s="60"/>
    </row>
    <row r="856" spans="2:12">
      <c r="B856" s="368"/>
      <c r="C856" s="357"/>
      <c r="D856" s="127">
        <v>5</v>
      </c>
      <c r="E856" s="60"/>
      <c r="F856" s="61" t="s">
        <v>181</v>
      </c>
      <c r="G856" s="61">
        <v>100</v>
      </c>
      <c r="H856" s="61"/>
      <c r="I856" s="61"/>
      <c r="J856" s="61"/>
      <c r="K856" s="61"/>
      <c r="L856" s="60"/>
    </row>
    <row r="857" spans="2:12">
      <c r="B857" s="368"/>
      <c r="C857" s="357"/>
      <c r="D857" s="127">
        <v>6</v>
      </c>
      <c r="E857" s="60" t="s">
        <v>189</v>
      </c>
      <c r="F857" s="61" t="s">
        <v>182</v>
      </c>
      <c r="G857" s="61">
        <v>1</v>
      </c>
      <c r="H857" s="61" t="s">
        <v>192</v>
      </c>
      <c r="I857" s="61">
        <v>1</v>
      </c>
      <c r="J857" s="61"/>
      <c r="K857" s="61"/>
      <c r="L857" s="60"/>
    </row>
    <row r="858" spans="2:12">
      <c r="B858" s="368"/>
      <c r="C858" s="357"/>
      <c r="D858" s="127">
        <v>7</v>
      </c>
      <c r="E858" s="60"/>
      <c r="F858" s="61" t="s">
        <v>817</v>
      </c>
      <c r="G858" s="61">
        <v>1000</v>
      </c>
      <c r="H858" s="61"/>
      <c r="I858" s="61"/>
      <c r="J858" s="61"/>
      <c r="K858" s="61"/>
      <c r="L858" s="60"/>
    </row>
    <row r="859" spans="2:12">
      <c r="B859" s="368"/>
      <c r="C859" s="357"/>
      <c r="D859" s="127">
        <v>8</v>
      </c>
      <c r="E859" s="60" t="s">
        <v>146</v>
      </c>
      <c r="F859" s="61" t="s">
        <v>123</v>
      </c>
      <c r="G859" s="61"/>
      <c r="H859" s="61"/>
      <c r="I859" s="61"/>
      <c r="J859" s="61"/>
      <c r="K859" s="61"/>
      <c r="L859" s="60"/>
    </row>
    <row r="860" spans="2:12">
      <c r="B860" s="369"/>
      <c r="C860" s="358"/>
      <c r="D860" s="60"/>
      <c r="E860" s="60"/>
      <c r="F860" s="61"/>
      <c r="G860" s="61"/>
      <c r="H860" s="61"/>
      <c r="I860" s="61"/>
      <c r="J860" s="61"/>
      <c r="K860" s="61"/>
      <c r="L860" s="60"/>
    </row>
    <row r="861" spans="2:12">
      <c r="B861" s="370" t="s">
        <v>1369</v>
      </c>
      <c r="C861" s="356" t="s">
        <v>1475</v>
      </c>
      <c r="D861" s="127">
        <v>1</v>
      </c>
      <c r="E861" s="148" t="s">
        <v>1608</v>
      </c>
      <c r="F861" s="61" t="s">
        <v>87</v>
      </c>
      <c r="G861" s="61" t="s">
        <v>1609</v>
      </c>
      <c r="H861" s="61"/>
      <c r="I861" s="61"/>
      <c r="J861" s="61"/>
      <c r="K861" s="61"/>
      <c r="L861" s="127"/>
    </row>
    <row r="862" spans="2:12">
      <c r="B862" s="368"/>
      <c r="C862" s="357"/>
      <c r="D862" s="127">
        <v>2</v>
      </c>
      <c r="E862" s="127" t="s">
        <v>142</v>
      </c>
      <c r="F862" s="61" t="s">
        <v>122</v>
      </c>
      <c r="G862" s="61"/>
      <c r="H862" s="61"/>
      <c r="I862" s="61"/>
      <c r="J862" s="61"/>
      <c r="K862" s="61"/>
      <c r="L862" s="127"/>
    </row>
    <row r="863" spans="2:12">
      <c r="B863" s="368"/>
      <c r="C863" s="357"/>
      <c r="D863" s="180">
        <v>3</v>
      </c>
      <c r="E863" s="127" t="s">
        <v>191</v>
      </c>
      <c r="F863" s="61" t="s">
        <v>126</v>
      </c>
      <c r="G863" s="61">
        <v>1</v>
      </c>
      <c r="H863" s="61" t="s">
        <v>192</v>
      </c>
      <c r="I863" s="61"/>
      <c r="J863" s="61"/>
      <c r="K863" s="61"/>
      <c r="L863" s="127"/>
    </row>
    <row r="864" spans="2:12">
      <c r="B864" s="368"/>
      <c r="C864" s="357"/>
      <c r="D864" s="180">
        <v>4</v>
      </c>
      <c r="E864" s="127" t="s">
        <v>163</v>
      </c>
      <c r="F864" s="61" t="s">
        <v>164</v>
      </c>
      <c r="G864" s="61">
        <v>1</v>
      </c>
      <c r="H864" s="61">
        <v>4</v>
      </c>
      <c r="I864" s="61" t="s">
        <v>165</v>
      </c>
      <c r="J864" s="61"/>
      <c r="K864" s="61"/>
      <c r="L864" s="127"/>
    </row>
    <row r="865" spans="2:12">
      <c r="B865" s="368"/>
      <c r="C865" s="357"/>
      <c r="D865" s="180">
        <v>5</v>
      </c>
      <c r="E865" s="127"/>
      <c r="F865" s="61" t="s">
        <v>125</v>
      </c>
      <c r="G865" s="61">
        <v>100</v>
      </c>
      <c r="H865" s="61"/>
      <c r="I865" s="61"/>
      <c r="J865" s="61"/>
      <c r="K865" s="61"/>
      <c r="L865" s="127"/>
    </row>
    <row r="866" spans="2:12">
      <c r="B866" s="368"/>
      <c r="C866" s="357"/>
      <c r="D866" s="180">
        <v>6</v>
      </c>
      <c r="E866" s="180" t="s">
        <v>1524</v>
      </c>
      <c r="F866" s="61" t="s">
        <v>81</v>
      </c>
      <c r="G866" s="61" t="s">
        <v>1517</v>
      </c>
      <c r="H866" s="61"/>
      <c r="I866" s="61"/>
      <c r="J866" s="61"/>
      <c r="K866" s="61"/>
      <c r="L866" s="180"/>
    </row>
    <row r="867" spans="2:12">
      <c r="B867" s="368"/>
      <c r="C867" s="357"/>
      <c r="D867" s="180">
        <v>7</v>
      </c>
      <c r="E867" s="127" t="s">
        <v>1103</v>
      </c>
      <c r="F867" s="61" t="s">
        <v>127</v>
      </c>
      <c r="G867" s="61">
        <v>1</v>
      </c>
      <c r="H867" s="61" t="s">
        <v>192</v>
      </c>
      <c r="I867" s="61">
        <v>128</v>
      </c>
      <c r="J867" s="61"/>
      <c r="K867" s="61"/>
      <c r="L867" s="127"/>
    </row>
    <row r="868" spans="2:12">
      <c r="B868" s="368"/>
      <c r="C868" s="357"/>
      <c r="D868" s="180">
        <v>8</v>
      </c>
      <c r="E868" s="142" t="s">
        <v>194</v>
      </c>
      <c r="F868" s="61" t="s">
        <v>125</v>
      </c>
      <c r="G868" s="61" t="s">
        <v>1546</v>
      </c>
      <c r="H868" s="61"/>
      <c r="I868" s="61"/>
      <c r="J868" s="61"/>
      <c r="K868" s="61"/>
      <c r="L868" s="127"/>
    </row>
    <row r="869" spans="2:12">
      <c r="B869" s="368"/>
      <c r="C869" s="357"/>
      <c r="D869" s="180">
        <v>9</v>
      </c>
      <c r="E869" s="180" t="s">
        <v>195</v>
      </c>
      <c r="F869" s="61" t="s">
        <v>81</v>
      </c>
      <c r="G869" s="61" t="s">
        <v>196</v>
      </c>
      <c r="H869" s="61" t="s">
        <v>197</v>
      </c>
      <c r="I869" s="61" t="s">
        <v>197</v>
      </c>
      <c r="J869" s="61"/>
      <c r="K869" s="61"/>
      <c r="L869" s="180"/>
    </row>
    <row r="870" spans="2:12">
      <c r="B870" s="368"/>
      <c r="C870" s="357"/>
      <c r="D870" s="180">
        <v>10</v>
      </c>
      <c r="E870" s="180"/>
      <c r="F870" s="61" t="s">
        <v>81</v>
      </c>
      <c r="G870" s="61" t="s">
        <v>198</v>
      </c>
      <c r="H870" s="61" t="s">
        <v>199</v>
      </c>
      <c r="I870" s="61" t="s">
        <v>197</v>
      </c>
      <c r="J870" s="61" t="s">
        <v>197</v>
      </c>
      <c r="K870" s="61"/>
      <c r="L870" s="180"/>
    </row>
    <row r="871" spans="2:12">
      <c r="B871" s="368"/>
      <c r="C871" s="357"/>
      <c r="D871" s="180">
        <v>11</v>
      </c>
      <c r="E871" s="127" t="s">
        <v>146</v>
      </c>
      <c r="F871" s="61" t="s">
        <v>123</v>
      </c>
      <c r="G871" s="61"/>
      <c r="H871" s="61"/>
      <c r="I871" s="61"/>
      <c r="J871" s="61"/>
      <c r="K871" s="61"/>
      <c r="L871" s="127"/>
    </row>
    <row r="872" spans="2:12">
      <c r="B872" s="369"/>
      <c r="C872" s="358"/>
      <c r="D872" s="127"/>
      <c r="E872" s="127"/>
      <c r="F872" s="61"/>
      <c r="G872" s="61"/>
      <c r="H872" s="61"/>
      <c r="I872" s="61"/>
      <c r="J872" s="61"/>
      <c r="K872" s="61"/>
      <c r="L872" s="127"/>
    </row>
    <row r="873" spans="2:12">
      <c r="B873" s="367" t="s">
        <v>1370</v>
      </c>
      <c r="C873" s="356" t="s">
        <v>1475</v>
      </c>
      <c r="D873" s="60">
        <v>1</v>
      </c>
      <c r="E873" s="148" t="s">
        <v>1608</v>
      </c>
      <c r="F873" s="61" t="s">
        <v>87</v>
      </c>
      <c r="G873" s="61" t="s">
        <v>1609</v>
      </c>
      <c r="H873" s="61"/>
      <c r="I873" s="61"/>
      <c r="J873" s="61"/>
      <c r="K873" s="61"/>
      <c r="L873" s="60"/>
    </row>
    <row r="874" spans="2:12">
      <c r="B874" s="368"/>
      <c r="C874" s="357"/>
      <c r="D874" s="60">
        <v>2</v>
      </c>
      <c r="E874" s="60" t="s">
        <v>142</v>
      </c>
      <c r="F874" s="61" t="s">
        <v>122</v>
      </c>
      <c r="G874" s="61"/>
      <c r="H874" s="61"/>
      <c r="I874" s="61"/>
      <c r="J874" s="61"/>
      <c r="K874" s="61"/>
      <c r="L874" s="60"/>
    </row>
    <row r="875" spans="2:12">
      <c r="B875" s="368"/>
      <c r="C875" s="357"/>
      <c r="D875" s="60">
        <v>3</v>
      </c>
      <c r="E875" s="60" t="s">
        <v>191</v>
      </c>
      <c r="F875" s="61" t="s">
        <v>126</v>
      </c>
      <c r="G875" s="61">
        <v>1</v>
      </c>
      <c r="H875" s="61" t="s">
        <v>192</v>
      </c>
      <c r="I875" s="61"/>
      <c r="J875" s="61"/>
      <c r="K875" s="61"/>
      <c r="L875" s="60"/>
    </row>
    <row r="876" spans="2:12">
      <c r="B876" s="368"/>
      <c r="C876" s="357"/>
      <c r="D876" s="60">
        <v>4</v>
      </c>
      <c r="E876" s="60" t="s">
        <v>163</v>
      </c>
      <c r="F876" s="61" t="s">
        <v>164</v>
      </c>
      <c r="G876" s="61">
        <v>1</v>
      </c>
      <c r="H876" s="61">
        <v>4</v>
      </c>
      <c r="I876" s="61" t="s">
        <v>165</v>
      </c>
      <c r="J876" s="61"/>
      <c r="K876" s="61"/>
      <c r="L876" s="60"/>
    </row>
    <row r="877" spans="2:12">
      <c r="B877" s="368"/>
      <c r="C877" s="357"/>
      <c r="D877" s="60">
        <v>5</v>
      </c>
      <c r="E877" s="60"/>
      <c r="F877" s="61" t="s">
        <v>125</v>
      </c>
      <c r="G877" s="61">
        <v>100</v>
      </c>
      <c r="H877" s="61"/>
      <c r="I877" s="61"/>
      <c r="J877" s="61"/>
      <c r="K877" s="61"/>
      <c r="L877" s="60"/>
    </row>
    <row r="878" spans="2:12">
      <c r="B878" s="368"/>
      <c r="C878" s="357"/>
      <c r="D878" s="60">
        <v>6</v>
      </c>
      <c r="E878" s="60" t="s">
        <v>1103</v>
      </c>
      <c r="F878" s="61" t="s">
        <v>127</v>
      </c>
      <c r="G878" s="61">
        <v>1</v>
      </c>
      <c r="H878" s="61" t="s">
        <v>192</v>
      </c>
      <c r="I878" s="61">
        <v>128</v>
      </c>
      <c r="J878" s="61"/>
      <c r="K878" s="61"/>
      <c r="L878" s="60"/>
    </row>
    <row r="879" spans="2:12">
      <c r="B879" s="368"/>
      <c r="C879" s="357"/>
      <c r="D879" s="127">
        <v>7</v>
      </c>
      <c r="E879" s="60"/>
      <c r="F879" s="61" t="s">
        <v>125</v>
      </c>
      <c r="G879" s="61">
        <v>1000</v>
      </c>
      <c r="H879" s="61"/>
      <c r="I879" s="61"/>
      <c r="J879" s="61"/>
      <c r="K879" s="61"/>
      <c r="L879" s="60"/>
    </row>
    <row r="880" spans="2:12">
      <c r="B880" s="368"/>
      <c r="C880" s="357"/>
      <c r="D880" s="127">
        <v>8</v>
      </c>
      <c r="E880" s="60" t="s">
        <v>146</v>
      </c>
      <c r="F880" s="61" t="s">
        <v>123</v>
      </c>
      <c r="G880" s="61"/>
      <c r="H880" s="61"/>
      <c r="I880" s="61"/>
      <c r="J880" s="61"/>
      <c r="K880" s="61"/>
      <c r="L880" s="60"/>
    </row>
    <row r="881" spans="2:12">
      <c r="B881" s="369"/>
      <c r="C881" s="358"/>
      <c r="D881" s="60"/>
      <c r="E881" s="60"/>
      <c r="F881" s="61"/>
      <c r="G881" s="61"/>
      <c r="H881" s="61"/>
      <c r="I881" s="61"/>
      <c r="J881" s="61"/>
      <c r="K881" s="61"/>
      <c r="L881" s="60"/>
    </row>
    <row r="882" spans="2:12">
      <c r="B882" s="367" t="s">
        <v>1523</v>
      </c>
      <c r="C882" s="356" t="s">
        <v>1518</v>
      </c>
      <c r="D882" s="136">
        <v>1</v>
      </c>
      <c r="E882" s="148" t="s">
        <v>1608</v>
      </c>
      <c r="F882" s="61" t="s">
        <v>87</v>
      </c>
      <c r="G882" s="61" t="s">
        <v>1609</v>
      </c>
      <c r="H882" s="61"/>
      <c r="I882" s="61"/>
      <c r="J882" s="61"/>
      <c r="K882" s="61"/>
      <c r="L882" s="136"/>
    </row>
    <row r="883" spans="2:12">
      <c r="B883" s="368"/>
      <c r="C883" s="357"/>
      <c r="D883" s="179">
        <v>2</v>
      </c>
      <c r="E883" s="179" t="s">
        <v>1615</v>
      </c>
      <c r="F883" s="61" t="s">
        <v>1569</v>
      </c>
      <c r="G883" s="61"/>
      <c r="H883" s="61"/>
      <c r="I883" s="61"/>
      <c r="J883" s="61"/>
      <c r="K883" s="61"/>
      <c r="L883" s="179"/>
    </row>
    <row r="884" spans="2:12">
      <c r="B884" s="368"/>
      <c r="C884" s="357"/>
      <c r="D884" s="179">
        <v>3</v>
      </c>
      <c r="E884" s="136" t="s">
        <v>142</v>
      </c>
      <c r="F884" s="61" t="s">
        <v>122</v>
      </c>
      <c r="G884" s="61"/>
      <c r="H884" s="61"/>
      <c r="I884" s="61"/>
      <c r="J884" s="61"/>
      <c r="K884" s="61"/>
      <c r="L884" s="136"/>
    </row>
    <row r="885" spans="2:12">
      <c r="B885" s="368"/>
      <c r="C885" s="357"/>
      <c r="D885" s="179">
        <v>4</v>
      </c>
      <c r="E885" s="177"/>
      <c r="F885" s="61" t="s">
        <v>1796</v>
      </c>
      <c r="G885" s="61">
        <v>1000</v>
      </c>
      <c r="H885" s="61"/>
      <c r="I885" s="61"/>
      <c r="J885" s="61"/>
      <c r="K885" s="61"/>
      <c r="L885" s="177"/>
    </row>
    <row r="886" spans="2:12">
      <c r="B886" s="368"/>
      <c r="C886" s="357"/>
      <c r="D886" s="179">
        <v>5</v>
      </c>
      <c r="E886" s="136" t="s">
        <v>36</v>
      </c>
      <c r="F886" s="61" t="s">
        <v>126</v>
      </c>
      <c r="G886" s="61">
        <v>1</v>
      </c>
      <c r="H886" s="61">
        <v>1</v>
      </c>
      <c r="I886" s="61"/>
      <c r="J886" s="61"/>
      <c r="K886" s="61"/>
      <c r="L886" s="136"/>
    </row>
    <row r="887" spans="2:12">
      <c r="B887" s="368"/>
      <c r="C887" s="357"/>
      <c r="D887" s="179">
        <v>6</v>
      </c>
      <c r="E887" s="177"/>
      <c r="F887" s="61" t="s">
        <v>1796</v>
      </c>
      <c r="G887" s="61">
        <v>300</v>
      </c>
      <c r="H887" s="61"/>
      <c r="I887" s="61"/>
      <c r="J887" s="61"/>
      <c r="K887" s="61"/>
      <c r="L887" s="177"/>
    </row>
    <row r="888" spans="2:12">
      <c r="B888" s="368"/>
      <c r="C888" s="357"/>
      <c r="D888" s="179">
        <v>7</v>
      </c>
      <c r="E888" s="137" t="s">
        <v>172</v>
      </c>
      <c r="F888" s="61" t="s">
        <v>173</v>
      </c>
      <c r="G888" s="61">
        <v>0</v>
      </c>
      <c r="H888" s="61" t="s">
        <v>174</v>
      </c>
      <c r="I888" s="61"/>
      <c r="J888" s="61"/>
      <c r="K888" s="61"/>
      <c r="L888" s="137"/>
    </row>
    <row r="889" spans="2:12">
      <c r="B889" s="368"/>
      <c r="C889" s="357"/>
      <c r="D889" s="179">
        <v>8</v>
      </c>
      <c r="E889" s="137" t="s">
        <v>293</v>
      </c>
      <c r="F889" s="61" t="s">
        <v>127</v>
      </c>
      <c r="G889" s="61">
        <v>1</v>
      </c>
      <c r="H889" s="61">
        <v>1</v>
      </c>
      <c r="I889" s="61">
        <v>1</v>
      </c>
      <c r="J889" s="61"/>
      <c r="K889" s="61"/>
      <c r="L889" s="137"/>
    </row>
    <row r="890" spans="2:12">
      <c r="B890" s="368"/>
      <c r="C890" s="357"/>
      <c r="D890" s="179">
        <v>9</v>
      </c>
      <c r="E890" s="142" t="s">
        <v>194</v>
      </c>
      <c r="F890" s="61" t="s">
        <v>125</v>
      </c>
      <c r="G890" s="61" t="s">
        <v>1546</v>
      </c>
      <c r="H890" s="61"/>
      <c r="I890" s="61"/>
      <c r="J890" s="61"/>
      <c r="K890" s="61"/>
      <c r="L890" s="137"/>
    </row>
    <row r="891" spans="2:12">
      <c r="B891" s="368"/>
      <c r="C891" s="357"/>
      <c r="D891" s="179">
        <v>10</v>
      </c>
      <c r="E891" s="137" t="s">
        <v>1543</v>
      </c>
      <c r="F891" s="61" t="s">
        <v>81</v>
      </c>
      <c r="G891" s="61" t="s">
        <v>200</v>
      </c>
      <c r="H891" s="61">
        <v>1</v>
      </c>
      <c r="I891" s="61">
        <v>1</v>
      </c>
      <c r="J891" s="61"/>
      <c r="K891" s="61"/>
      <c r="L891" s="137"/>
    </row>
    <row r="892" spans="2:12">
      <c r="B892" s="368"/>
      <c r="C892" s="357"/>
      <c r="D892" s="179">
        <v>11</v>
      </c>
      <c r="E892" s="177"/>
      <c r="F892" s="61" t="s">
        <v>1796</v>
      </c>
      <c r="G892" s="61">
        <v>1000</v>
      </c>
      <c r="H892" s="61"/>
      <c r="I892" s="61"/>
      <c r="J892" s="61"/>
      <c r="K892" s="61"/>
      <c r="L892" s="177"/>
    </row>
    <row r="893" spans="2:12">
      <c r="B893" s="368"/>
      <c r="C893" s="357"/>
      <c r="D893" s="179">
        <v>12</v>
      </c>
      <c r="E893" s="177" t="s">
        <v>36</v>
      </c>
      <c r="F893" s="61" t="s">
        <v>126</v>
      </c>
      <c r="G893" s="61">
        <v>1</v>
      </c>
      <c r="H893" s="61">
        <v>2</v>
      </c>
      <c r="I893" s="61"/>
      <c r="J893" s="61"/>
      <c r="K893" s="61"/>
      <c r="L893" s="177"/>
    </row>
    <row r="894" spans="2:12">
      <c r="B894" s="368"/>
      <c r="C894" s="357"/>
      <c r="D894" s="179">
        <v>13</v>
      </c>
      <c r="E894" s="177"/>
      <c r="F894" s="61" t="s">
        <v>1796</v>
      </c>
      <c r="G894" s="61">
        <v>300</v>
      </c>
      <c r="H894" s="61"/>
      <c r="I894" s="61"/>
      <c r="J894" s="61"/>
      <c r="K894" s="61"/>
      <c r="L894" s="177"/>
    </row>
    <row r="895" spans="2:12">
      <c r="B895" s="368"/>
      <c r="C895" s="357"/>
      <c r="D895" s="179">
        <v>14</v>
      </c>
      <c r="E895" s="177" t="s">
        <v>1550</v>
      </c>
      <c r="F895" s="61" t="s">
        <v>127</v>
      </c>
      <c r="G895" s="61">
        <v>1</v>
      </c>
      <c r="H895" s="61">
        <v>2</v>
      </c>
      <c r="I895" s="61">
        <v>1</v>
      </c>
      <c r="J895" s="61"/>
      <c r="K895" s="61"/>
      <c r="L895" s="177"/>
    </row>
    <row r="896" spans="2:12">
      <c r="B896" s="368"/>
      <c r="C896" s="357"/>
      <c r="D896" s="179">
        <v>15</v>
      </c>
      <c r="E896" s="177"/>
      <c r="F896" s="61" t="s">
        <v>1796</v>
      </c>
      <c r="G896" s="61">
        <v>20</v>
      </c>
      <c r="H896" s="61"/>
      <c r="I896" s="61"/>
      <c r="J896" s="61"/>
      <c r="K896" s="61"/>
      <c r="L896" s="177"/>
    </row>
    <row r="897" spans="2:12">
      <c r="B897" s="368"/>
      <c r="C897" s="357"/>
      <c r="D897" s="179">
        <v>16</v>
      </c>
      <c r="E897" s="177"/>
      <c r="F897" s="61" t="s">
        <v>1797</v>
      </c>
      <c r="G897" s="61" t="s">
        <v>1798</v>
      </c>
      <c r="H897" s="61">
        <v>0</v>
      </c>
      <c r="I897" s="61"/>
      <c r="J897" s="61"/>
      <c r="K897" s="61"/>
      <c r="L897" s="177"/>
    </row>
    <row r="898" spans="2:12">
      <c r="B898" s="368"/>
      <c r="C898" s="357"/>
      <c r="D898" s="179">
        <v>17</v>
      </c>
      <c r="E898" s="137" t="s">
        <v>172</v>
      </c>
      <c r="F898" s="61" t="s">
        <v>173</v>
      </c>
      <c r="G898" s="61">
        <v>0</v>
      </c>
      <c r="H898" s="61" t="s">
        <v>174</v>
      </c>
      <c r="I898" s="61"/>
      <c r="J898" s="61"/>
      <c r="K898" s="61"/>
      <c r="L898" s="137"/>
    </row>
    <row r="899" spans="2:12">
      <c r="B899" s="368"/>
      <c r="C899" s="357"/>
      <c r="D899" s="179">
        <v>18</v>
      </c>
      <c r="E899" s="137" t="s">
        <v>1809</v>
      </c>
      <c r="F899" s="61" t="s">
        <v>127</v>
      </c>
      <c r="G899" s="61">
        <v>1</v>
      </c>
      <c r="H899" s="61">
        <v>2</v>
      </c>
      <c r="I899" s="61">
        <v>2</v>
      </c>
      <c r="J899" s="61"/>
      <c r="K899" s="61"/>
      <c r="L899" s="137"/>
    </row>
    <row r="900" spans="2:12">
      <c r="B900" s="368"/>
      <c r="C900" s="357"/>
      <c r="D900" s="179">
        <v>19</v>
      </c>
      <c r="E900" s="177"/>
      <c r="F900" s="61" t="s">
        <v>1796</v>
      </c>
      <c r="G900" s="61">
        <v>20</v>
      </c>
      <c r="H900" s="61"/>
      <c r="I900" s="61"/>
      <c r="J900" s="61"/>
      <c r="K900" s="61"/>
      <c r="L900" s="177"/>
    </row>
    <row r="901" spans="2:12">
      <c r="B901" s="368"/>
      <c r="C901" s="357"/>
      <c r="D901" s="179">
        <v>20</v>
      </c>
      <c r="E901" s="177"/>
      <c r="F901" s="61" t="s">
        <v>1799</v>
      </c>
      <c r="G901" s="61" t="s">
        <v>1798</v>
      </c>
      <c r="H901" s="61">
        <v>1</v>
      </c>
      <c r="I901" s="61"/>
      <c r="J901" s="61"/>
      <c r="K901" s="61"/>
      <c r="L901" s="177"/>
    </row>
    <row r="902" spans="2:12">
      <c r="B902" s="368"/>
      <c r="C902" s="357"/>
      <c r="D902" s="179">
        <v>21</v>
      </c>
      <c r="E902" s="177"/>
      <c r="F902" s="61" t="s">
        <v>135</v>
      </c>
      <c r="G902" s="61">
        <v>17</v>
      </c>
      <c r="H902" s="61" t="s">
        <v>1798</v>
      </c>
      <c r="I902" s="61">
        <v>2</v>
      </c>
      <c r="J902" s="61"/>
      <c r="K902" s="61"/>
      <c r="L902" s="177"/>
    </row>
    <row r="903" spans="2:12">
      <c r="B903" s="368"/>
      <c r="C903" s="357"/>
      <c r="D903" s="179">
        <v>22</v>
      </c>
      <c r="E903" s="177" t="s">
        <v>1550</v>
      </c>
      <c r="F903" s="61" t="s">
        <v>127</v>
      </c>
      <c r="G903" s="61">
        <v>1</v>
      </c>
      <c r="H903" s="61">
        <v>2</v>
      </c>
      <c r="I903" s="61">
        <v>2</v>
      </c>
      <c r="J903" s="61"/>
      <c r="K903" s="61"/>
      <c r="L903" s="177"/>
    </row>
    <row r="904" spans="2:12">
      <c r="B904" s="368"/>
      <c r="C904" s="357"/>
      <c r="D904" s="179">
        <v>23</v>
      </c>
      <c r="E904" s="142"/>
      <c r="F904" s="61" t="s">
        <v>125</v>
      </c>
      <c r="G904" s="61">
        <v>20</v>
      </c>
      <c r="H904" s="61"/>
      <c r="I904" s="61"/>
      <c r="J904" s="61"/>
      <c r="K904" s="61"/>
      <c r="L904" s="137"/>
    </row>
    <row r="905" spans="2:12">
      <c r="B905" s="368"/>
      <c r="C905" s="357"/>
      <c r="D905" s="179">
        <v>24</v>
      </c>
      <c r="E905" s="177"/>
      <c r="F905" s="61" t="s">
        <v>1797</v>
      </c>
      <c r="G905" s="61" t="s">
        <v>1798</v>
      </c>
      <c r="H905" s="61">
        <v>0</v>
      </c>
      <c r="I905" s="61"/>
      <c r="J905" s="61"/>
      <c r="K905" s="61"/>
      <c r="L905" s="177"/>
    </row>
    <row r="906" spans="2:12">
      <c r="B906" s="368"/>
      <c r="C906" s="357"/>
      <c r="D906" s="179">
        <v>25</v>
      </c>
      <c r="E906" s="136" t="s">
        <v>172</v>
      </c>
      <c r="F906" s="61" t="s">
        <v>173</v>
      </c>
      <c r="G906" s="61">
        <v>0</v>
      </c>
      <c r="H906" s="61" t="s">
        <v>174</v>
      </c>
      <c r="I906" s="61"/>
      <c r="J906" s="61"/>
      <c r="K906" s="61"/>
      <c r="L906" s="136"/>
    </row>
    <row r="907" spans="2:12">
      <c r="B907" s="368"/>
      <c r="C907" s="357"/>
      <c r="D907" s="179">
        <v>26</v>
      </c>
      <c r="E907" s="136" t="s">
        <v>1810</v>
      </c>
      <c r="F907" s="61" t="s">
        <v>127</v>
      </c>
      <c r="G907" s="61">
        <v>1</v>
      </c>
      <c r="H907" s="61">
        <v>2</v>
      </c>
      <c r="I907" s="61">
        <v>3</v>
      </c>
      <c r="J907" s="61"/>
      <c r="K907" s="61"/>
      <c r="L907" s="136"/>
    </row>
    <row r="908" spans="2:12">
      <c r="B908" s="368"/>
      <c r="C908" s="357"/>
      <c r="D908" s="179">
        <v>27</v>
      </c>
      <c r="E908" s="177"/>
      <c r="F908" s="61" t="s">
        <v>1796</v>
      </c>
      <c r="G908" s="61">
        <v>20</v>
      </c>
      <c r="H908" s="61"/>
      <c r="I908" s="61"/>
      <c r="J908" s="61"/>
      <c r="K908" s="61"/>
      <c r="L908" s="177"/>
    </row>
    <row r="909" spans="2:12">
      <c r="B909" s="368"/>
      <c r="C909" s="357"/>
      <c r="D909" s="179">
        <v>28</v>
      </c>
      <c r="E909" s="136"/>
      <c r="F909" s="61" t="s">
        <v>131</v>
      </c>
      <c r="G909" s="61" t="s">
        <v>162</v>
      </c>
      <c r="H909" s="61">
        <v>1</v>
      </c>
      <c r="I909" s="61"/>
      <c r="J909" s="61"/>
      <c r="K909" s="61"/>
      <c r="L909" s="136"/>
    </row>
    <row r="910" spans="2:12">
      <c r="B910" s="368"/>
      <c r="C910" s="357"/>
      <c r="D910" s="179">
        <v>29</v>
      </c>
      <c r="E910" s="136"/>
      <c r="F910" s="61" t="s">
        <v>135</v>
      </c>
      <c r="G910" s="61">
        <v>25</v>
      </c>
      <c r="H910" s="61" t="s">
        <v>162</v>
      </c>
      <c r="I910" s="61">
        <v>3</v>
      </c>
      <c r="J910" s="61"/>
      <c r="K910" s="61"/>
      <c r="L910" s="136"/>
    </row>
    <row r="911" spans="2:12">
      <c r="B911" s="368"/>
      <c r="C911" s="357"/>
      <c r="D911" s="179">
        <v>30</v>
      </c>
      <c r="E911" s="142" t="s">
        <v>194</v>
      </c>
      <c r="F911" s="61" t="s">
        <v>125</v>
      </c>
      <c r="G911" s="61" t="s">
        <v>1546</v>
      </c>
      <c r="H911" s="61"/>
      <c r="I911" s="61"/>
      <c r="J911" s="61"/>
      <c r="K911" s="61"/>
      <c r="L911" s="136"/>
    </row>
    <row r="912" spans="2:12">
      <c r="B912" s="368"/>
      <c r="C912" s="357"/>
      <c r="D912" s="179">
        <v>31</v>
      </c>
      <c r="E912" s="136" t="s">
        <v>1554</v>
      </c>
      <c r="F912" s="61" t="s">
        <v>81</v>
      </c>
      <c r="G912" s="61" t="s">
        <v>200</v>
      </c>
      <c r="H912" s="61">
        <v>1</v>
      </c>
      <c r="I912" s="61">
        <v>3</v>
      </c>
      <c r="J912" s="61"/>
      <c r="K912" s="61"/>
      <c r="L912" s="136"/>
    </row>
    <row r="913" spans="2:12">
      <c r="B913" s="368"/>
      <c r="C913" s="357"/>
      <c r="D913" s="179">
        <v>32</v>
      </c>
      <c r="E913" s="177"/>
      <c r="F913" s="61" t="s">
        <v>125</v>
      </c>
      <c r="G913" s="61">
        <v>1000</v>
      </c>
      <c r="H913" s="61"/>
      <c r="I913" s="61"/>
      <c r="J913" s="61"/>
      <c r="K913" s="61"/>
      <c r="L913" s="177"/>
    </row>
    <row r="914" spans="2:12">
      <c r="B914" s="368"/>
      <c r="C914" s="357"/>
      <c r="D914" s="179">
        <v>33</v>
      </c>
      <c r="E914" s="177" t="s">
        <v>172</v>
      </c>
      <c r="F914" s="61" t="s">
        <v>173</v>
      </c>
      <c r="G914" s="61">
        <v>0</v>
      </c>
      <c r="H914" s="61" t="s">
        <v>174</v>
      </c>
      <c r="I914" s="61"/>
      <c r="J914" s="61"/>
      <c r="K914" s="61"/>
      <c r="L914" s="177"/>
    </row>
    <row r="915" spans="2:12">
      <c r="B915" s="368"/>
      <c r="C915" s="357"/>
      <c r="D915" s="179">
        <v>34</v>
      </c>
      <c r="E915" s="177" t="s">
        <v>293</v>
      </c>
      <c r="F915" s="61" t="s">
        <v>127</v>
      </c>
      <c r="G915" s="61">
        <v>1</v>
      </c>
      <c r="H915" s="61">
        <v>2</v>
      </c>
      <c r="I915" s="61">
        <v>3</v>
      </c>
      <c r="J915" s="61"/>
      <c r="K915" s="61"/>
      <c r="L915" s="177"/>
    </row>
    <row r="916" spans="2:12">
      <c r="B916" s="368"/>
      <c r="C916" s="357"/>
      <c r="D916" s="179">
        <v>35</v>
      </c>
      <c r="E916" s="142" t="s">
        <v>194</v>
      </c>
      <c r="F916" s="61" t="s">
        <v>125</v>
      </c>
      <c r="G916" s="61" t="s">
        <v>1546</v>
      </c>
      <c r="H916" s="61"/>
      <c r="I916" s="61"/>
      <c r="J916" s="61"/>
      <c r="K916" s="61"/>
      <c r="L916" s="136"/>
    </row>
    <row r="917" spans="2:12">
      <c r="B917" s="368"/>
      <c r="C917" s="357"/>
      <c r="D917" s="179">
        <v>36</v>
      </c>
      <c r="E917" s="136" t="s">
        <v>1543</v>
      </c>
      <c r="F917" s="61" t="s">
        <v>81</v>
      </c>
      <c r="G917" s="61" t="s">
        <v>200</v>
      </c>
      <c r="H917" s="61">
        <v>1</v>
      </c>
      <c r="I917" s="61">
        <v>1</v>
      </c>
      <c r="J917" s="61"/>
      <c r="K917" s="61"/>
      <c r="L917" s="136"/>
    </row>
    <row r="918" spans="2:12">
      <c r="B918" s="368"/>
      <c r="C918" s="357"/>
      <c r="D918" s="179">
        <v>37</v>
      </c>
      <c r="E918" s="136" t="s">
        <v>146</v>
      </c>
      <c r="F918" s="61" t="s">
        <v>123</v>
      </c>
      <c r="G918" s="61"/>
      <c r="H918" s="61"/>
      <c r="I918" s="61"/>
      <c r="J918" s="61"/>
      <c r="K918" s="61"/>
      <c r="L918" s="136"/>
    </row>
    <row r="919" spans="2:12">
      <c r="B919" s="369"/>
      <c r="C919" s="358"/>
      <c r="D919" s="136"/>
      <c r="E919" s="136"/>
      <c r="F919" s="61"/>
      <c r="G919" s="61"/>
      <c r="H919" s="61"/>
      <c r="I919" s="61"/>
      <c r="J919" s="61"/>
      <c r="K919" s="61"/>
      <c r="L919" s="136"/>
    </row>
    <row r="920" spans="2:12">
      <c r="B920" s="367" t="s">
        <v>1526</v>
      </c>
      <c r="C920" s="356" t="s">
        <v>1518</v>
      </c>
      <c r="D920" s="136">
        <v>1</v>
      </c>
      <c r="E920" s="148" t="s">
        <v>1608</v>
      </c>
      <c r="F920" s="61" t="s">
        <v>87</v>
      </c>
      <c r="G920" s="61" t="s">
        <v>1609</v>
      </c>
      <c r="H920" s="61"/>
      <c r="I920" s="61"/>
      <c r="J920" s="61"/>
      <c r="K920" s="61"/>
      <c r="L920" s="136"/>
    </row>
    <row r="921" spans="2:12">
      <c r="B921" s="368"/>
      <c r="C921" s="357"/>
      <c r="D921" s="146">
        <v>2</v>
      </c>
      <c r="E921" s="136" t="s">
        <v>142</v>
      </c>
      <c r="F921" s="61" t="s">
        <v>122</v>
      </c>
      <c r="G921" s="61"/>
      <c r="H921" s="61"/>
      <c r="I921" s="61"/>
      <c r="J921" s="61"/>
      <c r="K921" s="61"/>
      <c r="L921" s="136"/>
    </row>
    <row r="922" spans="2:12">
      <c r="B922" s="368"/>
      <c r="C922" s="357"/>
      <c r="D922" s="177">
        <v>3</v>
      </c>
      <c r="E922" s="136" t="s">
        <v>36</v>
      </c>
      <c r="F922" s="61" t="s">
        <v>126</v>
      </c>
      <c r="G922" s="61">
        <v>1</v>
      </c>
      <c r="H922" s="61">
        <v>1</v>
      </c>
      <c r="I922" s="61"/>
      <c r="J922" s="61"/>
      <c r="K922" s="61"/>
      <c r="L922" s="136"/>
    </row>
    <row r="923" spans="2:12">
      <c r="B923" s="368"/>
      <c r="C923" s="357"/>
      <c r="D923" s="177">
        <v>4</v>
      </c>
      <c r="E923" s="136" t="s">
        <v>1524</v>
      </c>
      <c r="F923" s="61" t="s">
        <v>1516</v>
      </c>
      <c r="G923" s="61" t="s">
        <v>1517</v>
      </c>
      <c r="H923" s="61"/>
      <c r="I923" s="61"/>
      <c r="J923" s="61"/>
      <c r="K923" s="61"/>
      <c r="L923" s="136"/>
    </row>
    <row r="924" spans="2:12">
      <c r="B924" s="368"/>
      <c r="C924" s="357"/>
      <c r="D924" s="177">
        <v>5</v>
      </c>
      <c r="E924" s="177" t="s">
        <v>172</v>
      </c>
      <c r="F924" s="61" t="s">
        <v>173</v>
      </c>
      <c r="G924" s="61">
        <v>0</v>
      </c>
      <c r="H924" s="61" t="s">
        <v>174</v>
      </c>
      <c r="I924" s="61"/>
      <c r="J924" s="61"/>
      <c r="K924" s="61"/>
      <c r="L924" s="177"/>
    </row>
    <row r="925" spans="2:12">
      <c r="B925" s="368"/>
      <c r="C925" s="357"/>
      <c r="D925" s="177">
        <v>6</v>
      </c>
      <c r="E925" s="177" t="s">
        <v>293</v>
      </c>
      <c r="F925" s="61" t="s">
        <v>127</v>
      </c>
      <c r="G925" s="61">
        <v>1</v>
      </c>
      <c r="H925" s="61">
        <v>1</v>
      </c>
      <c r="I925" s="61">
        <v>1</v>
      </c>
      <c r="J925" s="61"/>
      <c r="K925" s="61"/>
      <c r="L925" s="177"/>
    </row>
    <row r="926" spans="2:12">
      <c r="B926" s="368"/>
      <c r="C926" s="357"/>
      <c r="D926" s="177">
        <v>7</v>
      </c>
      <c r="E926" s="142" t="s">
        <v>194</v>
      </c>
      <c r="F926" s="61" t="s">
        <v>125</v>
      </c>
      <c r="G926" s="61" t="s">
        <v>1546</v>
      </c>
      <c r="H926" s="61"/>
      <c r="I926" s="61"/>
      <c r="J926" s="61"/>
      <c r="K926" s="61"/>
      <c r="L926" s="136"/>
    </row>
    <row r="927" spans="2:12">
      <c r="B927" s="368"/>
      <c r="C927" s="357"/>
      <c r="D927" s="177">
        <v>8</v>
      </c>
      <c r="E927" s="136" t="s">
        <v>195</v>
      </c>
      <c r="F927" s="61" t="s">
        <v>81</v>
      </c>
      <c r="G927" s="61" t="s">
        <v>196</v>
      </c>
      <c r="H927" s="61" t="s">
        <v>197</v>
      </c>
      <c r="I927" s="61" t="s">
        <v>197</v>
      </c>
      <c r="J927" s="61"/>
      <c r="K927" s="61"/>
      <c r="L927" s="136"/>
    </row>
    <row r="928" spans="2:12">
      <c r="B928" s="368"/>
      <c r="C928" s="357"/>
      <c r="D928" s="177">
        <v>9</v>
      </c>
      <c r="E928" s="136"/>
      <c r="F928" s="61" t="s">
        <v>81</v>
      </c>
      <c r="G928" s="61" t="s">
        <v>198</v>
      </c>
      <c r="H928" s="61" t="s">
        <v>199</v>
      </c>
      <c r="I928" s="61" t="s">
        <v>197</v>
      </c>
      <c r="J928" s="61" t="s">
        <v>197</v>
      </c>
      <c r="K928" s="61"/>
      <c r="L928" s="136"/>
    </row>
    <row r="929" spans="2:12">
      <c r="B929" s="368"/>
      <c r="C929" s="357"/>
      <c r="D929" s="177">
        <v>10</v>
      </c>
      <c r="E929" s="177"/>
      <c r="F929" s="61" t="s">
        <v>1796</v>
      </c>
      <c r="G929" s="61">
        <v>1000</v>
      </c>
      <c r="H929" s="61"/>
      <c r="I929" s="61"/>
      <c r="J929" s="61"/>
      <c r="K929" s="61"/>
      <c r="L929" s="177"/>
    </row>
    <row r="930" spans="2:12">
      <c r="B930" s="368"/>
      <c r="C930" s="357"/>
      <c r="D930" s="177">
        <v>11</v>
      </c>
      <c r="E930" s="136" t="s">
        <v>1524</v>
      </c>
      <c r="F930" s="61" t="s">
        <v>1516</v>
      </c>
      <c r="G930" s="61" t="s">
        <v>1517</v>
      </c>
      <c r="H930" s="61"/>
      <c r="I930" s="61"/>
      <c r="J930" s="61"/>
      <c r="K930" s="61"/>
      <c r="L930" s="136"/>
    </row>
    <row r="931" spans="2:12">
      <c r="B931" s="368"/>
      <c r="C931" s="357"/>
      <c r="D931" s="177">
        <v>12</v>
      </c>
      <c r="E931" s="177" t="s">
        <v>172</v>
      </c>
      <c r="F931" s="61" t="s">
        <v>173</v>
      </c>
      <c r="G931" s="61">
        <v>0</v>
      </c>
      <c r="H931" s="61" t="s">
        <v>174</v>
      </c>
      <c r="I931" s="61"/>
      <c r="J931" s="61"/>
      <c r="K931" s="61"/>
      <c r="L931" s="177"/>
    </row>
    <row r="932" spans="2:12">
      <c r="B932" s="368"/>
      <c r="C932" s="357"/>
      <c r="D932" s="177">
        <v>13</v>
      </c>
      <c r="E932" s="177" t="s">
        <v>293</v>
      </c>
      <c r="F932" s="61" t="s">
        <v>127</v>
      </c>
      <c r="G932" s="61">
        <v>1</v>
      </c>
      <c r="H932" s="61">
        <v>1</v>
      </c>
      <c r="I932" s="61">
        <v>1</v>
      </c>
      <c r="J932" s="61"/>
      <c r="K932" s="61"/>
      <c r="L932" s="177"/>
    </row>
    <row r="933" spans="2:12">
      <c r="B933" s="368"/>
      <c r="C933" s="357"/>
      <c r="D933" s="177">
        <v>14</v>
      </c>
      <c r="E933" s="144" t="s">
        <v>194</v>
      </c>
      <c r="F933" s="61" t="s">
        <v>125</v>
      </c>
      <c r="G933" s="61" t="s">
        <v>1546</v>
      </c>
      <c r="H933" s="61"/>
      <c r="I933" s="61"/>
      <c r="J933" s="61"/>
      <c r="K933" s="61"/>
      <c r="L933" s="144"/>
    </row>
    <row r="934" spans="2:12">
      <c r="B934" s="368"/>
      <c r="C934" s="357"/>
      <c r="D934" s="177">
        <v>15</v>
      </c>
      <c r="E934" s="145" t="s">
        <v>195</v>
      </c>
      <c r="F934" s="61" t="s">
        <v>81</v>
      </c>
      <c r="G934" s="61" t="s">
        <v>196</v>
      </c>
      <c r="H934" s="61" t="s">
        <v>197</v>
      </c>
      <c r="I934" s="61" t="s">
        <v>197</v>
      </c>
      <c r="J934" s="61"/>
      <c r="K934" s="61"/>
      <c r="L934" s="145"/>
    </row>
    <row r="935" spans="2:12">
      <c r="B935" s="368"/>
      <c r="C935" s="357"/>
      <c r="D935" s="177">
        <v>16</v>
      </c>
      <c r="E935" s="145"/>
      <c r="F935" s="61" t="s">
        <v>81</v>
      </c>
      <c r="G935" s="61" t="s">
        <v>198</v>
      </c>
      <c r="H935" s="61" t="s">
        <v>199</v>
      </c>
      <c r="I935" s="61" t="s">
        <v>197</v>
      </c>
      <c r="J935" s="61" t="s">
        <v>197</v>
      </c>
      <c r="K935" s="61"/>
      <c r="L935" s="145"/>
    </row>
    <row r="936" spans="2:12">
      <c r="B936" s="368"/>
      <c r="C936" s="357"/>
      <c r="D936" s="178">
        <v>17</v>
      </c>
      <c r="E936" s="145" t="s">
        <v>1524</v>
      </c>
      <c r="F936" s="61" t="s">
        <v>81</v>
      </c>
      <c r="G936" s="61" t="s">
        <v>1517</v>
      </c>
      <c r="H936" s="61"/>
      <c r="I936" s="61"/>
      <c r="J936" s="61"/>
      <c r="K936" s="61"/>
      <c r="L936" s="145"/>
    </row>
    <row r="937" spans="2:12">
      <c r="B937" s="368"/>
      <c r="C937" s="357"/>
      <c r="D937" s="178">
        <v>18</v>
      </c>
      <c r="E937" s="146" t="s">
        <v>194</v>
      </c>
      <c r="F937" s="61" t="s">
        <v>125</v>
      </c>
      <c r="G937" s="61" t="s">
        <v>1546</v>
      </c>
      <c r="H937" s="61"/>
      <c r="I937" s="61"/>
      <c r="J937" s="61"/>
      <c r="K937" s="61"/>
      <c r="L937" s="146"/>
    </row>
    <row r="938" spans="2:12">
      <c r="B938" s="368"/>
      <c r="C938" s="357"/>
      <c r="D938" s="178">
        <v>19</v>
      </c>
      <c r="E938" s="145" t="s">
        <v>1525</v>
      </c>
      <c r="F938" s="61" t="s">
        <v>81</v>
      </c>
      <c r="G938" s="61" t="s">
        <v>196</v>
      </c>
      <c r="H938" s="61" t="s">
        <v>197</v>
      </c>
      <c r="I938" s="61" t="s">
        <v>197</v>
      </c>
      <c r="J938" s="61"/>
      <c r="K938" s="61"/>
      <c r="L938" s="136"/>
    </row>
    <row r="939" spans="2:12">
      <c r="B939" s="368"/>
      <c r="C939" s="357"/>
      <c r="D939" s="178">
        <v>20</v>
      </c>
      <c r="E939" s="136"/>
      <c r="F939" s="61" t="s">
        <v>81</v>
      </c>
      <c r="G939" s="61" t="s">
        <v>198</v>
      </c>
      <c r="H939" s="61" t="s">
        <v>199</v>
      </c>
      <c r="I939" s="61" t="s">
        <v>197</v>
      </c>
      <c r="J939" s="61" t="s">
        <v>197</v>
      </c>
      <c r="K939" s="61">
        <v>1</v>
      </c>
      <c r="L939" s="136"/>
    </row>
    <row r="940" spans="2:12">
      <c r="B940" s="368"/>
      <c r="C940" s="357"/>
      <c r="D940" s="178">
        <v>21</v>
      </c>
      <c r="E940" s="177"/>
      <c r="F940" s="61" t="s">
        <v>1796</v>
      </c>
      <c r="G940" s="61">
        <v>1000</v>
      </c>
      <c r="H940" s="61"/>
      <c r="I940" s="61"/>
      <c r="J940" s="61"/>
      <c r="K940" s="61"/>
      <c r="L940" s="177"/>
    </row>
    <row r="941" spans="2:12">
      <c r="B941" s="368"/>
      <c r="C941" s="357"/>
      <c r="D941" s="178">
        <v>22</v>
      </c>
      <c r="E941" s="177" t="s">
        <v>1524</v>
      </c>
      <c r="F941" s="61" t="s">
        <v>81</v>
      </c>
      <c r="G941" s="61" t="s">
        <v>1517</v>
      </c>
      <c r="H941" s="61"/>
      <c r="I941" s="61"/>
      <c r="J941" s="61"/>
      <c r="K941" s="61"/>
      <c r="L941" s="177"/>
    </row>
    <row r="942" spans="2:12">
      <c r="B942" s="368"/>
      <c r="C942" s="357"/>
      <c r="D942" s="178">
        <v>23</v>
      </c>
      <c r="E942" s="177" t="s">
        <v>172</v>
      </c>
      <c r="F942" s="61" t="s">
        <v>173</v>
      </c>
      <c r="G942" s="61">
        <v>0</v>
      </c>
      <c r="H942" s="61" t="s">
        <v>174</v>
      </c>
      <c r="I942" s="61"/>
      <c r="J942" s="61"/>
      <c r="K942" s="61"/>
      <c r="L942" s="177"/>
    </row>
    <row r="943" spans="2:12">
      <c r="B943" s="368"/>
      <c r="C943" s="357"/>
      <c r="D943" s="178">
        <v>24</v>
      </c>
      <c r="E943" s="177" t="s">
        <v>293</v>
      </c>
      <c r="F943" s="61" t="s">
        <v>127</v>
      </c>
      <c r="G943" s="61">
        <v>1</v>
      </c>
      <c r="H943" s="61">
        <v>1</v>
      </c>
      <c r="I943" s="61">
        <v>1</v>
      </c>
      <c r="J943" s="61"/>
      <c r="K943" s="61"/>
      <c r="L943" s="177"/>
    </row>
    <row r="944" spans="2:12">
      <c r="B944" s="368"/>
      <c r="C944" s="357"/>
      <c r="D944" s="178">
        <v>25</v>
      </c>
      <c r="E944" s="177" t="s">
        <v>194</v>
      </c>
      <c r="F944" s="61" t="s">
        <v>125</v>
      </c>
      <c r="G944" s="61" t="s">
        <v>1546</v>
      </c>
      <c r="H944" s="61"/>
      <c r="I944" s="61"/>
      <c r="J944" s="61"/>
      <c r="K944" s="61"/>
      <c r="L944" s="177"/>
    </row>
    <row r="945" spans="2:12">
      <c r="B945" s="368"/>
      <c r="C945" s="357"/>
      <c r="D945" s="178">
        <v>26</v>
      </c>
      <c r="E945" s="143" t="s">
        <v>1552</v>
      </c>
      <c r="F945" s="61" t="s">
        <v>87</v>
      </c>
      <c r="G945" s="61" t="s">
        <v>1551</v>
      </c>
      <c r="H945" s="61"/>
      <c r="I945" s="61"/>
      <c r="J945" s="61"/>
      <c r="K945" s="61"/>
      <c r="L945" s="143"/>
    </row>
    <row r="946" spans="2:12">
      <c r="B946" s="368"/>
      <c r="C946" s="357"/>
      <c r="D946" s="178">
        <v>27</v>
      </c>
      <c r="E946" s="177" t="s">
        <v>166</v>
      </c>
      <c r="F946" s="61" t="s">
        <v>127</v>
      </c>
      <c r="G946" s="61">
        <v>1</v>
      </c>
      <c r="H946" s="61">
        <v>1</v>
      </c>
      <c r="I946" s="61">
        <v>1</v>
      </c>
      <c r="J946" s="61"/>
      <c r="K946" s="61"/>
      <c r="L946" s="177"/>
    </row>
    <row r="947" spans="2:12">
      <c r="B947" s="368"/>
      <c r="C947" s="357"/>
      <c r="D947" s="178">
        <v>28</v>
      </c>
      <c r="E947" s="146"/>
      <c r="F947" s="61" t="s">
        <v>125</v>
      </c>
      <c r="G947" s="61">
        <v>1000</v>
      </c>
      <c r="H947" s="61"/>
      <c r="I947" s="61"/>
      <c r="J947" s="61"/>
      <c r="K947" s="61"/>
      <c r="L947" s="146"/>
    </row>
    <row r="948" spans="2:12">
      <c r="B948" s="368"/>
      <c r="C948" s="357"/>
      <c r="D948" s="178">
        <v>29</v>
      </c>
      <c r="E948" s="136" t="s">
        <v>201</v>
      </c>
      <c r="F948" s="61" t="s">
        <v>81</v>
      </c>
      <c r="G948" s="61" t="s">
        <v>196</v>
      </c>
      <c r="H948" s="61" t="s">
        <v>197</v>
      </c>
      <c r="I948" s="61" t="s">
        <v>202</v>
      </c>
      <c r="J948" s="61"/>
      <c r="K948" s="61"/>
      <c r="L948" s="136"/>
    </row>
    <row r="949" spans="2:12">
      <c r="B949" s="368"/>
      <c r="C949" s="357"/>
      <c r="D949" s="178">
        <v>30</v>
      </c>
      <c r="E949" s="136"/>
      <c r="F949" s="61" t="s">
        <v>81</v>
      </c>
      <c r="G949" s="61" t="s">
        <v>198</v>
      </c>
      <c r="H949" s="61" t="s">
        <v>199</v>
      </c>
      <c r="I949" s="61" t="s">
        <v>202</v>
      </c>
      <c r="J949" s="61" t="s">
        <v>202</v>
      </c>
      <c r="K949" s="61"/>
      <c r="L949" s="136"/>
    </row>
    <row r="950" spans="2:12">
      <c r="B950" s="368"/>
      <c r="C950" s="357"/>
      <c r="D950" s="178">
        <v>31</v>
      </c>
      <c r="E950" s="136" t="s">
        <v>146</v>
      </c>
      <c r="F950" s="61" t="s">
        <v>123</v>
      </c>
      <c r="G950" s="61"/>
      <c r="H950" s="61"/>
      <c r="I950" s="61"/>
      <c r="J950" s="61"/>
      <c r="K950" s="61"/>
      <c r="L950" s="136"/>
    </row>
    <row r="951" spans="2:12">
      <c r="B951" s="369"/>
      <c r="C951" s="358"/>
      <c r="D951" s="136"/>
      <c r="E951" s="136"/>
      <c r="F951" s="61"/>
      <c r="G951" s="61"/>
      <c r="H951" s="61"/>
      <c r="I951" s="61"/>
      <c r="J951" s="61"/>
      <c r="K951" s="61"/>
      <c r="L951" s="136"/>
    </row>
    <row r="952" spans="2:12">
      <c r="F952" s="366" t="s">
        <v>72</v>
      </c>
      <c r="G952" s="366"/>
      <c r="H952" s="366"/>
      <c r="I952" s="366"/>
      <c r="J952" s="366"/>
      <c r="K952" s="366"/>
    </row>
  </sheetData>
  <mergeCells count="150">
    <mergeCell ref="B882:B919"/>
    <mergeCell ref="C920:C951"/>
    <mergeCell ref="B920:B951"/>
    <mergeCell ref="C706:C716"/>
    <mergeCell ref="C852:C860"/>
    <mergeCell ref="C861:C872"/>
    <mergeCell ref="C873:C881"/>
    <mergeCell ref="C798:C809"/>
    <mergeCell ref="C810:C818"/>
    <mergeCell ref="C819:C830"/>
    <mergeCell ref="C831:C839"/>
    <mergeCell ref="C840:C851"/>
    <mergeCell ref="C592:C605"/>
    <mergeCell ref="C606:C616"/>
    <mergeCell ref="C617:C630"/>
    <mergeCell ref="C631:C641"/>
    <mergeCell ref="C642:C655"/>
    <mergeCell ref="C548:C556"/>
    <mergeCell ref="C557:C566"/>
    <mergeCell ref="C567:C580"/>
    <mergeCell ref="C581:C591"/>
    <mergeCell ref="C502:C515"/>
    <mergeCell ref="C516:C529"/>
    <mergeCell ref="C530:C538"/>
    <mergeCell ref="C539:C547"/>
    <mergeCell ref="C451:C458"/>
    <mergeCell ref="C459:C468"/>
    <mergeCell ref="C469:C477"/>
    <mergeCell ref="C478:C487"/>
    <mergeCell ref="C488:C501"/>
    <mergeCell ref="C405:C417"/>
    <mergeCell ref="C418:C423"/>
    <mergeCell ref="C424:C432"/>
    <mergeCell ref="C433:C440"/>
    <mergeCell ref="C441:C450"/>
    <mergeCell ref="C339:C352"/>
    <mergeCell ref="C353:C363"/>
    <mergeCell ref="C364:C377"/>
    <mergeCell ref="C378:C388"/>
    <mergeCell ref="C389:C404"/>
    <mergeCell ref="B364:B377"/>
    <mergeCell ref="B389:B404"/>
    <mergeCell ref="B548:B556"/>
    <mergeCell ref="B451:B458"/>
    <mergeCell ref="B459:B468"/>
    <mergeCell ref="B478:B487"/>
    <mergeCell ref="B530:B538"/>
    <mergeCell ref="B539:B547"/>
    <mergeCell ref="B469:B477"/>
    <mergeCell ref="B488:B501"/>
    <mergeCell ref="B502:B515"/>
    <mergeCell ref="B516:B529"/>
    <mergeCell ref="B281:B296"/>
    <mergeCell ref="B310:B325"/>
    <mergeCell ref="B339:B352"/>
    <mergeCell ref="B326:B338"/>
    <mergeCell ref="B353:B363"/>
    <mergeCell ref="B144:B159"/>
    <mergeCell ref="B173:B186"/>
    <mergeCell ref="B198:B211"/>
    <mergeCell ref="C268:C280"/>
    <mergeCell ref="C281:C296"/>
    <mergeCell ref="C297:C309"/>
    <mergeCell ref="C310:C325"/>
    <mergeCell ref="C326:C338"/>
    <mergeCell ref="B21:B31"/>
    <mergeCell ref="B32:B45"/>
    <mergeCell ref="B57:B72"/>
    <mergeCell ref="B86:B101"/>
    <mergeCell ref="B46:B56"/>
    <mergeCell ref="D5:E5"/>
    <mergeCell ref="F5:K5"/>
    <mergeCell ref="B433:B440"/>
    <mergeCell ref="B441:B450"/>
    <mergeCell ref="B405:B417"/>
    <mergeCell ref="B418:B423"/>
    <mergeCell ref="B424:B432"/>
    <mergeCell ref="C131:C143"/>
    <mergeCell ref="C144:C159"/>
    <mergeCell ref="C160:C172"/>
    <mergeCell ref="C173:C186"/>
    <mergeCell ref="C187:C197"/>
    <mergeCell ref="C198:C211"/>
    <mergeCell ref="C212:C222"/>
    <mergeCell ref="C223:C238"/>
    <mergeCell ref="C239:C251"/>
    <mergeCell ref="C252:C267"/>
    <mergeCell ref="B223:B238"/>
    <mergeCell ref="B252:B267"/>
    <mergeCell ref="L5:L6"/>
    <mergeCell ref="B7:B20"/>
    <mergeCell ref="B378:B388"/>
    <mergeCell ref="B73:B85"/>
    <mergeCell ref="B102:B114"/>
    <mergeCell ref="B131:B143"/>
    <mergeCell ref="B160:B172"/>
    <mergeCell ref="B187:B197"/>
    <mergeCell ref="B212:B222"/>
    <mergeCell ref="B239:B251"/>
    <mergeCell ref="B268:B280"/>
    <mergeCell ref="B297:B309"/>
    <mergeCell ref="B5:B6"/>
    <mergeCell ref="B115:B130"/>
    <mergeCell ref="C5:C6"/>
    <mergeCell ref="C7:C20"/>
    <mergeCell ref="C21:C31"/>
    <mergeCell ref="C32:C45"/>
    <mergeCell ref="C46:C56"/>
    <mergeCell ref="C57:C72"/>
    <mergeCell ref="C73:C85"/>
    <mergeCell ref="C86:C101"/>
    <mergeCell ref="C102:C114"/>
    <mergeCell ref="C115:C130"/>
    <mergeCell ref="B557:B566"/>
    <mergeCell ref="B581:B591"/>
    <mergeCell ref="B606:B616"/>
    <mergeCell ref="B631:B641"/>
    <mergeCell ref="B567:B580"/>
    <mergeCell ref="B592:B605"/>
    <mergeCell ref="B617:B630"/>
    <mergeCell ref="B852:B860"/>
    <mergeCell ref="B748:B778"/>
    <mergeCell ref="B798:B809"/>
    <mergeCell ref="B810:B818"/>
    <mergeCell ref="B779:B797"/>
    <mergeCell ref="B831:B839"/>
    <mergeCell ref="F952:K952"/>
    <mergeCell ref="B873:B881"/>
    <mergeCell ref="B642:B655"/>
    <mergeCell ref="B681:B691"/>
    <mergeCell ref="B706:B716"/>
    <mergeCell ref="B731:B741"/>
    <mergeCell ref="B742:B747"/>
    <mergeCell ref="B656:B666"/>
    <mergeCell ref="B819:B830"/>
    <mergeCell ref="B840:B851"/>
    <mergeCell ref="B861:B872"/>
    <mergeCell ref="B667:B680"/>
    <mergeCell ref="B692:B705"/>
    <mergeCell ref="B717:B730"/>
    <mergeCell ref="C717:C730"/>
    <mergeCell ref="C731:C741"/>
    <mergeCell ref="C742:C747"/>
    <mergeCell ref="C748:C778"/>
    <mergeCell ref="C779:C797"/>
    <mergeCell ref="C656:C666"/>
    <mergeCell ref="C667:C680"/>
    <mergeCell ref="C681:C691"/>
    <mergeCell ref="C692:C705"/>
    <mergeCell ref="C882:C919"/>
  </mergeCells>
  <phoneticPr fontId="1"/>
  <pageMargins left="0.70866141732283472" right="0.70866141732283472" top="0.74803149606299213" bottom="0.74803149606299213" header="0.31496062992125984" footer="0.31496062992125984"/>
  <pageSetup paperSize="9" scale="52" orientation="landscape" r:id="rId1"/>
  <headerFooter>
    <oddHeader>&amp;Lメッセージ認証機能評価 単体機能評価仕様書
&amp;A&amp;R【CONFIDENTIAL】
T0100000015687</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2:L141"/>
  <sheetViews>
    <sheetView view="pageBreakPreview" zoomScaleNormal="100" zoomScaleSheetLayoutView="100" workbookViewId="0"/>
  </sheetViews>
  <sheetFormatPr defaultColWidth="9" defaultRowHeight="15.75"/>
  <cols>
    <col min="1" max="1" width="4" style="5" customWidth="1"/>
    <col min="2" max="3" width="9.28515625" style="5" customWidth="1"/>
    <col min="4" max="4" width="8.28515625" style="5" bestFit="1" customWidth="1"/>
    <col min="5" max="5" width="46" style="5" bestFit="1" customWidth="1"/>
    <col min="6" max="6" width="21.7109375" style="5" bestFit="1" customWidth="1"/>
    <col min="7" max="7" width="53.28515625" style="5" bestFit="1" customWidth="1"/>
    <col min="8" max="11" width="16" style="5" customWidth="1"/>
    <col min="12" max="12" width="5.42578125" style="5" bestFit="1" customWidth="1"/>
    <col min="13" max="16384" width="9" style="5"/>
  </cols>
  <sheetData>
    <row r="2" spans="1:12" ht="16.5">
      <c r="A2" s="12" t="s">
        <v>159</v>
      </c>
    </row>
    <row r="3" spans="1:12" ht="16.5">
      <c r="A3" s="12"/>
      <c r="B3" s="5" t="s">
        <v>1587</v>
      </c>
    </row>
    <row r="5" spans="1:12">
      <c r="B5" s="362" t="s">
        <v>33</v>
      </c>
      <c r="C5" s="360" t="s">
        <v>1477</v>
      </c>
      <c r="D5" s="363" t="s">
        <v>34</v>
      </c>
      <c r="E5" s="363"/>
      <c r="F5" s="364" t="s">
        <v>69</v>
      </c>
      <c r="G5" s="364"/>
      <c r="H5" s="364"/>
      <c r="I5" s="364"/>
      <c r="J5" s="364"/>
      <c r="K5" s="364"/>
      <c r="L5" s="363" t="s">
        <v>5</v>
      </c>
    </row>
    <row r="6" spans="1:12">
      <c r="B6" s="363"/>
      <c r="C6" s="361"/>
      <c r="D6" s="67" t="s">
        <v>57</v>
      </c>
      <c r="E6" s="67" t="s">
        <v>35</v>
      </c>
      <c r="F6" s="68" t="s">
        <v>75</v>
      </c>
      <c r="G6" s="68" t="s">
        <v>76</v>
      </c>
      <c r="H6" s="68" t="s">
        <v>77</v>
      </c>
      <c r="I6" s="68" t="s">
        <v>78</v>
      </c>
      <c r="J6" s="68" t="s">
        <v>79</v>
      </c>
      <c r="K6" s="68" t="s">
        <v>84</v>
      </c>
      <c r="L6" s="363"/>
    </row>
    <row r="7" spans="1:12">
      <c r="B7" s="367" t="s">
        <v>203</v>
      </c>
      <c r="C7" s="356" t="s">
        <v>1476</v>
      </c>
      <c r="D7" s="60">
        <v>1</v>
      </c>
      <c r="E7" s="60" t="s">
        <v>1614</v>
      </c>
      <c r="F7" s="61" t="s">
        <v>1581</v>
      </c>
      <c r="G7" s="61"/>
      <c r="H7" s="61"/>
      <c r="I7" s="61"/>
      <c r="J7" s="61"/>
      <c r="K7" s="61"/>
      <c r="L7" s="60"/>
    </row>
    <row r="8" spans="1:12">
      <c r="B8" s="368"/>
      <c r="C8" s="357"/>
      <c r="D8" s="60">
        <v>2</v>
      </c>
      <c r="E8" s="60" t="s">
        <v>1615</v>
      </c>
      <c r="F8" s="61" t="s">
        <v>1569</v>
      </c>
      <c r="G8" s="61"/>
      <c r="H8" s="61"/>
      <c r="I8" s="61"/>
      <c r="J8" s="61"/>
      <c r="K8" s="61"/>
      <c r="L8" s="60"/>
    </row>
    <row r="9" spans="1:12">
      <c r="B9" s="368"/>
      <c r="C9" s="357"/>
      <c r="D9" s="60">
        <v>3</v>
      </c>
      <c r="E9" s="60" t="s">
        <v>1585</v>
      </c>
      <c r="F9" s="61" t="s">
        <v>87</v>
      </c>
      <c r="G9" s="61" t="s">
        <v>1588</v>
      </c>
      <c r="H9" s="61"/>
      <c r="I9" s="61"/>
      <c r="J9" s="61"/>
      <c r="K9" s="61"/>
      <c r="L9" s="60"/>
    </row>
    <row r="10" spans="1:12">
      <c r="B10" s="368"/>
      <c r="C10" s="357"/>
      <c r="D10" s="60">
        <v>4</v>
      </c>
      <c r="E10" s="60" t="s">
        <v>142</v>
      </c>
      <c r="F10" s="61" t="s">
        <v>122</v>
      </c>
      <c r="G10" s="61">
        <v>60000</v>
      </c>
      <c r="H10" s="61"/>
      <c r="I10" s="61"/>
      <c r="J10" s="61"/>
      <c r="K10" s="61"/>
      <c r="L10" s="60"/>
    </row>
    <row r="11" spans="1:12">
      <c r="B11" s="368"/>
      <c r="C11" s="357"/>
      <c r="D11" s="60">
        <v>5</v>
      </c>
      <c r="E11" s="60" t="s">
        <v>67</v>
      </c>
      <c r="F11" s="61" t="s">
        <v>123</v>
      </c>
      <c r="G11" s="61"/>
      <c r="H11" s="61"/>
      <c r="I11" s="61"/>
      <c r="J11" s="61"/>
      <c r="K11" s="61"/>
      <c r="L11" s="60"/>
    </row>
    <row r="12" spans="1:12">
      <c r="B12" s="369"/>
      <c r="C12" s="358"/>
      <c r="D12" s="60"/>
      <c r="E12" s="60"/>
      <c r="F12" s="61"/>
      <c r="G12" s="61"/>
      <c r="H12" s="61"/>
      <c r="I12" s="61"/>
      <c r="J12" s="61"/>
      <c r="K12" s="61"/>
      <c r="L12" s="60"/>
    </row>
    <row r="13" spans="1:12">
      <c r="B13" s="367" t="s">
        <v>204</v>
      </c>
      <c r="C13" s="356" t="s">
        <v>1476</v>
      </c>
      <c r="D13" s="60">
        <v>1</v>
      </c>
      <c r="E13" s="60" t="s">
        <v>142</v>
      </c>
      <c r="F13" s="61" t="s">
        <v>122</v>
      </c>
      <c r="G13" s="61"/>
      <c r="H13" s="61"/>
      <c r="I13" s="61"/>
      <c r="J13" s="61"/>
      <c r="K13" s="61"/>
      <c r="L13" s="60"/>
    </row>
    <row r="14" spans="1:12">
      <c r="B14" s="368"/>
      <c r="C14" s="357"/>
      <c r="D14" s="60">
        <v>2</v>
      </c>
      <c r="E14" s="60" t="s">
        <v>1614</v>
      </c>
      <c r="F14" s="61" t="s">
        <v>1581</v>
      </c>
      <c r="G14" s="61"/>
      <c r="H14" s="61"/>
      <c r="I14" s="61"/>
      <c r="J14" s="61"/>
      <c r="K14" s="61"/>
      <c r="L14" s="60"/>
    </row>
    <row r="15" spans="1:12">
      <c r="B15" s="368"/>
      <c r="C15" s="357"/>
      <c r="D15" s="60">
        <v>3</v>
      </c>
      <c r="E15" s="60" t="s">
        <v>1615</v>
      </c>
      <c r="F15" s="61" t="s">
        <v>1569</v>
      </c>
      <c r="G15" s="61"/>
      <c r="H15" s="61"/>
      <c r="I15" s="61"/>
      <c r="J15" s="61"/>
      <c r="K15" s="61"/>
      <c r="L15" s="60"/>
    </row>
    <row r="16" spans="1:12">
      <c r="B16" s="368"/>
      <c r="C16" s="357"/>
      <c r="D16" s="60">
        <v>4</v>
      </c>
      <c r="E16" s="60" t="s">
        <v>1585</v>
      </c>
      <c r="F16" s="61" t="s">
        <v>87</v>
      </c>
      <c r="G16" s="61" t="s">
        <v>1588</v>
      </c>
      <c r="H16" s="61"/>
      <c r="I16" s="61"/>
      <c r="J16" s="61"/>
      <c r="K16" s="61"/>
      <c r="L16" s="60"/>
    </row>
    <row r="17" spans="2:12">
      <c r="B17" s="368"/>
      <c r="C17" s="357"/>
      <c r="D17" s="60">
        <v>5</v>
      </c>
      <c r="E17" s="60" t="s">
        <v>313</v>
      </c>
      <c r="F17" s="61" t="s">
        <v>817</v>
      </c>
      <c r="G17" s="61">
        <v>10000</v>
      </c>
      <c r="H17" s="61"/>
      <c r="I17" s="61"/>
      <c r="J17" s="61"/>
      <c r="K17" s="61"/>
      <c r="L17" s="60"/>
    </row>
    <row r="18" spans="2:12">
      <c r="B18" s="368"/>
      <c r="C18" s="357"/>
      <c r="D18" s="60">
        <v>6</v>
      </c>
      <c r="E18" s="60" t="s">
        <v>146</v>
      </c>
      <c r="F18" s="61" t="s">
        <v>123</v>
      </c>
      <c r="G18" s="61"/>
      <c r="H18" s="61"/>
      <c r="I18" s="61"/>
      <c r="J18" s="61"/>
      <c r="K18" s="61"/>
      <c r="L18" s="60"/>
    </row>
    <row r="19" spans="2:12">
      <c r="B19" s="369"/>
      <c r="C19" s="358"/>
      <c r="D19" s="60"/>
      <c r="E19" s="60"/>
      <c r="F19" s="61"/>
      <c r="G19" s="61"/>
      <c r="H19" s="61"/>
      <c r="I19" s="61"/>
      <c r="J19" s="61"/>
      <c r="K19" s="61"/>
      <c r="L19" s="60"/>
    </row>
    <row r="20" spans="2:12">
      <c r="B20" s="367" t="s">
        <v>205</v>
      </c>
      <c r="C20" s="356" t="s">
        <v>1476</v>
      </c>
      <c r="D20" s="60">
        <v>1</v>
      </c>
      <c r="E20" s="60" t="s">
        <v>1614</v>
      </c>
      <c r="F20" s="61" t="s">
        <v>1581</v>
      </c>
      <c r="G20" s="61"/>
      <c r="H20" s="61"/>
      <c r="I20" s="61"/>
      <c r="J20" s="61"/>
      <c r="K20" s="61"/>
      <c r="L20" s="60"/>
    </row>
    <row r="21" spans="2:12">
      <c r="B21" s="368"/>
      <c r="C21" s="357"/>
      <c r="D21" s="60">
        <v>2</v>
      </c>
      <c r="E21" s="60" t="s">
        <v>1615</v>
      </c>
      <c r="F21" s="61" t="s">
        <v>1569</v>
      </c>
      <c r="G21" s="61"/>
      <c r="H21" s="61"/>
      <c r="I21" s="61"/>
      <c r="J21" s="61"/>
      <c r="K21" s="61"/>
      <c r="L21" s="60"/>
    </row>
    <row r="22" spans="2:12">
      <c r="B22" s="368"/>
      <c r="C22" s="357"/>
      <c r="D22" s="60">
        <v>3</v>
      </c>
      <c r="E22" s="60" t="s">
        <v>1585</v>
      </c>
      <c r="F22" s="61" t="s">
        <v>87</v>
      </c>
      <c r="G22" s="61" t="s">
        <v>1588</v>
      </c>
      <c r="H22" s="61"/>
      <c r="I22" s="61"/>
      <c r="J22" s="61"/>
      <c r="K22" s="61"/>
      <c r="L22" s="60"/>
    </row>
    <row r="23" spans="2:12">
      <c r="B23" s="368"/>
      <c r="C23" s="357"/>
      <c r="D23" s="60">
        <v>4</v>
      </c>
      <c r="E23" s="60" t="s">
        <v>142</v>
      </c>
      <c r="F23" s="61" t="s">
        <v>122</v>
      </c>
      <c r="G23" s="61">
        <v>60000</v>
      </c>
      <c r="H23" s="61"/>
      <c r="I23" s="61"/>
      <c r="J23" s="61"/>
      <c r="K23" s="61"/>
      <c r="L23" s="60"/>
    </row>
    <row r="24" spans="2:12">
      <c r="B24" s="368"/>
      <c r="C24" s="357"/>
      <c r="D24" s="60">
        <v>5</v>
      </c>
      <c r="E24" s="60" t="s">
        <v>67</v>
      </c>
      <c r="F24" s="61" t="s">
        <v>123</v>
      </c>
      <c r="G24" s="61"/>
      <c r="H24" s="61"/>
      <c r="I24" s="61"/>
      <c r="J24" s="61"/>
      <c r="K24" s="61"/>
      <c r="L24" s="60"/>
    </row>
    <row r="25" spans="2:12">
      <c r="B25" s="369"/>
      <c r="C25" s="358"/>
      <c r="D25" s="60"/>
      <c r="E25" s="60"/>
      <c r="F25" s="61"/>
      <c r="G25" s="61"/>
      <c r="H25" s="61"/>
      <c r="I25" s="61"/>
      <c r="J25" s="61"/>
      <c r="K25" s="61"/>
      <c r="L25" s="60"/>
    </row>
    <row r="26" spans="2:12">
      <c r="B26" s="367" t="s">
        <v>206</v>
      </c>
      <c r="C26" s="356" t="s">
        <v>1476</v>
      </c>
      <c r="D26" s="60">
        <v>1</v>
      </c>
      <c r="E26" s="60" t="s">
        <v>142</v>
      </c>
      <c r="F26" s="61" t="s">
        <v>122</v>
      </c>
      <c r="G26" s="61"/>
      <c r="H26" s="61"/>
      <c r="I26" s="61"/>
      <c r="J26" s="61"/>
      <c r="K26" s="61"/>
      <c r="L26" s="60"/>
    </row>
    <row r="27" spans="2:12">
      <c r="B27" s="368"/>
      <c r="C27" s="357"/>
      <c r="D27" s="60">
        <v>2</v>
      </c>
      <c r="E27" s="60" t="s">
        <v>1614</v>
      </c>
      <c r="F27" s="61" t="s">
        <v>1581</v>
      </c>
      <c r="G27" s="61"/>
      <c r="H27" s="61"/>
      <c r="I27" s="61"/>
      <c r="J27" s="61"/>
      <c r="K27" s="61"/>
      <c r="L27" s="60"/>
    </row>
    <row r="28" spans="2:12">
      <c r="B28" s="368"/>
      <c r="C28" s="357"/>
      <c r="D28" s="60">
        <v>3</v>
      </c>
      <c r="E28" s="60" t="s">
        <v>1615</v>
      </c>
      <c r="F28" s="61" t="s">
        <v>1569</v>
      </c>
      <c r="G28" s="61"/>
      <c r="H28" s="61"/>
      <c r="I28" s="61"/>
      <c r="J28" s="61"/>
      <c r="K28" s="61"/>
      <c r="L28" s="60"/>
    </row>
    <row r="29" spans="2:12">
      <c r="B29" s="368"/>
      <c r="C29" s="357"/>
      <c r="D29" s="60">
        <v>4</v>
      </c>
      <c r="E29" s="60"/>
      <c r="F29" s="61" t="s">
        <v>1105</v>
      </c>
      <c r="G29" s="61" t="s">
        <v>1112</v>
      </c>
      <c r="H29" s="61"/>
      <c r="I29" s="61"/>
      <c r="J29" s="61"/>
      <c r="K29" s="61"/>
      <c r="L29" s="60"/>
    </row>
    <row r="30" spans="2:12">
      <c r="B30" s="368"/>
      <c r="C30" s="357"/>
      <c r="D30" s="60">
        <v>5</v>
      </c>
      <c r="E30" s="60" t="s">
        <v>1585</v>
      </c>
      <c r="F30" s="61" t="s">
        <v>87</v>
      </c>
      <c r="G30" s="61" t="s">
        <v>1588</v>
      </c>
      <c r="H30" s="61"/>
      <c r="I30" s="61"/>
      <c r="J30" s="61"/>
      <c r="K30" s="61"/>
      <c r="L30" s="60"/>
    </row>
    <row r="31" spans="2:12">
      <c r="B31" s="368"/>
      <c r="C31" s="357"/>
      <c r="D31" s="60">
        <v>6</v>
      </c>
      <c r="E31" s="60" t="s">
        <v>313</v>
      </c>
      <c r="F31" s="61" t="s">
        <v>817</v>
      </c>
      <c r="G31" s="61">
        <v>10000</v>
      </c>
      <c r="H31" s="61"/>
      <c r="I31" s="61"/>
      <c r="J31" s="61"/>
      <c r="K31" s="61"/>
      <c r="L31" s="60"/>
    </row>
    <row r="32" spans="2:12">
      <c r="B32" s="368"/>
      <c r="C32" s="357"/>
      <c r="D32" s="60">
        <v>7</v>
      </c>
      <c r="E32" s="60" t="s">
        <v>146</v>
      </c>
      <c r="F32" s="61" t="s">
        <v>123</v>
      </c>
      <c r="G32" s="61"/>
      <c r="H32" s="61"/>
      <c r="I32" s="61"/>
      <c r="J32" s="61"/>
      <c r="K32" s="61"/>
      <c r="L32" s="60"/>
    </row>
    <row r="33" spans="2:12">
      <c r="B33" s="369"/>
      <c r="C33" s="358"/>
      <c r="D33" s="60"/>
      <c r="E33" s="60"/>
      <c r="F33" s="61"/>
      <c r="G33" s="61"/>
      <c r="H33" s="61"/>
      <c r="I33" s="61"/>
      <c r="J33" s="61"/>
      <c r="K33" s="61"/>
      <c r="L33" s="60"/>
    </row>
    <row r="34" spans="2:12">
      <c r="B34" s="367" t="s">
        <v>207</v>
      </c>
      <c r="C34" s="356" t="s">
        <v>1476</v>
      </c>
      <c r="D34" s="60">
        <v>1</v>
      </c>
      <c r="E34" s="60" t="s">
        <v>142</v>
      </c>
      <c r="F34" s="61" t="s">
        <v>122</v>
      </c>
      <c r="G34" s="61"/>
      <c r="H34" s="61"/>
      <c r="I34" s="61"/>
      <c r="J34" s="61"/>
      <c r="K34" s="61"/>
      <c r="L34" s="60"/>
    </row>
    <row r="35" spans="2:12">
      <c r="B35" s="368"/>
      <c r="C35" s="357"/>
      <c r="D35" s="60">
        <v>2</v>
      </c>
      <c r="E35" s="60" t="s">
        <v>1614</v>
      </c>
      <c r="F35" s="61" t="s">
        <v>1581</v>
      </c>
      <c r="G35" s="61"/>
      <c r="H35" s="61"/>
      <c r="I35" s="61"/>
      <c r="J35" s="61"/>
      <c r="K35" s="61"/>
      <c r="L35" s="60"/>
    </row>
    <row r="36" spans="2:12">
      <c r="B36" s="368"/>
      <c r="C36" s="357"/>
      <c r="D36" s="60">
        <v>3</v>
      </c>
      <c r="E36" s="60" t="s">
        <v>1615</v>
      </c>
      <c r="F36" s="61" t="s">
        <v>1569</v>
      </c>
      <c r="G36" s="61"/>
      <c r="H36" s="61"/>
      <c r="I36" s="61"/>
      <c r="J36" s="61"/>
      <c r="K36" s="61"/>
      <c r="L36" s="60"/>
    </row>
    <row r="37" spans="2:12">
      <c r="B37" s="368"/>
      <c r="C37" s="357"/>
      <c r="D37" s="60">
        <v>4</v>
      </c>
      <c r="E37" s="60" t="s">
        <v>1585</v>
      </c>
      <c r="F37" s="61" t="s">
        <v>87</v>
      </c>
      <c r="G37" s="61" t="s">
        <v>1588</v>
      </c>
      <c r="H37" s="61"/>
      <c r="I37" s="61"/>
      <c r="J37" s="61"/>
      <c r="K37" s="61"/>
      <c r="L37" s="60"/>
    </row>
    <row r="38" spans="2:12">
      <c r="B38" s="368"/>
      <c r="C38" s="357"/>
      <c r="D38" s="60">
        <v>5</v>
      </c>
      <c r="E38" s="60" t="s">
        <v>313</v>
      </c>
      <c r="F38" s="61" t="s">
        <v>817</v>
      </c>
      <c r="G38" s="61">
        <v>10000</v>
      </c>
      <c r="H38" s="61"/>
      <c r="I38" s="61"/>
      <c r="J38" s="61"/>
      <c r="K38" s="61"/>
      <c r="L38" s="60"/>
    </row>
    <row r="39" spans="2:12">
      <c r="B39" s="368"/>
      <c r="C39" s="357"/>
      <c r="D39" s="60">
        <v>6</v>
      </c>
      <c r="E39" s="60" t="s">
        <v>168</v>
      </c>
      <c r="F39" s="61" t="s">
        <v>123</v>
      </c>
      <c r="G39" s="61"/>
      <c r="H39" s="61"/>
      <c r="I39" s="61"/>
      <c r="J39" s="61"/>
      <c r="K39" s="61"/>
      <c r="L39" s="60"/>
    </row>
    <row r="40" spans="2:12">
      <c r="B40" s="369"/>
      <c r="C40" s="358"/>
      <c r="D40" s="60"/>
      <c r="E40" s="60"/>
      <c r="F40" s="61"/>
      <c r="G40" s="61"/>
      <c r="H40" s="61"/>
      <c r="I40" s="61"/>
      <c r="J40" s="61"/>
      <c r="K40" s="61"/>
      <c r="L40" s="60"/>
    </row>
    <row r="41" spans="2:12">
      <c r="B41" s="367" t="s">
        <v>208</v>
      </c>
      <c r="C41" s="356" t="s">
        <v>1476</v>
      </c>
      <c r="D41" s="60">
        <v>1</v>
      </c>
      <c r="E41" s="60" t="s">
        <v>142</v>
      </c>
      <c r="F41" s="61" t="s">
        <v>122</v>
      </c>
      <c r="G41" s="61"/>
      <c r="H41" s="61"/>
      <c r="I41" s="61"/>
      <c r="J41" s="61"/>
      <c r="K41" s="61"/>
      <c r="L41" s="60"/>
    </row>
    <row r="42" spans="2:12">
      <c r="B42" s="368"/>
      <c r="C42" s="357"/>
      <c r="D42" s="60">
        <v>2</v>
      </c>
      <c r="E42" s="60" t="s">
        <v>1614</v>
      </c>
      <c r="F42" s="61" t="s">
        <v>1581</v>
      </c>
      <c r="G42" s="61"/>
      <c r="H42" s="61"/>
      <c r="I42" s="61"/>
      <c r="J42" s="61"/>
      <c r="K42" s="61"/>
      <c r="L42" s="60"/>
    </row>
    <row r="43" spans="2:12">
      <c r="B43" s="368"/>
      <c r="C43" s="357"/>
      <c r="D43" s="60">
        <v>3</v>
      </c>
      <c r="E43" s="60" t="s">
        <v>1615</v>
      </c>
      <c r="F43" s="61" t="s">
        <v>1569</v>
      </c>
      <c r="G43" s="61"/>
      <c r="H43" s="61"/>
      <c r="I43" s="61"/>
      <c r="J43" s="61"/>
      <c r="K43" s="61"/>
      <c r="L43" s="60"/>
    </row>
    <row r="44" spans="2:12">
      <c r="B44" s="368"/>
      <c r="C44" s="357"/>
      <c r="D44" s="60">
        <v>4</v>
      </c>
      <c r="E44" s="60" t="s">
        <v>1585</v>
      </c>
      <c r="F44" s="61" t="s">
        <v>87</v>
      </c>
      <c r="G44" s="61" t="s">
        <v>1588</v>
      </c>
      <c r="H44" s="61"/>
      <c r="I44" s="61"/>
      <c r="J44" s="61"/>
      <c r="K44" s="61"/>
      <c r="L44" s="60"/>
    </row>
    <row r="45" spans="2:12">
      <c r="B45" s="368"/>
      <c r="C45" s="357"/>
      <c r="D45" s="60">
        <v>5</v>
      </c>
      <c r="E45" s="60" t="s">
        <v>313</v>
      </c>
      <c r="F45" s="61" t="s">
        <v>817</v>
      </c>
      <c r="G45" s="61">
        <v>10000</v>
      </c>
      <c r="H45" s="61"/>
      <c r="I45" s="61"/>
      <c r="J45" s="61"/>
      <c r="K45" s="61"/>
      <c r="L45" s="60"/>
    </row>
    <row r="46" spans="2:12">
      <c r="B46" s="368"/>
      <c r="C46" s="357"/>
      <c r="D46" s="60">
        <v>6</v>
      </c>
      <c r="E46" s="60" t="s">
        <v>168</v>
      </c>
      <c r="F46" s="61" t="s">
        <v>123</v>
      </c>
      <c r="G46" s="61"/>
      <c r="H46" s="61"/>
      <c r="I46" s="61"/>
      <c r="J46" s="61"/>
      <c r="K46" s="61"/>
      <c r="L46" s="60"/>
    </row>
    <row r="47" spans="2:12">
      <c r="B47" s="369"/>
      <c r="C47" s="358"/>
      <c r="D47" s="60"/>
      <c r="E47" s="60"/>
      <c r="F47" s="61"/>
      <c r="G47" s="61"/>
      <c r="H47" s="61"/>
      <c r="I47" s="61"/>
      <c r="J47" s="61"/>
      <c r="K47" s="61"/>
      <c r="L47" s="60"/>
    </row>
    <row r="48" spans="2:12">
      <c r="B48" s="367" t="s">
        <v>209</v>
      </c>
      <c r="C48" s="356" t="s">
        <v>1476</v>
      </c>
      <c r="D48" s="60">
        <v>1</v>
      </c>
      <c r="E48" s="60" t="s">
        <v>1614</v>
      </c>
      <c r="F48" s="61" t="s">
        <v>1581</v>
      </c>
      <c r="G48" s="61"/>
      <c r="H48" s="61"/>
      <c r="I48" s="61"/>
      <c r="J48" s="61"/>
      <c r="K48" s="61"/>
      <c r="L48" s="60"/>
    </row>
    <row r="49" spans="2:12">
      <c r="B49" s="368"/>
      <c r="C49" s="357"/>
      <c r="D49" s="60">
        <v>2</v>
      </c>
      <c r="E49" s="60" t="s">
        <v>1615</v>
      </c>
      <c r="F49" s="61" t="s">
        <v>1569</v>
      </c>
      <c r="G49" s="61"/>
      <c r="H49" s="61"/>
      <c r="I49" s="61"/>
      <c r="J49" s="61"/>
      <c r="K49" s="61"/>
      <c r="L49" s="60"/>
    </row>
    <row r="50" spans="2:12">
      <c r="B50" s="368"/>
      <c r="C50" s="357"/>
      <c r="D50" s="60">
        <v>3</v>
      </c>
      <c r="E50" s="60" t="s">
        <v>1585</v>
      </c>
      <c r="F50" s="61" t="s">
        <v>87</v>
      </c>
      <c r="G50" s="61" t="s">
        <v>1588</v>
      </c>
      <c r="H50" s="61"/>
      <c r="I50" s="61"/>
      <c r="J50" s="61"/>
      <c r="K50" s="61"/>
      <c r="L50" s="60"/>
    </row>
    <row r="51" spans="2:12">
      <c r="B51" s="368"/>
      <c r="C51" s="357"/>
      <c r="D51" s="60">
        <v>4</v>
      </c>
      <c r="E51" s="60" t="s">
        <v>142</v>
      </c>
      <c r="F51" s="61" t="s">
        <v>122</v>
      </c>
      <c r="G51" s="61"/>
      <c r="H51" s="61"/>
      <c r="I51" s="61"/>
      <c r="J51" s="61"/>
      <c r="K51" s="61"/>
      <c r="L51" s="60"/>
    </row>
    <row r="52" spans="2:12">
      <c r="B52" s="368"/>
      <c r="C52" s="357"/>
      <c r="D52" s="60">
        <v>5</v>
      </c>
      <c r="E52" s="60"/>
      <c r="F52" s="61" t="s">
        <v>1114</v>
      </c>
      <c r="G52" s="61">
        <v>1000</v>
      </c>
      <c r="H52" s="61"/>
      <c r="I52" s="61"/>
      <c r="J52" s="61"/>
      <c r="K52" s="61"/>
      <c r="L52" s="60"/>
    </row>
    <row r="53" spans="2:12">
      <c r="B53" s="368"/>
      <c r="C53" s="357"/>
      <c r="D53" s="60">
        <v>6</v>
      </c>
      <c r="E53" s="60"/>
      <c r="F53" s="61" t="s">
        <v>124</v>
      </c>
      <c r="G53" s="61" t="s">
        <v>1575</v>
      </c>
      <c r="H53" s="61"/>
      <c r="I53" s="61"/>
      <c r="J53" s="61"/>
      <c r="K53" s="61"/>
      <c r="L53" s="60"/>
    </row>
    <row r="54" spans="2:12">
      <c r="B54" s="368"/>
      <c r="C54" s="357"/>
      <c r="D54" s="60">
        <v>7</v>
      </c>
      <c r="E54" s="60" t="s">
        <v>1589</v>
      </c>
      <c r="F54" s="61" t="s">
        <v>87</v>
      </c>
      <c r="G54" s="61" t="s">
        <v>1590</v>
      </c>
      <c r="H54" s="61"/>
      <c r="I54" s="61"/>
      <c r="J54" s="61"/>
      <c r="K54" s="61"/>
      <c r="L54" s="60"/>
    </row>
    <row r="55" spans="2:12">
      <c r="B55" s="368"/>
      <c r="C55" s="357"/>
      <c r="D55" s="60">
        <v>8</v>
      </c>
      <c r="E55" s="60"/>
      <c r="F55" s="61" t="s">
        <v>1113</v>
      </c>
      <c r="G55" s="61" t="s">
        <v>1576</v>
      </c>
      <c r="H55" s="61"/>
      <c r="I55" s="61"/>
      <c r="J55" s="61"/>
      <c r="K55" s="61"/>
      <c r="L55" s="60"/>
    </row>
    <row r="56" spans="2:12">
      <c r="B56" s="368"/>
      <c r="C56" s="357"/>
      <c r="D56" s="60">
        <v>9</v>
      </c>
      <c r="E56" s="60" t="s">
        <v>314</v>
      </c>
      <c r="F56" s="61" t="s">
        <v>300</v>
      </c>
      <c r="G56" s="61">
        <v>10000</v>
      </c>
      <c r="H56" s="61"/>
      <c r="I56" s="61"/>
      <c r="J56" s="61"/>
      <c r="K56" s="61"/>
      <c r="L56" s="60"/>
    </row>
    <row r="57" spans="2:12">
      <c r="B57" s="368"/>
      <c r="C57" s="357"/>
      <c r="D57" s="60">
        <v>10</v>
      </c>
      <c r="E57" s="60"/>
      <c r="F57" s="61" t="s">
        <v>124</v>
      </c>
      <c r="G57" s="61" t="s">
        <v>1575</v>
      </c>
      <c r="H57" s="61"/>
      <c r="I57" s="61"/>
      <c r="J57" s="61"/>
      <c r="K57" s="61"/>
      <c r="L57" s="60"/>
    </row>
    <row r="58" spans="2:12">
      <c r="B58" s="368"/>
      <c r="C58" s="357"/>
      <c r="D58" s="60">
        <v>11</v>
      </c>
      <c r="E58" s="60" t="s">
        <v>1591</v>
      </c>
      <c r="F58" s="61" t="s">
        <v>87</v>
      </c>
      <c r="G58" s="61" t="s">
        <v>1590</v>
      </c>
      <c r="H58" s="61"/>
      <c r="I58" s="61"/>
      <c r="J58" s="61"/>
      <c r="K58" s="61"/>
      <c r="L58" s="60"/>
    </row>
    <row r="59" spans="2:12">
      <c r="B59" s="368"/>
      <c r="C59" s="357"/>
      <c r="D59" s="60">
        <v>12</v>
      </c>
      <c r="E59" s="60"/>
      <c r="F59" s="61" t="s">
        <v>1113</v>
      </c>
      <c r="G59" s="61" t="s">
        <v>1576</v>
      </c>
      <c r="H59" s="61"/>
      <c r="I59" s="61"/>
      <c r="J59" s="61"/>
      <c r="K59" s="61"/>
      <c r="L59" s="60"/>
    </row>
    <row r="60" spans="2:12">
      <c r="B60" s="368"/>
      <c r="C60" s="357"/>
      <c r="D60" s="60">
        <v>13</v>
      </c>
      <c r="E60" s="60" t="s">
        <v>146</v>
      </c>
      <c r="F60" s="61" t="s">
        <v>123</v>
      </c>
      <c r="G60" s="61"/>
      <c r="H60" s="61"/>
      <c r="I60" s="61"/>
      <c r="J60" s="61"/>
      <c r="K60" s="61"/>
      <c r="L60" s="60"/>
    </row>
    <row r="61" spans="2:12">
      <c r="B61" s="369"/>
      <c r="C61" s="358"/>
      <c r="D61" s="60"/>
      <c r="E61" s="60"/>
      <c r="F61" s="61"/>
      <c r="G61" s="61"/>
      <c r="H61" s="61"/>
      <c r="I61" s="61"/>
      <c r="J61" s="61"/>
      <c r="K61" s="61"/>
      <c r="L61" s="60"/>
    </row>
    <row r="62" spans="2:12">
      <c r="B62" s="359" t="s">
        <v>315</v>
      </c>
      <c r="C62" s="356" t="s">
        <v>1476</v>
      </c>
      <c r="D62" s="60">
        <v>1</v>
      </c>
      <c r="E62" s="60" t="s">
        <v>1614</v>
      </c>
      <c r="F62" s="61" t="s">
        <v>1581</v>
      </c>
      <c r="G62" s="61"/>
      <c r="H62" s="61"/>
      <c r="I62" s="61"/>
      <c r="J62" s="61"/>
      <c r="K62" s="61"/>
      <c r="L62" s="60"/>
    </row>
    <row r="63" spans="2:12">
      <c r="B63" s="359"/>
      <c r="C63" s="357"/>
      <c r="D63" s="60">
        <v>2</v>
      </c>
      <c r="E63" s="60" t="s">
        <v>1615</v>
      </c>
      <c r="F63" s="61" t="s">
        <v>1569</v>
      </c>
      <c r="G63" s="61"/>
      <c r="H63" s="61"/>
      <c r="I63" s="61"/>
      <c r="J63" s="61"/>
      <c r="K63" s="61"/>
      <c r="L63" s="60"/>
    </row>
    <row r="64" spans="2:12">
      <c r="B64" s="359"/>
      <c r="C64" s="357"/>
      <c r="D64" s="60">
        <v>3</v>
      </c>
      <c r="E64" s="60" t="s">
        <v>1585</v>
      </c>
      <c r="F64" s="61" t="s">
        <v>87</v>
      </c>
      <c r="G64" s="61" t="s">
        <v>1588</v>
      </c>
      <c r="H64" s="61"/>
      <c r="I64" s="61"/>
      <c r="J64" s="61"/>
      <c r="K64" s="61"/>
      <c r="L64" s="60"/>
    </row>
    <row r="65" spans="2:12">
      <c r="B65" s="359"/>
      <c r="C65" s="357"/>
      <c r="D65" s="60">
        <v>4</v>
      </c>
      <c r="E65" s="60" t="s">
        <v>142</v>
      </c>
      <c r="F65" s="61" t="s">
        <v>122</v>
      </c>
      <c r="G65" s="61"/>
      <c r="H65" s="61"/>
      <c r="I65" s="61"/>
      <c r="J65" s="61"/>
      <c r="K65" s="61"/>
      <c r="L65" s="60"/>
    </row>
    <row r="66" spans="2:12">
      <c r="B66" s="359"/>
      <c r="C66" s="357"/>
      <c r="D66" s="60">
        <v>5</v>
      </c>
      <c r="E66" s="60"/>
      <c r="F66" s="61" t="s">
        <v>1114</v>
      </c>
      <c r="G66" s="61">
        <v>1000</v>
      </c>
      <c r="H66" s="61"/>
      <c r="I66" s="61"/>
      <c r="J66" s="61"/>
      <c r="K66" s="61"/>
      <c r="L66" s="60"/>
    </row>
    <row r="67" spans="2:12">
      <c r="B67" s="359"/>
      <c r="C67" s="357"/>
      <c r="D67" s="60">
        <v>6</v>
      </c>
      <c r="E67" s="60"/>
      <c r="F67" s="61" t="s">
        <v>124</v>
      </c>
      <c r="G67" s="61" t="s">
        <v>1575</v>
      </c>
      <c r="H67" s="61"/>
      <c r="I67" s="61"/>
      <c r="J67" s="61"/>
      <c r="K67" s="61"/>
      <c r="L67" s="60"/>
    </row>
    <row r="68" spans="2:12">
      <c r="B68" s="359"/>
      <c r="C68" s="357"/>
      <c r="D68" s="60">
        <v>7</v>
      </c>
      <c r="E68" s="60" t="s">
        <v>1592</v>
      </c>
      <c r="F68" s="61" t="s">
        <v>87</v>
      </c>
      <c r="G68" s="61" t="s">
        <v>1593</v>
      </c>
      <c r="H68" s="61"/>
      <c r="I68" s="61"/>
      <c r="J68" s="61"/>
      <c r="K68" s="61"/>
      <c r="L68" s="60"/>
    </row>
    <row r="69" spans="2:12">
      <c r="B69" s="359"/>
      <c r="C69" s="357"/>
      <c r="D69" s="60">
        <v>8</v>
      </c>
      <c r="E69" s="60"/>
      <c r="F69" s="61" t="s">
        <v>1113</v>
      </c>
      <c r="G69" s="61" t="s">
        <v>1576</v>
      </c>
      <c r="H69" s="61"/>
      <c r="I69" s="61"/>
      <c r="J69" s="61"/>
      <c r="K69" s="61"/>
      <c r="L69" s="60"/>
    </row>
    <row r="70" spans="2:12">
      <c r="B70" s="359"/>
      <c r="C70" s="357"/>
      <c r="D70" s="60">
        <v>9</v>
      </c>
      <c r="E70" s="60" t="s">
        <v>314</v>
      </c>
      <c r="F70" s="61" t="s">
        <v>300</v>
      </c>
      <c r="G70" s="61">
        <v>10000</v>
      </c>
      <c r="H70" s="61"/>
      <c r="I70" s="61"/>
      <c r="J70" s="61"/>
      <c r="K70" s="61"/>
      <c r="L70" s="60"/>
    </row>
    <row r="71" spans="2:12">
      <c r="B71" s="359"/>
      <c r="C71" s="357"/>
      <c r="D71" s="60">
        <v>10</v>
      </c>
      <c r="E71" s="60"/>
      <c r="F71" s="61" t="s">
        <v>124</v>
      </c>
      <c r="G71" s="61" t="s">
        <v>1575</v>
      </c>
      <c r="H71" s="61"/>
      <c r="I71" s="61"/>
      <c r="J71" s="61"/>
      <c r="K71" s="61"/>
      <c r="L71" s="60"/>
    </row>
    <row r="72" spans="2:12">
      <c r="B72" s="359"/>
      <c r="C72" s="357"/>
      <c r="D72" s="60">
        <v>11</v>
      </c>
      <c r="E72" s="60" t="s">
        <v>1591</v>
      </c>
      <c r="F72" s="61" t="s">
        <v>87</v>
      </c>
      <c r="G72" s="61" t="s">
        <v>1590</v>
      </c>
      <c r="H72" s="61"/>
      <c r="I72" s="61"/>
      <c r="J72" s="61"/>
      <c r="K72" s="61"/>
      <c r="L72" s="60"/>
    </row>
    <row r="73" spans="2:12">
      <c r="B73" s="359"/>
      <c r="C73" s="357"/>
      <c r="D73" s="60">
        <v>12</v>
      </c>
      <c r="E73" s="60"/>
      <c r="F73" s="61" t="s">
        <v>1113</v>
      </c>
      <c r="G73" s="61" t="s">
        <v>1576</v>
      </c>
      <c r="H73" s="61"/>
      <c r="I73" s="61"/>
      <c r="J73" s="61"/>
      <c r="K73" s="61"/>
      <c r="L73" s="60"/>
    </row>
    <row r="74" spans="2:12">
      <c r="B74" s="359"/>
      <c r="C74" s="357"/>
      <c r="D74" s="60">
        <v>13</v>
      </c>
      <c r="E74" s="60" t="s">
        <v>146</v>
      </c>
      <c r="F74" s="61" t="s">
        <v>123</v>
      </c>
      <c r="G74" s="61"/>
      <c r="H74" s="61"/>
      <c r="I74" s="61"/>
      <c r="J74" s="61"/>
      <c r="K74" s="61"/>
      <c r="L74" s="60"/>
    </row>
    <row r="75" spans="2:12">
      <c r="B75" s="359"/>
      <c r="C75" s="358"/>
      <c r="D75" s="60"/>
      <c r="E75" s="60"/>
      <c r="F75" s="61"/>
      <c r="G75" s="61"/>
      <c r="H75" s="61"/>
      <c r="I75" s="61"/>
      <c r="J75" s="61"/>
      <c r="K75" s="61"/>
      <c r="L75" s="60"/>
    </row>
    <row r="76" spans="2:12">
      <c r="B76" s="359" t="s">
        <v>316</v>
      </c>
      <c r="C76" s="356" t="s">
        <v>1476</v>
      </c>
      <c r="D76" s="60">
        <v>1</v>
      </c>
      <c r="E76" s="60" t="s">
        <v>1614</v>
      </c>
      <c r="F76" s="61" t="s">
        <v>1581</v>
      </c>
      <c r="G76" s="61"/>
      <c r="H76" s="61"/>
      <c r="I76" s="61"/>
      <c r="J76" s="61"/>
      <c r="K76" s="61"/>
      <c r="L76" s="60"/>
    </row>
    <row r="77" spans="2:12">
      <c r="B77" s="359"/>
      <c r="C77" s="357"/>
      <c r="D77" s="60">
        <v>2</v>
      </c>
      <c r="E77" s="60" t="s">
        <v>1615</v>
      </c>
      <c r="F77" s="61" t="s">
        <v>1569</v>
      </c>
      <c r="G77" s="61"/>
      <c r="H77" s="61"/>
      <c r="I77" s="61"/>
      <c r="J77" s="61"/>
      <c r="K77" s="61"/>
      <c r="L77" s="60"/>
    </row>
    <row r="78" spans="2:12">
      <c r="B78" s="359"/>
      <c r="C78" s="357"/>
      <c r="D78" s="60">
        <v>3</v>
      </c>
      <c r="E78" s="60" t="s">
        <v>1585</v>
      </c>
      <c r="F78" s="61" t="s">
        <v>87</v>
      </c>
      <c r="G78" s="61" t="s">
        <v>1588</v>
      </c>
      <c r="H78" s="61"/>
      <c r="I78" s="61"/>
      <c r="J78" s="61"/>
      <c r="K78" s="61"/>
      <c r="L78" s="60"/>
    </row>
    <row r="79" spans="2:12">
      <c r="B79" s="359"/>
      <c r="C79" s="357"/>
      <c r="D79" s="60">
        <v>4</v>
      </c>
      <c r="E79" s="60" t="s">
        <v>142</v>
      </c>
      <c r="F79" s="61" t="s">
        <v>122</v>
      </c>
      <c r="G79" s="61"/>
      <c r="H79" s="61"/>
      <c r="I79" s="61"/>
      <c r="J79" s="61"/>
      <c r="K79" s="61"/>
      <c r="L79" s="60"/>
    </row>
    <row r="80" spans="2:12">
      <c r="B80" s="359"/>
      <c r="C80" s="357"/>
      <c r="D80" s="60">
        <v>5</v>
      </c>
      <c r="E80" s="60"/>
      <c r="F80" s="61" t="s">
        <v>1114</v>
      </c>
      <c r="G80" s="61">
        <v>1000</v>
      </c>
      <c r="H80" s="61"/>
      <c r="I80" s="61"/>
      <c r="J80" s="61"/>
      <c r="K80" s="61"/>
      <c r="L80" s="60"/>
    </row>
    <row r="81" spans="2:12">
      <c r="B81" s="359"/>
      <c r="C81" s="357"/>
      <c r="D81" s="60">
        <v>6</v>
      </c>
      <c r="E81" s="60"/>
      <c r="F81" s="61" t="s">
        <v>124</v>
      </c>
      <c r="G81" s="61" t="s">
        <v>1575</v>
      </c>
      <c r="H81" s="61"/>
      <c r="I81" s="61"/>
      <c r="J81" s="61"/>
      <c r="K81" s="61"/>
      <c r="L81" s="60"/>
    </row>
    <row r="82" spans="2:12">
      <c r="B82" s="359"/>
      <c r="C82" s="357"/>
      <c r="D82" s="60">
        <v>7</v>
      </c>
      <c r="E82" s="60" t="s">
        <v>1594</v>
      </c>
      <c r="F82" s="61" t="s">
        <v>87</v>
      </c>
      <c r="G82" s="61" t="s">
        <v>1595</v>
      </c>
      <c r="H82" s="61"/>
      <c r="I82" s="61"/>
      <c r="J82" s="61"/>
      <c r="K82" s="61"/>
      <c r="L82" s="60"/>
    </row>
    <row r="83" spans="2:12">
      <c r="B83" s="359"/>
      <c r="C83" s="357"/>
      <c r="D83" s="60">
        <v>8</v>
      </c>
      <c r="E83" s="60"/>
      <c r="F83" s="61" t="s">
        <v>1113</v>
      </c>
      <c r="G83" s="61" t="s">
        <v>1576</v>
      </c>
      <c r="H83" s="61"/>
      <c r="I83" s="61"/>
      <c r="J83" s="61"/>
      <c r="K83" s="61"/>
      <c r="L83" s="60"/>
    </row>
    <row r="84" spans="2:12">
      <c r="B84" s="359"/>
      <c r="C84" s="357"/>
      <c r="D84" s="60">
        <v>9</v>
      </c>
      <c r="E84" s="60" t="s">
        <v>314</v>
      </c>
      <c r="F84" s="61" t="s">
        <v>300</v>
      </c>
      <c r="G84" s="61">
        <v>10000</v>
      </c>
      <c r="H84" s="61"/>
      <c r="I84" s="61"/>
      <c r="J84" s="61"/>
      <c r="K84" s="61"/>
      <c r="L84" s="60"/>
    </row>
    <row r="85" spans="2:12">
      <c r="B85" s="359"/>
      <c r="C85" s="357"/>
      <c r="D85" s="60">
        <v>10</v>
      </c>
      <c r="E85" s="60"/>
      <c r="F85" s="61" t="s">
        <v>124</v>
      </c>
      <c r="G85" s="61" t="s">
        <v>1575</v>
      </c>
      <c r="H85" s="61"/>
      <c r="I85" s="61"/>
      <c r="J85" s="61"/>
      <c r="K85" s="61"/>
      <c r="L85" s="60"/>
    </row>
    <row r="86" spans="2:12">
      <c r="B86" s="359"/>
      <c r="C86" s="357"/>
      <c r="D86" s="60">
        <v>11</v>
      </c>
      <c r="E86" s="60" t="s">
        <v>1591</v>
      </c>
      <c r="F86" s="61" t="s">
        <v>87</v>
      </c>
      <c r="G86" s="61" t="s">
        <v>1590</v>
      </c>
      <c r="H86" s="61"/>
      <c r="I86" s="61"/>
      <c r="J86" s="61"/>
      <c r="K86" s="61"/>
      <c r="L86" s="60"/>
    </row>
    <row r="87" spans="2:12">
      <c r="B87" s="359"/>
      <c r="C87" s="357"/>
      <c r="D87" s="60">
        <v>12</v>
      </c>
      <c r="E87" s="60"/>
      <c r="F87" s="61" t="s">
        <v>1113</v>
      </c>
      <c r="G87" s="61" t="s">
        <v>1576</v>
      </c>
      <c r="H87" s="61"/>
      <c r="I87" s="61"/>
      <c r="J87" s="61"/>
      <c r="K87" s="61"/>
      <c r="L87" s="60"/>
    </row>
    <row r="88" spans="2:12">
      <c r="B88" s="359"/>
      <c r="C88" s="357"/>
      <c r="D88" s="60">
        <v>13</v>
      </c>
      <c r="E88" s="60" t="s">
        <v>146</v>
      </c>
      <c r="F88" s="61" t="s">
        <v>123</v>
      </c>
      <c r="G88" s="61"/>
      <c r="H88" s="61"/>
      <c r="I88" s="61"/>
      <c r="J88" s="61"/>
      <c r="K88" s="61"/>
      <c r="L88" s="60"/>
    </row>
    <row r="89" spans="2:12">
      <c r="B89" s="359"/>
      <c r="C89" s="358"/>
      <c r="D89" s="60"/>
      <c r="E89" s="60"/>
      <c r="F89" s="61"/>
      <c r="G89" s="61"/>
      <c r="H89" s="61"/>
      <c r="I89" s="61"/>
      <c r="J89" s="61"/>
      <c r="K89" s="61"/>
      <c r="L89" s="60"/>
    </row>
    <row r="90" spans="2:12">
      <c r="B90" s="367" t="s">
        <v>1102</v>
      </c>
      <c r="C90" s="356" t="s">
        <v>1476</v>
      </c>
      <c r="D90" s="60">
        <v>1</v>
      </c>
      <c r="E90" s="60" t="s">
        <v>1614</v>
      </c>
      <c r="F90" s="61" t="s">
        <v>1581</v>
      </c>
      <c r="G90" s="61"/>
      <c r="H90" s="61"/>
      <c r="I90" s="61"/>
      <c r="J90" s="61"/>
      <c r="K90" s="61"/>
      <c r="L90" s="60"/>
    </row>
    <row r="91" spans="2:12">
      <c r="B91" s="368"/>
      <c r="C91" s="357"/>
      <c r="D91" s="60">
        <v>2</v>
      </c>
      <c r="E91" s="60" t="s">
        <v>1615</v>
      </c>
      <c r="F91" s="61" t="s">
        <v>1569</v>
      </c>
      <c r="G91" s="61"/>
      <c r="H91" s="61"/>
      <c r="I91" s="61"/>
      <c r="J91" s="61"/>
      <c r="K91" s="61"/>
      <c r="L91" s="60"/>
    </row>
    <row r="92" spans="2:12">
      <c r="B92" s="368"/>
      <c r="C92" s="357"/>
      <c r="D92" s="60">
        <v>3</v>
      </c>
      <c r="E92" s="60" t="s">
        <v>1585</v>
      </c>
      <c r="F92" s="61" t="s">
        <v>87</v>
      </c>
      <c r="G92" s="61" t="s">
        <v>1588</v>
      </c>
      <c r="H92" s="61"/>
      <c r="I92" s="61"/>
      <c r="J92" s="61"/>
      <c r="K92" s="61"/>
      <c r="L92" s="60"/>
    </row>
    <row r="93" spans="2:12">
      <c r="B93" s="368"/>
      <c r="C93" s="357"/>
      <c r="D93" s="60">
        <v>4</v>
      </c>
      <c r="E93" s="60" t="s">
        <v>142</v>
      </c>
      <c r="F93" s="61" t="s">
        <v>122</v>
      </c>
      <c r="G93" s="61"/>
      <c r="H93" s="61"/>
      <c r="I93" s="61"/>
      <c r="J93" s="61"/>
      <c r="K93" s="61"/>
      <c r="L93" s="60"/>
    </row>
    <row r="94" spans="2:12">
      <c r="B94" s="368"/>
      <c r="C94" s="357"/>
      <c r="D94" s="60">
        <v>5</v>
      </c>
      <c r="E94" s="60"/>
      <c r="F94" s="61" t="s">
        <v>1114</v>
      </c>
      <c r="G94" s="61">
        <v>1000</v>
      </c>
      <c r="H94" s="61"/>
      <c r="I94" s="61"/>
      <c r="J94" s="61"/>
      <c r="K94" s="61"/>
      <c r="L94" s="60"/>
    </row>
    <row r="95" spans="2:12">
      <c r="B95" s="368"/>
      <c r="C95" s="357"/>
      <c r="D95" s="60">
        <v>6</v>
      </c>
      <c r="E95" s="60"/>
      <c r="F95" s="61" t="s">
        <v>124</v>
      </c>
      <c r="G95" s="61" t="s">
        <v>1575</v>
      </c>
      <c r="H95" s="61"/>
      <c r="I95" s="61"/>
      <c r="J95" s="61"/>
      <c r="K95" s="61"/>
      <c r="L95" s="60"/>
    </row>
    <row r="96" spans="2:12">
      <c r="B96" s="368"/>
      <c r="C96" s="357"/>
      <c r="D96" s="60">
        <v>7</v>
      </c>
      <c r="E96" s="60" t="s">
        <v>1591</v>
      </c>
      <c r="F96" s="61" t="s">
        <v>87</v>
      </c>
      <c r="G96" s="61" t="s">
        <v>1590</v>
      </c>
      <c r="H96" s="61"/>
      <c r="I96" s="61"/>
      <c r="J96" s="61"/>
      <c r="K96" s="61"/>
      <c r="L96" s="60"/>
    </row>
    <row r="97" spans="2:12">
      <c r="B97" s="368"/>
      <c r="C97" s="357"/>
      <c r="D97" s="60">
        <v>8</v>
      </c>
      <c r="E97" s="60"/>
      <c r="F97" s="61" t="s">
        <v>1113</v>
      </c>
      <c r="G97" s="61" t="s">
        <v>1576</v>
      </c>
      <c r="H97" s="61"/>
      <c r="I97" s="61"/>
      <c r="J97" s="61"/>
      <c r="K97" s="61"/>
      <c r="L97" s="60"/>
    </row>
    <row r="98" spans="2:12">
      <c r="B98" s="368"/>
      <c r="C98" s="357"/>
      <c r="D98" s="60">
        <v>9</v>
      </c>
      <c r="E98" s="60" t="s">
        <v>313</v>
      </c>
      <c r="F98" s="61" t="s">
        <v>125</v>
      </c>
      <c r="G98" s="61">
        <v>10000</v>
      </c>
      <c r="H98" s="61"/>
      <c r="I98" s="61"/>
      <c r="J98" s="61"/>
      <c r="K98" s="61"/>
      <c r="L98" s="60"/>
    </row>
    <row r="99" spans="2:12">
      <c r="B99" s="368"/>
      <c r="C99" s="357"/>
      <c r="D99" s="60">
        <v>10</v>
      </c>
      <c r="E99" s="60"/>
      <c r="F99" s="61" t="s">
        <v>124</v>
      </c>
      <c r="G99" s="61" t="s">
        <v>1575</v>
      </c>
      <c r="H99" s="61"/>
      <c r="I99" s="61"/>
      <c r="J99" s="61"/>
      <c r="K99" s="61"/>
      <c r="L99" s="60"/>
    </row>
    <row r="100" spans="2:12">
      <c r="B100" s="368"/>
      <c r="C100" s="357"/>
      <c r="D100" s="60">
        <v>11</v>
      </c>
      <c r="E100" s="60" t="s">
        <v>1591</v>
      </c>
      <c r="F100" s="61" t="s">
        <v>87</v>
      </c>
      <c r="G100" s="61" t="s">
        <v>1590</v>
      </c>
      <c r="H100" s="61"/>
      <c r="I100" s="61"/>
      <c r="J100" s="61"/>
      <c r="K100" s="61"/>
      <c r="L100" s="60"/>
    </row>
    <row r="101" spans="2:12">
      <c r="B101" s="368"/>
      <c r="C101" s="357"/>
      <c r="D101" s="60">
        <v>12</v>
      </c>
      <c r="E101" s="60"/>
      <c r="F101" s="61" t="s">
        <v>1113</v>
      </c>
      <c r="G101" s="61" t="s">
        <v>1576</v>
      </c>
      <c r="H101" s="61"/>
      <c r="I101" s="61"/>
      <c r="J101" s="61"/>
      <c r="K101" s="61"/>
      <c r="L101" s="60"/>
    </row>
    <row r="102" spans="2:12">
      <c r="B102" s="368"/>
      <c r="C102" s="357"/>
      <c r="D102" s="60">
        <v>13</v>
      </c>
      <c r="E102" s="60" t="s">
        <v>146</v>
      </c>
      <c r="F102" s="61" t="s">
        <v>123</v>
      </c>
      <c r="G102" s="61"/>
      <c r="H102" s="61"/>
      <c r="I102" s="61"/>
      <c r="J102" s="61"/>
      <c r="K102" s="61"/>
      <c r="L102" s="60"/>
    </row>
    <row r="103" spans="2:12">
      <c r="B103" s="369"/>
      <c r="C103" s="358"/>
      <c r="D103" s="60"/>
      <c r="E103" s="60"/>
      <c r="F103" s="61"/>
      <c r="G103" s="61"/>
      <c r="H103" s="61"/>
      <c r="I103" s="61"/>
      <c r="J103" s="61"/>
      <c r="K103" s="61"/>
      <c r="L103" s="60"/>
    </row>
    <row r="104" spans="2:12">
      <c r="B104" s="367" t="s">
        <v>211</v>
      </c>
      <c r="C104" s="356" t="s">
        <v>1476</v>
      </c>
      <c r="D104" s="60">
        <v>1</v>
      </c>
      <c r="E104" s="60" t="s">
        <v>1614</v>
      </c>
      <c r="F104" s="61" t="s">
        <v>1581</v>
      </c>
      <c r="G104" s="61"/>
      <c r="H104" s="61"/>
      <c r="I104" s="61"/>
      <c r="J104" s="61"/>
      <c r="K104" s="61"/>
      <c r="L104" s="60"/>
    </row>
    <row r="105" spans="2:12">
      <c r="B105" s="368"/>
      <c r="C105" s="357"/>
      <c r="D105" s="60">
        <v>2</v>
      </c>
      <c r="E105" s="60" t="s">
        <v>1615</v>
      </c>
      <c r="F105" s="61" t="s">
        <v>1569</v>
      </c>
      <c r="G105" s="61"/>
      <c r="H105" s="61"/>
      <c r="I105" s="61"/>
      <c r="J105" s="61"/>
      <c r="K105" s="61"/>
      <c r="L105" s="60"/>
    </row>
    <row r="106" spans="2:12">
      <c r="B106" s="368"/>
      <c r="C106" s="357"/>
      <c r="D106" s="60">
        <v>3</v>
      </c>
      <c r="E106" s="60" t="s">
        <v>1585</v>
      </c>
      <c r="F106" s="61" t="s">
        <v>87</v>
      </c>
      <c r="G106" s="61" t="s">
        <v>1588</v>
      </c>
      <c r="H106" s="61"/>
      <c r="I106" s="61"/>
      <c r="J106" s="61"/>
      <c r="K106" s="61"/>
      <c r="L106" s="60"/>
    </row>
    <row r="107" spans="2:12">
      <c r="B107" s="368"/>
      <c r="C107" s="357"/>
      <c r="D107" s="60">
        <v>4</v>
      </c>
      <c r="E107" s="60" t="s">
        <v>142</v>
      </c>
      <c r="F107" s="61" t="s">
        <v>122</v>
      </c>
      <c r="G107" s="61"/>
      <c r="H107" s="61"/>
      <c r="I107" s="61"/>
      <c r="J107" s="61"/>
      <c r="K107" s="61"/>
      <c r="L107" s="60"/>
    </row>
    <row r="108" spans="2:12">
      <c r="B108" s="368"/>
      <c r="C108" s="357"/>
      <c r="D108" s="60">
        <v>5</v>
      </c>
      <c r="E108" s="60" t="s">
        <v>1596</v>
      </c>
      <c r="F108" s="61" t="s">
        <v>87</v>
      </c>
      <c r="G108" s="61" t="s">
        <v>1597</v>
      </c>
      <c r="H108" s="61"/>
      <c r="I108" s="61"/>
      <c r="J108" s="61"/>
      <c r="K108" s="61"/>
      <c r="L108" s="60"/>
    </row>
    <row r="109" spans="2:12">
      <c r="B109" s="368"/>
      <c r="C109" s="357"/>
      <c r="D109" s="60">
        <v>6</v>
      </c>
      <c r="E109" s="60" t="s">
        <v>1586</v>
      </c>
      <c r="F109" s="61" t="s">
        <v>87</v>
      </c>
      <c r="G109" s="61" t="s">
        <v>1598</v>
      </c>
      <c r="H109" s="61"/>
      <c r="I109" s="61"/>
      <c r="J109" s="61"/>
      <c r="K109" s="61"/>
      <c r="L109" s="60"/>
    </row>
    <row r="110" spans="2:12">
      <c r="B110" s="368"/>
      <c r="C110" s="357"/>
      <c r="D110" s="60">
        <v>7</v>
      </c>
      <c r="E110" s="60"/>
      <c r="F110" s="61" t="s">
        <v>1105</v>
      </c>
      <c r="G110" s="61" t="s">
        <v>1112</v>
      </c>
      <c r="H110" s="61"/>
      <c r="I110" s="61"/>
      <c r="J110" s="61"/>
      <c r="K110" s="61"/>
      <c r="L110" s="60"/>
    </row>
    <row r="111" spans="2:12">
      <c r="B111" s="368"/>
      <c r="C111" s="357"/>
      <c r="D111" s="60">
        <v>8</v>
      </c>
      <c r="E111" s="60" t="s">
        <v>1585</v>
      </c>
      <c r="F111" s="61" t="s">
        <v>87</v>
      </c>
      <c r="G111" s="61" t="s">
        <v>1588</v>
      </c>
      <c r="H111" s="61"/>
      <c r="I111" s="61"/>
      <c r="J111" s="61"/>
      <c r="K111" s="61"/>
      <c r="L111" s="60"/>
    </row>
    <row r="112" spans="2:12">
      <c r="B112" s="368"/>
      <c r="C112" s="357"/>
      <c r="D112" s="60">
        <v>9</v>
      </c>
      <c r="E112" s="60" t="s">
        <v>1586</v>
      </c>
      <c r="F112" s="61" t="s">
        <v>87</v>
      </c>
      <c r="G112" s="61" t="s">
        <v>1598</v>
      </c>
      <c r="H112" s="61"/>
      <c r="I112" s="61"/>
      <c r="J112" s="61"/>
      <c r="K112" s="61"/>
      <c r="L112" s="60"/>
    </row>
    <row r="113" spans="2:12">
      <c r="B113" s="368"/>
      <c r="C113" s="357"/>
      <c r="D113" s="60">
        <v>10</v>
      </c>
      <c r="E113" s="60"/>
      <c r="F113" s="61" t="s">
        <v>1105</v>
      </c>
      <c r="G113" s="61" t="s">
        <v>1112</v>
      </c>
      <c r="H113" s="61"/>
      <c r="I113" s="61"/>
      <c r="J113" s="61"/>
      <c r="K113" s="61"/>
      <c r="L113" s="60"/>
    </row>
    <row r="114" spans="2:12">
      <c r="B114" s="368"/>
      <c r="C114" s="357"/>
      <c r="D114" s="60">
        <v>11</v>
      </c>
      <c r="E114" s="60" t="s">
        <v>1585</v>
      </c>
      <c r="F114" s="61" t="s">
        <v>87</v>
      </c>
      <c r="G114" s="61" t="s">
        <v>1588</v>
      </c>
      <c r="H114" s="61"/>
      <c r="I114" s="61"/>
      <c r="J114" s="61"/>
      <c r="K114" s="61"/>
      <c r="L114" s="60"/>
    </row>
    <row r="115" spans="2:12">
      <c r="B115" s="368"/>
      <c r="C115" s="357"/>
      <c r="D115" s="60">
        <v>12</v>
      </c>
      <c r="E115" s="60" t="s">
        <v>313</v>
      </c>
      <c r="F115" s="61" t="s">
        <v>817</v>
      </c>
      <c r="G115" s="61">
        <v>10000</v>
      </c>
      <c r="H115" s="61"/>
      <c r="I115" s="61"/>
      <c r="J115" s="61"/>
      <c r="K115" s="61"/>
      <c r="L115" s="60"/>
    </row>
    <row r="116" spans="2:12">
      <c r="B116" s="368"/>
      <c r="C116" s="357"/>
      <c r="D116" s="60">
        <v>13</v>
      </c>
      <c r="E116" s="60" t="s">
        <v>146</v>
      </c>
      <c r="F116" s="61" t="s">
        <v>123</v>
      </c>
      <c r="G116" s="61"/>
      <c r="H116" s="61"/>
      <c r="I116" s="61"/>
      <c r="J116" s="61"/>
      <c r="K116" s="61"/>
      <c r="L116" s="60"/>
    </row>
    <row r="117" spans="2:12">
      <c r="B117" s="369"/>
      <c r="C117" s="358"/>
      <c r="D117" s="60"/>
      <c r="E117" s="60"/>
      <c r="F117" s="61"/>
      <c r="G117" s="61"/>
      <c r="H117" s="61"/>
      <c r="I117" s="61"/>
      <c r="J117" s="61"/>
      <c r="K117" s="61"/>
      <c r="L117" s="60"/>
    </row>
    <row r="118" spans="2:12">
      <c r="B118" s="367" t="s">
        <v>212</v>
      </c>
      <c r="C118" s="356" t="s">
        <v>1476</v>
      </c>
      <c r="D118" s="60">
        <v>1</v>
      </c>
      <c r="E118" s="60" t="s">
        <v>1614</v>
      </c>
      <c r="F118" s="61" t="s">
        <v>1581</v>
      </c>
      <c r="G118" s="61"/>
      <c r="H118" s="61"/>
      <c r="I118" s="61"/>
      <c r="J118" s="61"/>
      <c r="K118" s="61"/>
      <c r="L118" s="60"/>
    </row>
    <row r="119" spans="2:12">
      <c r="B119" s="368"/>
      <c r="C119" s="357"/>
      <c r="D119" s="60">
        <v>2</v>
      </c>
      <c r="E119" s="60" t="s">
        <v>1615</v>
      </c>
      <c r="F119" s="61" t="s">
        <v>1569</v>
      </c>
      <c r="G119" s="61"/>
      <c r="H119" s="61"/>
      <c r="I119" s="61"/>
      <c r="J119" s="61"/>
      <c r="K119" s="61"/>
      <c r="L119" s="60"/>
    </row>
    <row r="120" spans="2:12">
      <c r="B120" s="368"/>
      <c r="C120" s="357"/>
      <c r="D120" s="60">
        <v>3</v>
      </c>
      <c r="E120" s="60" t="s">
        <v>1585</v>
      </c>
      <c r="F120" s="61" t="s">
        <v>87</v>
      </c>
      <c r="G120" s="61" t="s">
        <v>1588</v>
      </c>
      <c r="H120" s="61"/>
      <c r="I120" s="61"/>
      <c r="J120" s="61"/>
      <c r="K120" s="61"/>
      <c r="L120" s="60"/>
    </row>
    <row r="121" spans="2:12">
      <c r="B121" s="368"/>
      <c r="C121" s="357"/>
      <c r="D121" s="60">
        <v>4</v>
      </c>
      <c r="E121" s="60" t="s">
        <v>142</v>
      </c>
      <c r="F121" s="61" t="s">
        <v>122</v>
      </c>
      <c r="G121" s="61">
        <v>60000</v>
      </c>
      <c r="H121" s="61"/>
      <c r="I121" s="61"/>
      <c r="J121" s="61"/>
      <c r="K121" s="61"/>
      <c r="L121" s="60"/>
    </row>
    <row r="122" spans="2:12">
      <c r="B122" s="368"/>
      <c r="C122" s="357"/>
      <c r="D122" s="60">
        <v>5</v>
      </c>
      <c r="E122" s="60" t="s">
        <v>210</v>
      </c>
      <c r="F122" s="61" t="s">
        <v>125</v>
      </c>
      <c r="G122" s="61">
        <v>30000</v>
      </c>
      <c r="H122" s="61"/>
      <c r="I122" s="61"/>
      <c r="J122" s="61"/>
      <c r="K122" s="61"/>
      <c r="L122" s="60"/>
    </row>
    <row r="123" spans="2:12">
      <c r="B123" s="368"/>
      <c r="C123" s="357"/>
      <c r="D123" s="60">
        <v>6</v>
      </c>
      <c r="E123" s="60" t="s">
        <v>1586</v>
      </c>
      <c r="F123" s="61" t="s">
        <v>87</v>
      </c>
      <c r="G123" s="61" t="s">
        <v>1598</v>
      </c>
      <c r="H123" s="61"/>
      <c r="I123" s="61"/>
      <c r="J123" s="61"/>
      <c r="K123" s="61"/>
      <c r="L123" s="60"/>
    </row>
    <row r="124" spans="2:12">
      <c r="B124" s="368"/>
      <c r="C124" s="357"/>
      <c r="D124" s="60">
        <v>7</v>
      </c>
      <c r="E124" s="60"/>
      <c r="F124" s="61" t="s">
        <v>1105</v>
      </c>
      <c r="G124" s="61" t="s">
        <v>1112</v>
      </c>
      <c r="H124" s="61"/>
      <c r="I124" s="61"/>
      <c r="J124" s="61"/>
      <c r="K124" s="61"/>
      <c r="L124" s="60"/>
    </row>
    <row r="125" spans="2:12">
      <c r="B125" s="368"/>
      <c r="C125" s="357"/>
      <c r="D125" s="60">
        <v>8</v>
      </c>
      <c r="E125" s="60" t="s">
        <v>1585</v>
      </c>
      <c r="F125" s="61" t="s">
        <v>87</v>
      </c>
      <c r="G125" s="61" t="s">
        <v>1588</v>
      </c>
      <c r="H125" s="61"/>
      <c r="I125" s="61"/>
      <c r="J125" s="61"/>
      <c r="K125" s="61"/>
      <c r="L125" s="60"/>
    </row>
    <row r="126" spans="2:12">
      <c r="B126" s="368"/>
      <c r="C126" s="357"/>
      <c r="D126" s="60">
        <v>9</v>
      </c>
      <c r="E126" s="60" t="s">
        <v>67</v>
      </c>
      <c r="F126" s="61" t="s">
        <v>123</v>
      </c>
      <c r="G126" s="61"/>
      <c r="H126" s="61"/>
      <c r="I126" s="61"/>
      <c r="J126" s="61"/>
      <c r="K126" s="61"/>
      <c r="L126" s="60"/>
    </row>
    <row r="127" spans="2:12">
      <c r="B127" s="369"/>
      <c r="C127" s="358"/>
      <c r="D127" s="60"/>
      <c r="E127" s="60"/>
      <c r="F127" s="61"/>
      <c r="G127" s="61"/>
      <c r="H127" s="61"/>
      <c r="I127" s="61"/>
      <c r="J127" s="61"/>
      <c r="K127" s="61"/>
      <c r="L127" s="60"/>
    </row>
    <row r="128" spans="2:12">
      <c r="B128" s="367" t="s">
        <v>213</v>
      </c>
      <c r="C128" s="356" t="s">
        <v>1476</v>
      </c>
      <c r="D128" s="60">
        <v>1</v>
      </c>
      <c r="E128" s="60" t="s">
        <v>142</v>
      </c>
      <c r="F128" s="61" t="s">
        <v>122</v>
      </c>
      <c r="G128" s="61">
        <v>60000</v>
      </c>
      <c r="H128" s="61"/>
      <c r="I128" s="61"/>
      <c r="J128" s="61"/>
      <c r="K128" s="61"/>
      <c r="L128" s="60"/>
    </row>
    <row r="129" spans="2:12">
      <c r="B129" s="368"/>
      <c r="C129" s="357"/>
      <c r="D129" s="60">
        <v>2</v>
      </c>
      <c r="E129" s="60" t="s">
        <v>1614</v>
      </c>
      <c r="F129" s="61" t="s">
        <v>1581</v>
      </c>
      <c r="G129" s="61"/>
      <c r="H129" s="61"/>
      <c r="I129" s="61"/>
      <c r="J129" s="61"/>
      <c r="K129" s="61"/>
      <c r="L129" s="60"/>
    </row>
    <row r="130" spans="2:12">
      <c r="B130" s="368"/>
      <c r="C130" s="357"/>
      <c r="D130" s="60">
        <v>3</v>
      </c>
      <c r="E130" s="60" t="s">
        <v>1615</v>
      </c>
      <c r="F130" s="61" t="s">
        <v>1569</v>
      </c>
      <c r="G130" s="61"/>
      <c r="H130" s="61"/>
      <c r="I130" s="61"/>
      <c r="J130" s="61"/>
      <c r="K130" s="61"/>
      <c r="L130" s="60"/>
    </row>
    <row r="131" spans="2:12">
      <c r="B131" s="368"/>
      <c r="C131" s="357"/>
      <c r="D131" s="60">
        <v>4</v>
      </c>
      <c r="E131" s="60" t="s">
        <v>1585</v>
      </c>
      <c r="F131" s="61" t="s">
        <v>87</v>
      </c>
      <c r="G131" s="61" t="s">
        <v>1588</v>
      </c>
      <c r="H131" s="61"/>
      <c r="I131" s="61"/>
      <c r="J131" s="61"/>
      <c r="K131" s="61"/>
      <c r="L131" s="60"/>
    </row>
    <row r="132" spans="2:12">
      <c r="B132" s="368"/>
      <c r="C132" s="357"/>
      <c r="D132" s="60">
        <v>5</v>
      </c>
      <c r="E132" s="60" t="s">
        <v>67</v>
      </c>
      <c r="F132" s="61" t="s">
        <v>123</v>
      </c>
      <c r="G132" s="61"/>
      <c r="H132" s="61"/>
      <c r="I132" s="61"/>
      <c r="J132" s="61"/>
      <c r="K132" s="61"/>
      <c r="L132" s="60"/>
    </row>
    <row r="133" spans="2:12">
      <c r="B133" s="369"/>
      <c r="C133" s="358"/>
      <c r="D133" s="60"/>
      <c r="E133" s="60"/>
      <c r="F133" s="61"/>
      <c r="G133" s="61"/>
      <c r="H133" s="61"/>
      <c r="I133" s="61"/>
      <c r="J133" s="61"/>
      <c r="K133" s="61"/>
      <c r="L133" s="60"/>
    </row>
    <row r="134" spans="2:12">
      <c r="B134" s="367" t="s">
        <v>214</v>
      </c>
      <c r="C134" s="356" t="s">
        <v>1476</v>
      </c>
      <c r="D134" s="60">
        <v>1</v>
      </c>
      <c r="E134" s="60" t="s">
        <v>1614</v>
      </c>
      <c r="F134" s="61" t="s">
        <v>1581</v>
      </c>
      <c r="G134" s="61"/>
      <c r="H134" s="61"/>
      <c r="I134" s="61"/>
      <c r="J134" s="61"/>
      <c r="K134" s="61"/>
      <c r="L134" s="60"/>
    </row>
    <row r="135" spans="2:12">
      <c r="B135" s="368"/>
      <c r="C135" s="357"/>
      <c r="D135" s="60">
        <v>2</v>
      </c>
      <c r="E135" s="60" t="s">
        <v>1615</v>
      </c>
      <c r="F135" s="61" t="s">
        <v>1569</v>
      </c>
      <c r="G135" s="61"/>
      <c r="H135" s="61"/>
      <c r="I135" s="61"/>
      <c r="J135" s="61"/>
      <c r="K135" s="61"/>
      <c r="L135" s="60"/>
    </row>
    <row r="136" spans="2:12">
      <c r="B136" s="368"/>
      <c r="C136" s="357"/>
      <c r="D136" s="60">
        <v>3</v>
      </c>
      <c r="E136" s="60" t="s">
        <v>1585</v>
      </c>
      <c r="F136" s="61" t="s">
        <v>87</v>
      </c>
      <c r="G136" s="61" t="s">
        <v>1588</v>
      </c>
      <c r="H136" s="61"/>
      <c r="I136" s="61"/>
      <c r="J136" s="61"/>
      <c r="K136" s="61"/>
      <c r="L136" s="60"/>
    </row>
    <row r="137" spans="2:12">
      <c r="B137" s="368"/>
      <c r="C137" s="357"/>
      <c r="D137" s="60">
        <v>4</v>
      </c>
      <c r="E137" s="60" t="s">
        <v>1599</v>
      </c>
      <c r="F137" s="61" t="s">
        <v>87</v>
      </c>
      <c r="G137" s="61" t="s">
        <v>1600</v>
      </c>
      <c r="H137" s="61"/>
      <c r="I137" s="61"/>
      <c r="J137" s="61"/>
      <c r="K137" s="61"/>
      <c r="L137" s="60"/>
    </row>
    <row r="138" spans="2:12">
      <c r="B138" s="368"/>
      <c r="C138" s="357"/>
      <c r="D138" s="60">
        <v>5</v>
      </c>
      <c r="E138" s="60" t="s">
        <v>142</v>
      </c>
      <c r="F138" s="61" t="s">
        <v>122</v>
      </c>
      <c r="G138" s="61">
        <v>60000</v>
      </c>
      <c r="H138" s="61"/>
      <c r="I138" s="61"/>
      <c r="J138" s="61"/>
      <c r="K138" s="61"/>
      <c r="L138" s="60"/>
    </row>
    <row r="139" spans="2:12">
      <c r="B139" s="368"/>
      <c r="C139" s="357"/>
      <c r="D139" s="60">
        <v>6</v>
      </c>
      <c r="E139" s="60" t="s">
        <v>67</v>
      </c>
      <c r="F139" s="61" t="s">
        <v>123</v>
      </c>
      <c r="G139" s="61"/>
      <c r="H139" s="61"/>
      <c r="I139" s="61"/>
      <c r="J139" s="61"/>
      <c r="K139" s="61"/>
      <c r="L139" s="60"/>
    </row>
    <row r="140" spans="2:12">
      <c r="B140" s="369"/>
      <c r="C140" s="358"/>
      <c r="D140" s="60"/>
      <c r="E140" s="60"/>
      <c r="F140" s="61"/>
      <c r="G140" s="61"/>
      <c r="H140" s="61"/>
      <c r="I140" s="61"/>
      <c r="J140" s="61"/>
      <c r="K140" s="61"/>
      <c r="L140" s="60"/>
    </row>
    <row r="141" spans="2:12">
      <c r="F141" s="365" t="s">
        <v>72</v>
      </c>
      <c r="G141" s="365"/>
      <c r="H141" s="365"/>
      <c r="I141" s="365"/>
      <c r="J141" s="365"/>
      <c r="K141" s="365"/>
    </row>
  </sheetData>
  <mergeCells count="34">
    <mergeCell ref="C104:C117"/>
    <mergeCell ref="C118:C127"/>
    <mergeCell ref="C128:C133"/>
    <mergeCell ref="C134:C140"/>
    <mergeCell ref="C41:C47"/>
    <mergeCell ref="C48:C61"/>
    <mergeCell ref="C62:C75"/>
    <mergeCell ref="C76:C89"/>
    <mergeCell ref="C90:C103"/>
    <mergeCell ref="B118:B127"/>
    <mergeCell ref="B128:B133"/>
    <mergeCell ref="B134:B140"/>
    <mergeCell ref="F141:K141"/>
    <mergeCell ref="B20:B25"/>
    <mergeCell ref="B26:B33"/>
    <mergeCell ref="B34:B40"/>
    <mergeCell ref="B41:B47"/>
    <mergeCell ref="B48:B61"/>
    <mergeCell ref="B104:B117"/>
    <mergeCell ref="B62:B75"/>
    <mergeCell ref="B76:B89"/>
    <mergeCell ref="B90:B103"/>
    <mergeCell ref="C20:C25"/>
    <mergeCell ref="C26:C33"/>
    <mergeCell ref="C34:C40"/>
    <mergeCell ref="B13:B19"/>
    <mergeCell ref="B5:B6"/>
    <mergeCell ref="D5:E5"/>
    <mergeCell ref="F5:K5"/>
    <mergeCell ref="L5:L6"/>
    <mergeCell ref="B7:B12"/>
    <mergeCell ref="C5:C6"/>
    <mergeCell ref="C7:C12"/>
    <mergeCell ref="C13:C19"/>
  </mergeCells>
  <phoneticPr fontId="1"/>
  <pageMargins left="0.70866141732283472" right="0.70866141732283472" top="0.74803149606299213" bottom="0.74803149606299213" header="0.31496062992125984" footer="0.31496062992125984"/>
  <pageSetup paperSize="9" scale="59" orientation="landscape" r:id="rId1"/>
  <headerFooter>
    <oddHeader>&amp;Lメッセージ認証機能評価 単体機能評価仕様書
&amp;A&amp;R【CONFIDENTIAL】
T0100000015687</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2:L487"/>
  <sheetViews>
    <sheetView view="pageBreakPreview" zoomScaleNormal="100" zoomScaleSheetLayoutView="100" workbookViewId="0">
      <selection activeCell="F2" sqref="F2"/>
    </sheetView>
  </sheetViews>
  <sheetFormatPr defaultColWidth="9" defaultRowHeight="15.75"/>
  <cols>
    <col min="1" max="1" width="4" style="5" customWidth="1"/>
    <col min="2" max="3" width="9.28515625" style="5" customWidth="1"/>
    <col min="4" max="4" width="8.28515625" style="5" bestFit="1" customWidth="1"/>
    <col min="5" max="5" width="70.140625" style="5" bestFit="1" customWidth="1"/>
    <col min="6" max="6" width="25.42578125" style="5" bestFit="1" customWidth="1"/>
    <col min="7" max="7" width="75.140625" style="5" bestFit="1" customWidth="1"/>
    <col min="8" max="11" width="16" style="5" customWidth="1"/>
    <col min="12" max="12" width="5.42578125" style="5" bestFit="1" customWidth="1"/>
    <col min="13" max="16384" width="9" style="5"/>
  </cols>
  <sheetData>
    <row r="2" spans="1:12" ht="16.5">
      <c r="A2" s="12" t="s">
        <v>159</v>
      </c>
    </row>
    <row r="3" spans="1:12" ht="16.5">
      <c r="A3" s="12"/>
      <c r="B3" s="5" t="s">
        <v>1584</v>
      </c>
    </row>
    <row r="5" spans="1:12">
      <c r="B5" s="362" t="s">
        <v>33</v>
      </c>
      <c r="C5" s="360" t="s">
        <v>1477</v>
      </c>
      <c r="D5" s="363" t="s">
        <v>34</v>
      </c>
      <c r="E5" s="363"/>
      <c r="F5" s="364" t="s">
        <v>69</v>
      </c>
      <c r="G5" s="364"/>
      <c r="H5" s="364"/>
      <c r="I5" s="364"/>
      <c r="J5" s="364"/>
      <c r="K5" s="364"/>
      <c r="L5" s="363" t="s">
        <v>5</v>
      </c>
    </row>
    <row r="6" spans="1:12">
      <c r="B6" s="363"/>
      <c r="C6" s="361"/>
      <c r="D6" s="69" t="s">
        <v>57</v>
      </c>
      <c r="E6" s="69" t="s">
        <v>35</v>
      </c>
      <c r="F6" s="70" t="s">
        <v>75</v>
      </c>
      <c r="G6" s="70" t="s">
        <v>76</v>
      </c>
      <c r="H6" s="70" t="s">
        <v>77</v>
      </c>
      <c r="I6" s="70" t="s">
        <v>78</v>
      </c>
      <c r="J6" s="70" t="s">
        <v>79</v>
      </c>
      <c r="K6" s="70" t="s">
        <v>84</v>
      </c>
      <c r="L6" s="363"/>
    </row>
    <row r="7" spans="1:12">
      <c r="B7" s="367" t="s">
        <v>215</v>
      </c>
      <c r="C7" s="356" t="s">
        <v>1478</v>
      </c>
      <c r="D7" s="60">
        <v>1</v>
      </c>
      <c r="E7" s="60" t="s">
        <v>142</v>
      </c>
      <c r="F7" s="61" t="s">
        <v>122</v>
      </c>
      <c r="G7" s="61"/>
      <c r="H7" s="61"/>
      <c r="I7" s="61"/>
      <c r="J7" s="61"/>
      <c r="K7" s="61"/>
      <c r="L7" s="60"/>
    </row>
    <row r="8" spans="1:12">
      <c r="B8" s="368"/>
      <c r="C8" s="357"/>
      <c r="D8" s="60">
        <v>2</v>
      </c>
      <c r="E8" s="60" t="s">
        <v>1616</v>
      </c>
      <c r="F8" s="61" t="s">
        <v>87</v>
      </c>
      <c r="G8" s="61" t="s">
        <v>1617</v>
      </c>
      <c r="H8" s="61"/>
      <c r="I8" s="61"/>
      <c r="J8" s="61"/>
      <c r="K8" s="61"/>
      <c r="L8" s="60"/>
    </row>
    <row r="9" spans="1:12">
      <c r="B9" s="368"/>
      <c r="C9" s="357"/>
      <c r="D9" s="146">
        <v>3</v>
      </c>
      <c r="E9" s="60" t="s">
        <v>216</v>
      </c>
      <c r="F9" s="61" t="s">
        <v>126</v>
      </c>
      <c r="G9" s="61">
        <v>1</v>
      </c>
      <c r="H9" s="61">
        <v>0</v>
      </c>
      <c r="I9" s="61"/>
      <c r="J9" s="61"/>
      <c r="K9" s="61"/>
      <c r="L9" s="60"/>
    </row>
    <row r="10" spans="1:12">
      <c r="B10" s="368"/>
      <c r="C10" s="357"/>
      <c r="D10" s="146">
        <v>4</v>
      </c>
      <c r="E10" s="60" t="s">
        <v>818</v>
      </c>
      <c r="F10" s="61" t="s">
        <v>817</v>
      </c>
      <c r="G10" s="61">
        <v>10000</v>
      </c>
      <c r="H10" s="61"/>
      <c r="I10" s="61"/>
      <c r="J10" s="61"/>
      <c r="K10" s="61"/>
      <c r="L10" s="60"/>
    </row>
    <row r="11" spans="1:12">
      <c r="B11" s="368"/>
      <c r="C11" s="357"/>
      <c r="D11" s="146">
        <v>5</v>
      </c>
      <c r="E11" s="60" t="s">
        <v>146</v>
      </c>
      <c r="F11" s="61" t="s">
        <v>123</v>
      </c>
      <c r="G11" s="61"/>
      <c r="H11" s="61"/>
      <c r="I11" s="61"/>
      <c r="J11" s="61"/>
      <c r="K11" s="61"/>
      <c r="L11" s="60"/>
    </row>
    <row r="12" spans="1:12">
      <c r="B12" s="369"/>
      <c r="C12" s="358"/>
      <c r="D12" s="60"/>
      <c r="E12" s="60"/>
      <c r="F12" s="61"/>
      <c r="G12" s="61"/>
      <c r="H12" s="61"/>
      <c r="I12" s="61"/>
      <c r="J12" s="61"/>
      <c r="K12" s="61"/>
      <c r="L12" s="60"/>
    </row>
    <row r="13" spans="1:12">
      <c r="B13" s="367" t="s">
        <v>217</v>
      </c>
      <c r="C13" s="356" t="s">
        <v>1478</v>
      </c>
      <c r="D13" s="60">
        <v>1</v>
      </c>
      <c r="E13" s="60" t="s">
        <v>142</v>
      </c>
      <c r="F13" s="61" t="s">
        <v>122</v>
      </c>
      <c r="G13" s="61"/>
      <c r="H13" s="61"/>
      <c r="I13" s="61"/>
      <c r="J13" s="61"/>
      <c r="K13" s="61"/>
      <c r="L13" s="60"/>
    </row>
    <row r="14" spans="1:12">
      <c r="B14" s="368"/>
      <c r="C14" s="357"/>
      <c r="D14" s="60">
        <v>2</v>
      </c>
      <c r="E14" s="146" t="s">
        <v>1616</v>
      </c>
      <c r="F14" s="61" t="s">
        <v>87</v>
      </c>
      <c r="G14" s="61" t="s">
        <v>1617</v>
      </c>
      <c r="H14" s="61"/>
      <c r="I14" s="61"/>
      <c r="J14" s="61"/>
      <c r="K14" s="61"/>
      <c r="L14" s="60"/>
    </row>
    <row r="15" spans="1:12">
      <c r="B15" s="368"/>
      <c r="C15" s="357"/>
      <c r="D15" s="146">
        <v>3</v>
      </c>
      <c r="E15" s="60" t="s">
        <v>218</v>
      </c>
      <c r="F15" s="61" t="s">
        <v>126</v>
      </c>
      <c r="G15" s="61">
        <v>2</v>
      </c>
      <c r="H15" s="61">
        <v>0</v>
      </c>
      <c r="I15" s="61"/>
      <c r="J15" s="61"/>
      <c r="K15" s="61"/>
      <c r="L15" s="60"/>
    </row>
    <row r="16" spans="1:12">
      <c r="B16" s="368"/>
      <c r="C16" s="357"/>
      <c r="D16" s="146">
        <v>4</v>
      </c>
      <c r="E16" s="60" t="s">
        <v>818</v>
      </c>
      <c r="F16" s="61" t="s">
        <v>817</v>
      </c>
      <c r="G16" s="61">
        <v>10000</v>
      </c>
      <c r="H16" s="61"/>
      <c r="I16" s="61"/>
      <c r="J16" s="61"/>
      <c r="K16" s="61"/>
      <c r="L16" s="60"/>
    </row>
    <row r="17" spans="2:12">
      <c r="B17" s="368"/>
      <c r="C17" s="357"/>
      <c r="D17" s="146">
        <v>5</v>
      </c>
      <c r="E17" s="60" t="s">
        <v>146</v>
      </c>
      <c r="F17" s="61" t="s">
        <v>123</v>
      </c>
      <c r="G17" s="61"/>
      <c r="H17" s="61"/>
      <c r="I17" s="61"/>
      <c r="J17" s="61"/>
      <c r="K17" s="61"/>
      <c r="L17" s="60"/>
    </row>
    <row r="18" spans="2:12">
      <c r="B18" s="369"/>
      <c r="C18" s="358"/>
      <c r="D18" s="60"/>
      <c r="E18" s="60"/>
      <c r="F18" s="61"/>
      <c r="G18" s="61"/>
      <c r="H18" s="61"/>
      <c r="I18" s="61"/>
      <c r="J18" s="61"/>
      <c r="K18" s="61"/>
      <c r="L18" s="60"/>
    </row>
    <row r="19" spans="2:12">
      <c r="B19" s="367" t="s">
        <v>219</v>
      </c>
      <c r="C19" s="356" t="s">
        <v>1478</v>
      </c>
      <c r="D19" s="60">
        <v>1</v>
      </c>
      <c r="E19" s="60" t="s">
        <v>142</v>
      </c>
      <c r="F19" s="61" t="s">
        <v>122</v>
      </c>
      <c r="G19" s="61"/>
      <c r="H19" s="61"/>
      <c r="I19" s="61"/>
      <c r="J19" s="61"/>
      <c r="K19" s="61"/>
      <c r="L19" s="60"/>
    </row>
    <row r="20" spans="2:12">
      <c r="B20" s="368"/>
      <c r="C20" s="357"/>
      <c r="D20" s="60">
        <v>2</v>
      </c>
      <c r="E20" s="146" t="s">
        <v>1616</v>
      </c>
      <c r="F20" s="61" t="s">
        <v>87</v>
      </c>
      <c r="G20" s="61" t="s">
        <v>1617</v>
      </c>
      <c r="H20" s="61"/>
      <c r="I20" s="61"/>
      <c r="J20" s="61"/>
      <c r="K20" s="61"/>
      <c r="L20" s="60"/>
    </row>
    <row r="21" spans="2:12">
      <c r="B21" s="368"/>
      <c r="C21" s="357"/>
      <c r="D21" s="146">
        <v>3</v>
      </c>
      <c r="E21" s="60" t="s">
        <v>220</v>
      </c>
      <c r="F21" s="61" t="s">
        <v>126</v>
      </c>
      <c r="G21" s="61" t="s">
        <v>143</v>
      </c>
      <c r="H21" s="61">
        <v>0</v>
      </c>
      <c r="I21" s="61"/>
      <c r="J21" s="61"/>
      <c r="K21" s="61"/>
      <c r="L21" s="60"/>
    </row>
    <row r="22" spans="2:12">
      <c r="B22" s="368"/>
      <c r="C22" s="357"/>
      <c r="D22" s="146">
        <v>4</v>
      </c>
      <c r="E22" s="60" t="s">
        <v>818</v>
      </c>
      <c r="F22" s="61" t="s">
        <v>817</v>
      </c>
      <c r="G22" s="61">
        <v>10000</v>
      </c>
      <c r="H22" s="61"/>
      <c r="I22" s="61"/>
      <c r="J22" s="61"/>
      <c r="K22" s="61"/>
      <c r="L22" s="60"/>
    </row>
    <row r="23" spans="2:12">
      <c r="B23" s="368"/>
      <c r="C23" s="357"/>
      <c r="D23" s="146">
        <v>5</v>
      </c>
      <c r="E23" s="60" t="s">
        <v>146</v>
      </c>
      <c r="F23" s="61" t="s">
        <v>123</v>
      </c>
      <c r="G23" s="61"/>
      <c r="H23" s="61"/>
      <c r="I23" s="61"/>
      <c r="J23" s="61"/>
      <c r="K23" s="61"/>
      <c r="L23" s="60"/>
    </row>
    <row r="24" spans="2:12">
      <c r="B24" s="369"/>
      <c r="C24" s="358"/>
      <c r="D24" s="60"/>
      <c r="E24" s="60"/>
      <c r="F24" s="61"/>
      <c r="G24" s="61"/>
      <c r="H24" s="61"/>
      <c r="I24" s="61"/>
      <c r="J24" s="61"/>
      <c r="K24" s="61"/>
      <c r="L24" s="60"/>
    </row>
    <row r="25" spans="2:12">
      <c r="B25" s="367" t="s">
        <v>221</v>
      </c>
      <c r="C25" s="356" t="s">
        <v>1478</v>
      </c>
      <c r="D25" s="60">
        <v>1</v>
      </c>
      <c r="E25" s="60" t="s">
        <v>142</v>
      </c>
      <c r="F25" s="61" t="s">
        <v>122</v>
      </c>
      <c r="G25" s="61"/>
      <c r="H25" s="61"/>
      <c r="I25" s="61"/>
      <c r="J25" s="61"/>
      <c r="K25" s="61"/>
      <c r="L25" s="60"/>
    </row>
    <row r="26" spans="2:12">
      <c r="B26" s="368"/>
      <c r="C26" s="357"/>
      <c r="D26" s="60">
        <v>2</v>
      </c>
      <c r="E26" s="146" t="s">
        <v>1616</v>
      </c>
      <c r="F26" s="61" t="s">
        <v>87</v>
      </c>
      <c r="G26" s="61" t="s">
        <v>1617</v>
      </c>
      <c r="H26" s="61"/>
      <c r="I26" s="61"/>
      <c r="J26" s="61"/>
      <c r="K26" s="61"/>
      <c r="L26" s="60"/>
    </row>
    <row r="27" spans="2:12">
      <c r="B27" s="368"/>
      <c r="C27" s="357"/>
      <c r="D27" s="146">
        <v>3</v>
      </c>
      <c r="E27" s="60" t="s">
        <v>36</v>
      </c>
      <c r="F27" s="61" t="s">
        <v>126</v>
      </c>
      <c r="G27" s="61">
        <v>5</v>
      </c>
      <c r="H27" s="61">
        <v>5</v>
      </c>
      <c r="I27" s="61"/>
      <c r="J27" s="61"/>
      <c r="K27" s="61"/>
      <c r="L27" s="60"/>
    </row>
    <row r="28" spans="2:12">
      <c r="B28" s="368"/>
      <c r="C28" s="357"/>
      <c r="D28" s="146">
        <v>4</v>
      </c>
      <c r="E28" s="60"/>
      <c r="F28" s="61" t="s">
        <v>125</v>
      </c>
      <c r="G28" s="61">
        <v>1000</v>
      </c>
      <c r="H28" s="61"/>
      <c r="I28" s="61"/>
      <c r="J28" s="61"/>
      <c r="K28" s="61"/>
      <c r="L28" s="60"/>
    </row>
    <row r="29" spans="2:12">
      <c r="B29" s="368"/>
      <c r="C29" s="357"/>
      <c r="D29" s="146">
        <v>5</v>
      </c>
      <c r="E29" s="60" t="s">
        <v>216</v>
      </c>
      <c r="F29" s="61" t="s">
        <v>126</v>
      </c>
      <c r="G29" s="61">
        <v>6</v>
      </c>
      <c r="H29" s="61">
        <v>0</v>
      </c>
      <c r="I29" s="61"/>
      <c r="J29" s="61"/>
      <c r="K29" s="61"/>
      <c r="L29" s="60"/>
    </row>
    <row r="30" spans="2:12">
      <c r="B30" s="368"/>
      <c r="C30" s="357"/>
      <c r="D30" s="146">
        <v>6</v>
      </c>
      <c r="E30" s="60" t="s">
        <v>818</v>
      </c>
      <c r="F30" s="61" t="s">
        <v>817</v>
      </c>
      <c r="G30" s="61">
        <v>10000</v>
      </c>
      <c r="H30" s="61"/>
      <c r="I30" s="61"/>
      <c r="J30" s="61"/>
      <c r="K30" s="61"/>
      <c r="L30" s="60"/>
    </row>
    <row r="31" spans="2:12">
      <c r="B31" s="368"/>
      <c r="C31" s="357"/>
      <c r="D31" s="146">
        <v>7</v>
      </c>
      <c r="E31" s="60" t="s">
        <v>146</v>
      </c>
      <c r="F31" s="61" t="s">
        <v>123</v>
      </c>
      <c r="G31" s="61"/>
      <c r="H31" s="61"/>
      <c r="I31" s="61"/>
      <c r="J31" s="61"/>
      <c r="K31" s="61"/>
      <c r="L31" s="60"/>
    </row>
    <row r="32" spans="2:12">
      <c r="B32" s="369"/>
      <c r="C32" s="358"/>
      <c r="D32" s="60"/>
      <c r="E32" s="60"/>
      <c r="F32" s="61"/>
      <c r="G32" s="61"/>
      <c r="H32" s="61"/>
      <c r="I32" s="61"/>
      <c r="J32" s="61"/>
      <c r="K32" s="61"/>
      <c r="L32" s="60"/>
    </row>
    <row r="33" spans="2:12">
      <c r="B33" s="367" t="s">
        <v>222</v>
      </c>
      <c r="C33" s="356" t="s">
        <v>1478</v>
      </c>
      <c r="D33" s="60">
        <v>1</v>
      </c>
      <c r="E33" s="60" t="s">
        <v>142</v>
      </c>
      <c r="F33" s="61" t="s">
        <v>122</v>
      </c>
      <c r="G33" s="61"/>
      <c r="H33" s="61"/>
      <c r="I33" s="61"/>
      <c r="J33" s="61"/>
      <c r="K33" s="61"/>
      <c r="L33" s="60"/>
    </row>
    <row r="34" spans="2:12">
      <c r="B34" s="368"/>
      <c r="C34" s="357"/>
      <c r="D34" s="60">
        <v>2</v>
      </c>
      <c r="E34" s="146" t="s">
        <v>1616</v>
      </c>
      <c r="F34" s="61" t="s">
        <v>87</v>
      </c>
      <c r="G34" s="61" t="s">
        <v>1617</v>
      </c>
      <c r="H34" s="61"/>
      <c r="I34" s="61"/>
      <c r="J34" s="61"/>
      <c r="K34" s="61"/>
      <c r="L34" s="60"/>
    </row>
    <row r="35" spans="2:12">
      <c r="B35" s="368"/>
      <c r="C35" s="357"/>
      <c r="D35" s="146">
        <v>3</v>
      </c>
      <c r="E35" s="60" t="s">
        <v>36</v>
      </c>
      <c r="F35" s="61" t="s">
        <v>126</v>
      </c>
      <c r="G35" s="61">
        <v>5</v>
      </c>
      <c r="H35" s="61">
        <v>5</v>
      </c>
      <c r="I35" s="61"/>
      <c r="J35" s="61"/>
      <c r="K35" s="61"/>
      <c r="L35" s="60"/>
    </row>
    <row r="36" spans="2:12">
      <c r="B36" s="368"/>
      <c r="C36" s="357"/>
      <c r="D36" s="146">
        <v>4</v>
      </c>
      <c r="E36" s="60"/>
      <c r="F36" s="61" t="s">
        <v>125</v>
      </c>
      <c r="G36" s="61">
        <v>1000</v>
      </c>
      <c r="H36" s="61"/>
      <c r="I36" s="61"/>
      <c r="J36" s="61"/>
      <c r="K36" s="61"/>
      <c r="L36" s="60"/>
    </row>
    <row r="37" spans="2:12">
      <c r="B37" s="368"/>
      <c r="C37" s="357"/>
      <c r="D37" s="146">
        <v>5</v>
      </c>
      <c r="E37" s="60" t="s">
        <v>218</v>
      </c>
      <c r="F37" s="61" t="s">
        <v>126</v>
      </c>
      <c r="G37" s="61">
        <v>7</v>
      </c>
      <c r="H37" s="61">
        <v>0</v>
      </c>
      <c r="I37" s="61"/>
      <c r="J37" s="61"/>
      <c r="K37" s="61"/>
      <c r="L37" s="60"/>
    </row>
    <row r="38" spans="2:12">
      <c r="B38" s="368"/>
      <c r="C38" s="357"/>
      <c r="D38" s="146">
        <v>6</v>
      </c>
      <c r="E38" s="60" t="s">
        <v>818</v>
      </c>
      <c r="F38" s="61" t="s">
        <v>817</v>
      </c>
      <c r="G38" s="61">
        <v>10000</v>
      </c>
      <c r="H38" s="61"/>
      <c r="I38" s="61"/>
      <c r="J38" s="61"/>
      <c r="K38" s="61"/>
      <c r="L38" s="60"/>
    </row>
    <row r="39" spans="2:12">
      <c r="B39" s="368"/>
      <c r="C39" s="357"/>
      <c r="D39" s="146">
        <v>7</v>
      </c>
      <c r="E39" s="60" t="s">
        <v>146</v>
      </c>
      <c r="F39" s="61" t="s">
        <v>123</v>
      </c>
      <c r="G39" s="61"/>
      <c r="H39" s="61"/>
      <c r="I39" s="61"/>
      <c r="J39" s="61"/>
      <c r="K39" s="61"/>
      <c r="L39" s="60"/>
    </row>
    <row r="40" spans="2:12">
      <c r="B40" s="369"/>
      <c r="C40" s="358"/>
      <c r="D40" s="60"/>
      <c r="E40" s="60"/>
      <c r="F40" s="61"/>
      <c r="G40" s="61"/>
      <c r="H40" s="61"/>
      <c r="I40" s="61"/>
      <c r="J40" s="61"/>
      <c r="K40" s="61"/>
      <c r="L40" s="60"/>
    </row>
    <row r="41" spans="2:12">
      <c r="B41" s="367" t="s">
        <v>223</v>
      </c>
      <c r="C41" s="356" t="s">
        <v>1478</v>
      </c>
      <c r="D41" s="60">
        <v>1</v>
      </c>
      <c r="E41" s="60" t="s">
        <v>142</v>
      </c>
      <c r="F41" s="61" t="s">
        <v>122</v>
      </c>
      <c r="G41" s="61"/>
      <c r="H41" s="61"/>
      <c r="I41" s="61"/>
      <c r="J41" s="61"/>
      <c r="K41" s="61"/>
      <c r="L41" s="60"/>
    </row>
    <row r="42" spans="2:12">
      <c r="B42" s="368"/>
      <c r="C42" s="357"/>
      <c r="D42" s="60">
        <v>2</v>
      </c>
      <c r="E42" s="146" t="s">
        <v>1616</v>
      </c>
      <c r="F42" s="61" t="s">
        <v>87</v>
      </c>
      <c r="G42" s="61" t="s">
        <v>1617</v>
      </c>
      <c r="H42" s="61"/>
      <c r="I42" s="61"/>
      <c r="J42" s="61"/>
      <c r="K42" s="61"/>
      <c r="L42" s="60"/>
    </row>
    <row r="43" spans="2:12">
      <c r="B43" s="368"/>
      <c r="C43" s="357"/>
      <c r="D43" s="146">
        <v>3</v>
      </c>
      <c r="E43" s="60" t="s">
        <v>36</v>
      </c>
      <c r="F43" s="61" t="s">
        <v>126</v>
      </c>
      <c r="G43" s="61">
        <v>5</v>
      </c>
      <c r="H43" s="61">
        <v>5</v>
      </c>
      <c r="I43" s="61"/>
      <c r="J43" s="61"/>
      <c r="K43" s="61"/>
      <c r="L43" s="60"/>
    </row>
    <row r="44" spans="2:12">
      <c r="B44" s="368"/>
      <c r="C44" s="357"/>
      <c r="D44" s="146">
        <v>4</v>
      </c>
      <c r="E44" s="60"/>
      <c r="F44" s="61" t="s">
        <v>125</v>
      </c>
      <c r="G44" s="61">
        <v>1000</v>
      </c>
      <c r="H44" s="61"/>
      <c r="I44" s="61"/>
      <c r="J44" s="61"/>
      <c r="K44" s="61"/>
      <c r="L44" s="60"/>
    </row>
    <row r="45" spans="2:12">
      <c r="B45" s="368"/>
      <c r="C45" s="357"/>
      <c r="D45" s="146">
        <v>5</v>
      </c>
      <c r="E45" s="60" t="s">
        <v>220</v>
      </c>
      <c r="F45" s="61" t="s">
        <v>126</v>
      </c>
      <c r="G45" s="61" t="s">
        <v>143</v>
      </c>
      <c r="H45" s="61">
        <v>0</v>
      </c>
      <c r="I45" s="61"/>
      <c r="J45" s="61"/>
      <c r="K45" s="61"/>
      <c r="L45" s="60"/>
    </row>
    <row r="46" spans="2:12">
      <c r="B46" s="368"/>
      <c r="C46" s="357"/>
      <c r="D46" s="146">
        <v>6</v>
      </c>
      <c r="E46" s="60" t="s">
        <v>818</v>
      </c>
      <c r="F46" s="61" t="s">
        <v>817</v>
      </c>
      <c r="G46" s="61">
        <v>10000</v>
      </c>
      <c r="H46" s="61"/>
      <c r="I46" s="61"/>
      <c r="J46" s="61"/>
      <c r="K46" s="61"/>
      <c r="L46" s="60"/>
    </row>
    <row r="47" spans="2:12">
      <c r="B47" s="368"/>
      <c r="C47" s="357"/>
      <c r="D47" s="146">
        <v>7</v>
      </c>
      <c r="E47" s="60" t="s">
        <v>146</v>
      </c>
      <c r="F47" s="61" t="s">
        <v>123</v>
      </c>
      <c r="G47" s="61"/>
      <c r="H47" s="61"/>
      <c r="I47" s="61"/>
      <c r="J47" s="61"/>
      <c r="K47" s="61"/>
      <c r="L47" s="60"/>
    </row>
    <row r="48" spans="2:12">
      <c r="B48" s="369"/>
      <c r="C48" s="358"/>
      <c r="D48" s="60"/>
      <c r="E48" s="60"/>
      <c r="F48" s="61"/>
      <c r="G48" s="61"/>
      <c r="H48" s="61"/>
      <c r="I48" s="61"/>
      <c r="J48" s="61"/>
      <c r="K48" s="61"/>
      <c r="L48" s="60"/>
    </row>
    <row r="49" spans="2:12">
      <c r="B49" s="367" t="s">
        <v>224</v>
      </c>
      <c r="C49" s="356" t="s">
        <v>1478</v>
      </c>
      <c r="D49" s="60">
        <v>1</v>
      </c>
      <c r="E49" s="60" t="s">
        <v>142</v>
      </c>
      <c r="F49" s="61" t="s">
        <v>122</v>
      </c>
      <c r="G49" s="61"/>
      <c r="H49" s="61"/>
      <c r="I49" s="61"/>
      <c r="J49" s="61"/>
      <c r="K49" s="61"/>
      <c r="L49" s="60"/>
    </row>
    <row r="50" spans="2:12">
      <c r="B50" s="368"/>
      <c r="C50" s="357"/>
      <c r="D50" s="60">
        <v>2</v>
      </c>
      <c r="E50" s="146" t="s">
        <v>1616</v>
      </c>
      <c r="F50" s="61" t="s">
        <v>87</v>
      </c>
      <c r="G50" s="61" t="s">
        <v>1617</v>
      </c>
      <c r="H50" s="61"/>
      <c r="I50" s="61"/>
      <c r="J50" s="61"/>
      <c r="K50" s="61"/>
      <c r="L50" s="60"/>
    </row>
    <row r="51" spans="2:12">
      <c r="B51" s="368"/>
      <c r="C51" s="357"/>
      <c r="D51" s="146">
        <v>3</v>
      </c>
      <c r="E51" s="60" t="s">
        <v>225</v>
      </c>
      <c r="F51" s="61" t="s">
        <v>126</v>
      </c>
      <c r="G51" s="61">
        <v>0</v>
      </c>
      <c r="H51" s="61">
        <v>1</v>
      </c>
      <c r="I51" s="61"/>
      <c r="J51" s="61"/>
      <c r="K51" s="61"/>
      <c r="L51" s="60"/>
    </row>
    <row r="52" spans="2:12">
      <c r="B52" s="368"/>
      <c r="C52" s="357"/>
      <c r="D52" s="146">
        <v>4</v>
      </c>
      <c r="E52" s="60" t="s">
        <v>818</v>
      </c>
      <c r="F52" s="61" t="s">
        <v>817</v>
      </c>
      <c r="G52" s="61">
        <v>10000</v>
      </c>
      <c r="H52" s="61"/>
      <c r="I52" s="61"/>
      <c r="J52" s="61"/>
      <c r="K52" s="61"/>
      <c r="L52" s="60"/>
    </row>
    <row r="53" spans="2:12">
      <c r="B53" s="368"/>
      <c r="C53" s="357"/>
      <c r="D53" s="146">
        <v>5</v>
      </c>
      <c r="E53" s="60" t="s">
        <v>146</v>
      </c>
      <c r="F53" s="61" t="s">
        <v>123</v>
      </c>
      <c r="G53" s="61"/>
      <c r="H53" s="61"/>
      <c r="I53" s="61"/>
      <c r="J53" s="61"/>
      <c r="K53" s="61"/>
      <c r="L53" s="60"/>
    </row>
    <row r="54" spans="2:12">
      <c r="B54" s="369"/>
      <c r="C54" s="358"/>
      <c r="D54" s="60"/>
      <c r="E54" s="60"/>
      <c r="F54" s="61"/>
      <c r="G54" s="61"/>
      <c r="H54" s="61"/>
      <c r="I54" s="61"/>
      <c r="J54" s="61"/>
      <c r="K54" s="61"/>
      <c r="L54" s="60"/>
    </row>
    <row r="55" spans="2:12">
      <c r="B55" s="367" t="s">
        <v>226</v>
      </c>
      <c r="C55" s="356" t="s">
        <v>1478</v>
      </c>
      <c r="D55" s="60">
        <v>1</v>
      </c>
      <c r="E55" s="60" t="s">
        <v>142</v>
      </c>
      <c r="F55" s="61" t="s">
        <v>122</v>
      </c>
      <c r="G55" s="61"/>
      <c r="H55" s="61"/>
      <c r="I55" s="61"/>
      <c r="J55" s="61"/>
      <c r="K55" s="61"/>
      <c r="L55" s="60"/>
    </row>
    <row r="56" spans="2:12">
      <c r="B56" s="368"/>
      <c r="C56" s="357"/>
      <c r="D56" s="60">
        <v>2</v>
      </c>
      <c r="E56" s="146" t="s">
        <v>1616</v>
      </c>
      <c r="F56" s="61" t="s">
        <v>87</v>
      </c>
      <c r="G56" s="61" t="s">
        <v>1617</v>
      </c>
      <c r="H56" s="61"/>
      <c r="I56" s="61"/>
      <c r="J56" s="61"/>
      <c r="K56" s="61"/>
      <c r="L56" s="60"/>
    </row>
    <row r="57" spans="2:12">
      <c r="B57" s="368"/>
      <c r="C57" s="357"/>
      <c r="D57" s="146">
        <v>3</v>
      </c>
      <c r="E57" s="60" t="s">
        <v>227</v>
      </c>
      <c r="F57" s="61" t="s">
        <v>126</v>
      </c>
      <c r="G57" s="61">
        <v>0</v>
      </c>
      <c r="H57" s="61">
        <v>2</v>
      </c>
      <c r="I57" s="61"/>
      <c r="J57" s="61"/>
      <c r="K57" s="61"/>
      <c r="L57" s="60"/>
    </row>
    <row r="58" spans="2:12">
      <c r="B58" s="368"/>
      <c r="C58" s="357"/>
      <c r="D58" s="146">
        <v>4</v>
      </c>
      <c r="E58" s="60" t="s">
        <v>818</v>
      </c>
      <c r="F58" s="61" t="s">
        <v>817</v>
      </c>
      <c r="G58" s="61">
        <v>10000</v>
      </c>
      <c r="H58" s="61"/>
      <c r="I58" s="61"/>
      <c r="J58" s="61"/>
      <c r="K58" s="61"/>
      <c r="L58" s="60"/>
    </row>
    <row r="59" spans="2:12">
      <c r="B59" s="368"/>
      <c r="C59" s="357"/>
      <c r="D59" s="146">
        <v>5</v>
      </c>
      <c r="E59" s="60" t="s">
        <v>146</v>
      </c>
      <c r="F59" s="61" t="s">
        <v>123</v>
      </c>
      <c r="G59" s="61"/>
      <c r="H59" s="61"/>
      <c r="I59" s="61"/>
      <c r="J59" s="61"/>
      <c r="K59" s="61"/>
      <c r="L59" s="60"/>
    </row>
    <row r="60" spans="2:12">
      <c r="B60" s="369"/>
      <c r="C60" s="358"/>
      <c r="D60" s="60"/>
      <c r="E60" s="60"/>
      <c r="F60" s="61"/>
      <c r="G60" s="61"/>
      <c r="H60" s="61"/>
      <c r="I60" s="61"/>
      <c r="J60" s="61"/>
      <c r="K60" s="61"/>
      <c r="L60" s="60"/>
    </row>
    <row r="61" spans="2:12">
      <c r="B61" s="367" t="s">
        <v>228</v>
      </c>
      <c r="C61" s="356" t="s">
        <v>1478</v>
      </c>
      <c r="D61" s="60">
        <v>1</v>
      </c>
      <c r="E61" s="60" t="s">
        <v>142</v>
      </c>
      <c r="F61" s="61" t="s">
        <v>122</v>
      </c>
      <c r="G61" s="61"/>
      <c r="H61" s="61"/>
      <c r="I61" s="61"/>
      <c r="J61" s="61"/>
      <c r="K61" s="61"/>
      <c r="L61" s="60"/>
    </row>
    <row r="62" spans="2:12">
      <c r="B62" s="368"/>
      <c r="C62" s="357"/>
      <c r="D62" s="60">
        <v>2</v>
      </c>
      <c r="E62" s="146" t="s">
        <v>1616</v>
      </c>
      <c r="F62" s="61" t="s">
        <v>87</v>
      </c>
      <c r="G62" s="61" t="s">
        <v>1617</v>
      </c>
      <c r="H62" s="61"/>
      <c r="I62" s="61"/>
      <c r="J62" s="61"/>
      <c r="K62" s="61"/>
      <c r="L62" s="60"/>
    </row>
    <row r="63" spans="2:12">
      <c r="B63" s="368"/>
      <c r="C63" s="357"/>
      <c r="D63" s="146">
        <v>3</v>
      </c>
      <c r="E63" s="60" t="s">
        <v>229</v>
      </c>
      <c r="F63" s="61" t="s">
        <v>126</v>
      </c>
      <c r="G63" s="61">
        <v>0</v>
      </c>
      <c r="H63" s="61" t="s">
        <v>192</v>
      </c>
      <c r="I63" s="61"/>
      <c r="J63" s="61"/>
      <c r="K63" s="61"/>
      <c r="L63" s="60"/>
    </row>
    <row r="64" spans="2:12">
      <c r="B64" s="368"/>
      <c r="C64" s="357"/>
      <c r="D64" s="146">
        <v>4</v>
      </c>
      <c r="E64" s="60" t="s">
        <v>818</v>
      </c>
      <c r="F64" s="61" t="s">
        <v>817</v>
      </c>
      <c r="G64" s="61">
        <v>10000</v>
      </c>
      <c r="H64" s="61"/>
      <c r="I64" s="61"/>
      <c r="J64" s="61"/>
      <c r="K64" s="61"/>
      <c r="L64" s="60"/>
    </row>
    <row r="65" spans="2:12">
      <c r="B65" s="368"/>
      <c r="C65" s="357"/>
      <c r="D65" s="146">
        <v>5</v>
      </c>
      <c r="E65" s="60" t="s">
        <v>146</v>
      </c>
      <c r="F65" s="61" t="s">
        <v>123</v>
      </c>
      <c r="G65" s="61"/>
      <c r="H65" s="61"/>
      <c r="I65" s="61"/>
      <c r="J65" s="61"/>
      <c r="K65" s="61"/>
      <c r="L65" s="60"/>
    </row>
    <row r="66" spans="2:12">
      <c r="B66" s="369"/>
      <c r="C66" s="358"/>
      <c r="D66" s="60"/>
      <c r="E66" s="60"/>
      <c r="F66" s="61"/>
      <c r="G66" s="61"/>
      <c r="H66" s="61"/>
      <c r="I66" s="61"/>
      <c r="J66" s="61"/>
      <c r="K66" s="61"/>
      <c r="L66" s="60"/>
    </row>
    <row r="67" spans="2:12">
      <c r="B67" s="367" t="s">
        <v>230</v>
      </c>
      <c r="C67" s="356" t="s">
        <v>1478</v>
      </c>
      <c r="D67" s="60">
        <v>1</v>
      </c>
      <c r="E67" s="60" t="s">
        <v>142</v>
      </c>
      <c r="F67" s="61" t="s">
        <v>122</v>
      </c>
      <c r="G67" s="61"/>
      <c r="H67" s="61"/>
      <c r="I67" s="61"/>
      <c r="J67" s="61"/>
      <c r="K67" s="61"/>
      <c r="L67" s="60"/>
    </row>
    <row r="68" spans="2:12">
      <c r="B68" s="368"/>
      <c r="C68" s="357"/>
      <c r="D68" s="60">
        <v>2</v>
      </c>
      <c r="E68" s="146" t="s">
        <v>1616</v>
      </c>
      <c r="F68" s="61" t="s">
        <v>87</v>
      </c>
      <c r="G68" s="61" t="s">
        <v>1617</v>
      </c>
      <c r="H68" s="61"/>
      <c r="I68" s="61"/>
      <c r="J68" s="61"/>
      <c r="K68" s="61"/>
      <c r="L68" s="60"/>
    </row>
    <row r="69" spans="2:12">
      <c r="B69" s="368"/>
      <c r="C69" s="357"/>
      <c r="D69" s="146">
        <v>3</v>
      </c>
      <c r="E69" s="60" t="s">
        <v>36</v>
      </c>
      <c r="F69" s="61" t="s">
        <v>126</v>
      </c>
      <c r="G69" s="61">
        <v>5</v>
      </c>
      <c r="H69" s="61">
        <v>5</v>
      </c>
      <c r="I69" s="61"/>
      <c r="J69" s="61"/>
      <c r="K69" s="61"/>
      <c r="L69" s="60"/>
    </row>
    <row r="70" spans="2:12">
      <c r="B70" s="368"/>
      <c r="C70" s="357"/>
      <c r="D70" s="146">
        <v>4</v>
      </c>
      <c r="E70" s="60"/>
      <c r="F70" s="61" t="s">
        <v>125</v>
      </c>
      <c r="G70" s="61">
        <v>1000</v>
      </c>
      <c r="H70" s="61"/>
      <c r="I70" s="61"/>
      <c r="J70" s="61"/>
      <c r="K70" s="61"/>
      <c r="L70" s="60"/>
    </row>
    <row r="71" spans="2:12">
      <c r="B71" s="368"/>
      <c r="C71" s="357"/>
      <c r="D71" s="146">
        <v>5</v>
      </c>
      <c r="E71" s="60" t="s">
        <v>225</v>
      </c>
      <c r="F71" s="61" t="s">
        <v>126</v>
      </c>
      <c r="G71" s="61">
        <v>5</v>
      </c>
      <c r="H71" s="61">
        <v>6</v>
      </c>
      <c r="I71" s="61"/>
      <c r="J71" s="61"/>
      <c r="K71" s="61"/>
      <c r="L71" s="60"/>
    </row>
    <row r="72" spans="2:12">
      <c r="B72" s="368"/>
      <c r="C72" s="357"/>
      <c r="D72" s="146">
        <v>6</v>
      </c>
      <c r="E72" s="60" t="s">
        <v>818</v>
      </c>
      <c r="F72" s="61" t="s">
        <v>817</v>
      </c>
      <c r="G72" s="61">
        <v>10000</v>
      </c>
      <c r="H72" s="61"/>
      <c r="I72" s="61"/>
      <c r="J72" s="61"/>
      <c r="K72" s="61"/>
      <c r="L72" s="60"/>
    </row>
    <row r="73" spans="2:12">
      <c r="B73" s="368"/>
      <c r="C73" s="357"/>
      <c r="D73" s="146">
        <v>7</v>
      </c>
      <c r="E73" s="60" t="s">
        <v>146</v>
      </c>
      <c r="F73" s="61" t="s">
        <v>123</v>
      </c>
      <c r="G73" s="61"/>
      <c r="H73" s="61"/>
      <c r="I73" s="61"/>
      <c r="J73" s="61"/>
      <c r="K73" s="61"/>
      <c r="L73" s="60"/>
    </row>
    <row r="74" spans="2:12">
      <c r="B74" s="369"/>
      <c r="C74" s="358"/>
      <c r="D74" s="60"/>
      <c r="E74" s="60"/>
      <c r="F74" s="61"/>
      <c r="G74" s="61"/>
      <c r="H74" s="61"/>
      <c r="I74" s="61"/>
      <c r="J74" s="61"/>
      <c r="K74" s="61"/>
      <c r="L74" s="60"/>
    </row>
    <row r="75" spans="2:12">
      <c r="B75" s="367" t="s">
        <v>231</v>
      </c>
      <c r="C75" s="356" t="s">
        <v>1478</v>
      </c>
      <c r="D75" s="60">
        <v>1</v>
      </c>
      <c r="E75" s="60" t="s">
        <v>142</v>
      </c>
      <c r="F75" s="61" t="s">
        <v>122</v>
      </c>
      <c r="G75" s="61"/>
      <c r="H75" s="61"/>
      <c r="I75" s="61"/>
      <c r="J75" s="61"/>
      <c r="K75" s="61"/>
      <c r="L75" s="60"/>
    </row>
    <row r="76" spans="2:12">
      <c r="B76" s="368"/>
      <c r="C76" s="357"/>
      <c r="D76" s="60">
        <v>2</v>
      </c>
      <c r="E76" s="146" t="s">
        <v>1616</v>
      </c>
      <c r="F76" s="61" t="s">
        <v>87</v>
      </c>
      <c r="G76" s="61" t="s">
        <v>1617</v>
      </c>
      <c r="H76" s="61"/>
      <c r="I76" s="61"/>
      <c r="J76" s="61"/>
      <c r="K76" s="61"/>
      <c r="L76" s="60"/>
    </row>
    <row r="77" spans="2:12">
      <c r="B77" s="368"/>
      <c r="C77" s="357"/>
      <c r="D77" s="146">
        <v>3</v>
      </c>
      <c r="E77" s="60" t="s">
        <v>36</v>
      </c>
      <c r="F77" s="61" t="s">
        <v>126</v>
      </c>
      <c r="G77" s="61">
        <v>5</v>
      </c>
      <c r="H77" s="61">
        <v>5</v>
      </c>
      <c r="I77" s="61"/>
      <c r="J77" s="61"/>
      <c r="K77" s="61"/>
      <c r="L77" s="60"/>
    </row>
    <row r="78" spans="2:12">
      <c r="B78" s="368"/>
      <c r="C78" s="357"/>
      <c r="D78" s="146">
        <v>4</v>
      </c>
      <c r="E78" s="60"/>
      <c r="F78" s="61" t="s">
        <v>125</v>
      </c>
      <c r="G78" s="61">
        <v>1000</v>
      </c>
      <c r="H78" s="61"/>
      <c r="I78" s="61"/>
      <c r="J78" s="61"/>
      <c r="K78" s="61"/>
      <c r="L78" s="60"/>
    </row>
    <row r="79" spans="2:12">
      <c r="B79" s="368"/>
      <c r="C79" s="357"/>
      <c r="D79" s="146">
        <v>5</v>
      </c>
      <c r="E79" s="60" t="s">
        <v>227</v>
      </c>
      <c r="F79" s="61" t="s">
        <v>126</v>
      </c>
      <c r="G79" s="61">
        <v>5</v>
      </c>
      <c r="H79" s="61">
        <v>7</v>
      </c>
      <c r="I79" s="61"/>
      <c r="J79" s="61"/>
      <c r="K79" s="61"/>
      <c r="L79" s="60"/>
    </row>
    <row r="80" spans="2:12">
      <c r="B80" s="368"/>
      <c r="C80" s="357"/>
      <c r="D80" s="146">
        <v>6</v>
      </c>
      <c r="E80" s="60" t="s">
        <v>818</v>
      </c>
      <c r="F80" s="61" t="s">
        <v>817</v>
      </c>
      <c r="G80" s="61">
        <v>10000</v>
      </c>
      <c r="H80" s="61"/>
      <c r="I80" s="61"/>
      <c r="J80" s="61"/>
      <c r="K80" s="61"/>
      <c r="L80" s="60"/>
    </row>
    <row r="81" spans="2:12">
      <c r="B81" s="368"/>
      <c r="C81" s="357"/>
      <c r="D81" s="146">
        <v>7</v>
      </c>
      <c r="E81" s="60" t="s">
        <v>146</v>
      </c>
      <c r="F81" s="61" t="s">
        <v>123</v>
      </c>
      <c r="G81" s="61"/>
      <c r="H81" s="61"/>
      <c r="I81" s="61"/>
      <c r="J81" s="61"/>
      <c r="K81" s="61"/>
      <c r="L81" s="60"/>
    </row>
    <row r="82" spans="2:12">
      <c r="B82" s="369"/>
      <c r="C82" s="358"/>
      <c r="D82" s="60"/>
      <c r="E82" s="60"/>
      <c r="F82" s="61"/>
      <c r="G82" s="61"/>
      <c r="H82" s="61"/>
      <c r="I82" s="61"/>
      <c r="J82" s="61"/>
      <c r="K82" s="61"/>
      <c r="L82" s="60"/>
    </row>
    <row r="83" spans="2:12">
      <c r="B83" s="367" t="s">
        <v>232</v>
      </c>
      <c r="C83" s="356" t="s">
        <v>1478</v>
      </c>
      <c r="D83" s="60">
        <v>1</v>
      </c>
      <c r="E83" s="60" t="s">
        <v>142</v>
      </c>
      <c r="F83" s="61" t="s">
        <v>122</v>
      </c>
      <c r="G83" s="61"/>
      <c r="H83" s="61"/>
      <c r="I83" s="61"/>
      <c r="J83" s="61"/>
      <c r="K83" s="61"/>
      <c r="L83" s="60"/>
    </row>
    <row r="84" spans="2:12">
      <c r="B84" s="368"/>
      <c r="C84" s="357"/>
      <c r="D84" s="60">
        <v>2</v>
      </c>
      <c r="E84" s="146" t="s">
        <v>1616</v>
      </c>
      <c r="F84" s="61" t="s">
        <v>87</v>
      </c>
      <c r="G84" s="61" t="s">
        <v>1617</v>
      </c>
      <c r="H84" s="61"/>
      <c r="I84" s="61"/>
      <c r="J84" s="61"/>
      <c r="K84" s="61"/>
      <c r="L84" s="60"/>
    </row>
    <row r="85" spans="2:12">
      <c r="B85" s="368"/>
      <c r="C85" s="357"/>
      <c r="D85" s="146">
        <v>3</v>
      </c>
      <c r="E85" s="60" t="s">
        <v>36</v>
      </c>
      <c r="F85" s="61" t="s">
        <v>126</v>
      </c>
      <c r="G85" s="61">
        <v>5</v>
      </c>
      <c r="H85" s="61">
        <v>5</v>
      </c>
      <c r="I85" s="61"/>
      <c r="J85" s="61"/>
      <c r="K85" s="61"/>
      <c r="L85" s="60"/>
    </row>
    <row r="86" spans="2:12">
      <c r="B86" s="368"/>
      <c r="C86" s="357"/>
      <c r="D86" s="146">
        <v>4</v>
      </c>
      <c r="E86" s="60"/>
      <c r="F86" s="61" t="s">
        <v>125</v>
      </c>
      <c r="G86" s="61">
        <v>1000</v>
      </c>
      <c r="H86" s="61"/>
      <c r="I86" s="61"/>
      <c r="J86" s="61"/>
      <c r="K86" s="61"/>
      <c r="L86" s="60"/>
    </row>
    <row r="87" spans="2:12">
      <c r="B87" s="368"/>
      <c r="C87" s="357"/>
      <c r="D87" s="146">
        <v>5</v>
      </c>
      <c r="E87" s="60" t="s">
        <v>229</v>
      </c>
      <c r="F87" s="61" t="s">
        <v>126</v>
      </c>
      <c r="G87" s="61">
        <v>5</v>
      </c>
      <c r="H87" s="61" t="s">
        <v>192</v>
      </c>
      <c r="I87" s="61"/>
      <c r="J87" s="61"/>
      <c r="K87" s="61"/>
      <c r="L87" s="60"/>
    </row>
    <row r="88" spans="2:12">
      <c r="B88" s="368"/>
      <c r="C88" s="357"/>
      <c r="D88" s="146">
        <v>6</v>
      </c>
      <c r="E88" s="60" t="s">
        <v>818</v>
      </c>
      <c r="F88" s="61" t="s">
        <v>817</v>
      </c>
      <c r="G88" s="61">
        <v>10000</v>
      </c>
      <c r="H88" s="61"/>
      <c r="I88" s="61"/>
      <c r="J88" s="61"/>
      <c r="K88" s="61"/>
      <c r="L88" s="60"/>
    </row>
    <row r="89" spans="2:12">
      <c r="B89" s="368"/>
      <c r="C89" s="357"/>
      <c r="D89" s="146">
        <v>7</v>
      </c>
      <c r="E89" s="60" t="s">
        <v>146</v>
      </c>
      <c r="F89" s="61" t="s">
        <v>123</v>
      </c>
      <c r="G89" s="61"/>
      <c r="H89" s="61"/>
      <c r="I89" s="61"/>
      <c r="J89" s="61"/>
      <c r="K89" s="61"/>
      <c r="L89" s="60"/>
    </row>
    <row r="90" spans="2:12">
      <c r="B90" s="369"/>
      <c r="C90" s="358"/>
      <c r="D90" s="60"/>
      <c r="E90" s="60"/>
      <c r="F90" s="61"/>
      <c r="G90" s="61"/>
      <c r="H90" s="61"/>
      <c r="I90" s="61"/>
      <c r="J90" s="61"/>
      <c r="K90" s="61"/>
      <c r="L90" s="60"/>
    </row>
    <row r="91" spans="2:12">
      <c r="B91" s="367" t="s">
        <v>233</v>
      </c>
      <c r="C91" s="356" t="s">
        <v>1478</v>
      </c>
      <c r="D91" s="60">
        <v>1</v>
      </c>
      <c r="E91" s="60" t="s">
        <v>142</v>
      </c>
      <c r="F91" s="61" t="s">
        <v>122</v>
      </c>
      <c r="G91" s="61"/>
      <c r="H91" s="61"/>
      <c r="I91" s="61"/>
      <c r="J91" s="61"/>
      <c r="K91" s="61"/>
      <c r="L91" s="60"/>
    </row>
    <row r="92" spans="2:12">
      <c r="B92" s="368"/>
      <c r="C92" s="357"/>
      <c r="D92" s="60">
        <v>2</v>
      </c>
      <c r="E92" s="146" t="s">
        <v>1616</v>
      </c>
      <c r="F92" s="61" t="s">
        <v>87</v>
      </c>
      <c r="G92" s="61" t="s">
        <v>1617</v>
      </c>
      <c r="H92" s="61"/>
      <c r="I92" s="61"/>
      <c r="J92" s="61"/>
      <c r="K92" s="61"/>
      <c r="L92" s="60"/>
    </row>
    <row r="93" spans="2:12">
      <c r="B93" s="368"/>
      <c r="C93" s="357"/>
      <c r="D93" s="146">
        <v>3</v>
      </c>
      <c r="E93" s="60" t="s">
        <v>36</v>
      </c>
      <c r="F93" s="61" t="s">
        <v>126</v>
      </c>
      <c r="G93" s="61">
        <v>3</v>
      </c>
      <c r="H93" s="61">
        <v>3</v>
      </c>
      <c r="I93" s="61"/>
      <c r="J93" s="61"/>
      <c r="K93" s="61"/>
      <c r="L93" s="60"/>
    </row>
    <row r="94" spans="2:12">
      <c r="B94" s="368"/>
      <c r="C94" s="357"/>
      <c r="D94" s="146">
        <v>4</v>
      </c>
      <c r="E94" s="60" t="s">
        <v>172</v>
      </c>
      <c r="F94" s="61" t="s">
        <v>173</v>
      </c>
      <c r="G94" s="61">
        <v>0</v>
      </c>
      <c r="H94" s="61" t="s">
        <v>174</v>
      </c>
      <c r="I94" s="61"/>
      <c r="J94" s="61"/>
      <c r="K94" s="61"/>
      <c r="L94" s="60"/>
    </row>
    <row r="95" spans="2:12">
      <c r="B95" s="368"/>
      <c r="C95" s="357"/>
      <c r="D95" s="146">
        <v>5</v>
      </c>
      <c r="E95" s="60"/>
      <c r="F95" s="61" t="s">
        <v>125</v>
      </c>
      <c r="G95" s="61">
        <v>1000</v>
      </c>
      <c r="H95" s="61"/>
      <c r="I95" s="61"/>
      <c r="J95" s="61"/>
      <c r="K95" s="61"/>
      <c r="L95" s="60"/>
    </row>
    <row r="96" spans="2:12">
      <c r="B96" s="368"/>
      <c r="C96" s="357"/>
      <c r="D96" s="146">
        <v>6</v>
      </c>
      <c r="E96" s="60" t="s">
        <v>234</v>
      </c>
      <c r="F96" s="61" t="s">
        <v>126</v>
      </c>
      <c r="G96" s="61">
        <v>4</v>
      </c>
      <c r="H96" s="61">
        <v>4</v>
      </c>
      <c r="I96" s="61"/>
      <c r="J96" s="61"/>
      <c r="K96" s="61"/>
      <c r="L96" s="60"/>
    </row>
    <row r="97" spans="2:12">
      <c r="B97" s="368"/>
      <c r="C97" s="357"/>
      <c r="D97" s="146">
        <v>7</v>
      </c>
      <c r="E97" s="60" t="s">
        <v>818</v>
      </c>
      <c r="F97" s="61" t="s">
        <v>817</v>
      </c>
      <c r="G97" s="61">
        <v>10000</v>
      </c>
      <c r="H97" s="61"/>
      <c r="I97" s="61"/>
      <c r="J97" s="61"/>
      <c r="K97" s="61"/>
      <c r="L97" s="60"/>
    </row>
    <row r="98" spans="2:12">
      <c r="B98" s="368"/>
      <c r="C98" s="357"/>
      <c r="D98" s="146">
        <v>8</v>
      </c>
      <c r="E98" s="60" t="s">
        <v>146</v>
      </c>
      <c r="F98" s="61" t="s">
        <v>123</v>
      </c>
      <c r="G98" s="61"/>
      <c r="H98" s="61"/>
      <c r="I98" s="61"/>
      <c r="J98" s="61"/>
      <c r="K98" s="61"/>
      <c r="L98" s="60"/>
    </row>
    <row r="99" spans="2:12">
      <c r="B99" s="369"/>
      <c r="C99" s="358"/>
      <c r="D99" s="60"/>
      <c r="E99" s="60"/>
      <c r="F99" s="61"/>
      <c r="G99" s="61"/>
      <c r="H99" s="61"/>
      <c r="I99" s="61"/>
      <c r="J99" s="61"/>
      <c r="K99" s="61"/>
      <c r="L99" s="60"/>
    </row>
    <row r="100" spans="2:12">
      <c r="B100" s="367" t="s">
        <v>235</v>
      </c>
      <c r="C100" s="356" t="s">
        <v>1478</v>
      </c>
      <c r="D100" s="60">
        <v>1</v>
      </c>
      <c r="E100" s="60" t="s">
        <v>142</v>
      </c>
      <c r="F100" s="61" t="s">
        <v>122</v>
      </c>
      <c r="G100" s="61"/>
      <c r="H100" s="61"/>
      <c r="I100" s="61"/>
      <c r="J100" s="61"/>
      <c r="K100" s="61"/>
      <c r="L100" s="60"/>
    </row>
    <row r="101" spans="2:12">
      <c r="B101" s="368"/>
      <c r="C101" s="357"/>
      <c r="D101" s="60">
        <v>2</v>
      </c>
      <c r="E101" s="146" t="s">
        <v>1616</v>
      </c>
      <c r="F101" s="61" t="s">
        <v>87</v>
      </c>
      <c r="G101" s="61" t="s">
        <v>1617</v>
      </c>
      <c r="H101" s="61"/>
      <c r="I101" s="61"/>
      <c r="J101" s="61"/>
      <c r="K101" s="61"/>
      <c r="L101" s="60"/>
    </row>
    <row r="102" spans="2:12">
      <c r="B102" s="368"/>
      <c r="C102" s="357"/>
      <c r="D102" s="146">
        <v>3</v>
      </c>
      <c r="E102" s="60" t="s">
        <v>36</v>
      </c>
      <c r="F102" s="61" t="s">
        <v>126</v>
      </c>
      <c r="G102" s="61">
        <v>3</v>
      </c>
      <c r="H102" s="61">
        <v>3</v>
      </c>
      <c r="I102" s="61"/>
      <c r="J102" s="61"/>
      <c r="K102" s="61"/>
      <c r="L102" s="60"/>
    </row>
    <row r="103" spans="2:12">
      <c r="B103" s="368"/>
      <c r="C103" s="357"/>
      <c r="D103" s="146">
        <v>4</v>
      </c>
      <c r="E103" s="60" t="s">
        <v>172</v>
      </c>
      <c r="F103" s="61" t="s">
        <v>173</v>
      </c>
      <c r="G103" s="61">
        <v>0</v>
      </c>
      <c r="H103" s="61" t="s">
        <v>174</v>
      </c>
      <c r="I103" s="61"/>
      <c r="J103" s="61"/>
      <c r="K103" s="61"/>
      <c r="L103" s="60"/>
    </row>
    <row r="104" spans="2:12">
      <c r="B104" s="368"/>
      <c r="C104" s="357"/>
      <c r="D104" s="146">
        <v>5</v>
      </c>
      <c r="E104" s="60"/>
      <c r="F104" s="61" t="s">
        <v>125</v>
      </c>
      <c r="G104" s="61">
        <v>1000</v>
      </c>
      <c r="H104" s="61"/>
      <c r="I104" s="61"/>
      <c r="J104" s="61"/>
      <c r="K104" s="61"/>
      <c r="L104" s="60"/>
    </row>
    <row r="105" spans="2:12">
      <c r="B105" s="368"/>
      <c r="C105" s="357"/>
      <c r="D105" s="146">
        <v>6</v>
      </c>
      <c r="E105" s="60" t="s">
        <v>234</v>
      </c>
      <c r="F105" s="61" t="s">
        <v>126</v>
      </c>
      <c r="G105" s="61">
        <v>2</v>
      </c>
      <c r="H105" s="61">
        <v>2</v>
      </c>
      <c r="I105" s="61"/>
      <c r="J105" s="61"/>
      <c r="K105" s="61"/>
      <c r="L105" s="60"/>
    </row>
    <row r="106" spans="2:12">
      <c r="B106" s="368"/>
      <c r="C106" s="357"/>
      <c r="D106" s="146">
        <v>7</v>
      </c>
      <c r="E106" s="60" t="s">
        <v>818</v>
      </c>
      <c r="F106" s="61" t="s">
        <v>817</v>
      </c>
      <c r="G106" s="61">
        <v>10000</v>
      </c>
      <c r="H106" s="61"/>
      <c r="I106" s="61"/>
      <c r="J106" s="61"/>
      <c r="K106" s="61"/>
      <c r="L106" s="60"/>
    </row>
    <row r="107" spans="2:12">
      <c r="B107" s="368"/>
      <c r="C107" s="357"/>
      <c r="D107" s="146">
        <v>8</v>
      </c>
      <c r="E107" s="60" t="s">
        <v>146</v>
      </c>
      <c r="F107" s="61" t="s">
        <v>123</v>
      </c>
      <c r="G107" s="61"/>
      <c r="H107" s="61"/>
      <c r="I107" s="61"/>
      <c r="J107" s="61"/>
      <c r="K107" s="61"/>
      <c r="L107" s="60"/>
    </row>
    <row r="108" spans="2:12">
      <c r="B108" s="369"/>
      <c r="C108" s="358"/>
      <c r="D108" s="60"/>
      <c r="E108" s="60"/>
      <c r="F108" s="61"/>
      <c r="G108" s="61"/>
      <c r="H108" s="61"/>
      <c r="I108" s="61"/>
      <c r="J108" s="61"/>
      <c r="K108" s="61"/>
      <c r="L108" s="60"/>
    </row>
    <row r="109" spans="2:12">
      <c r="B109" s="367" t="s">
        <v>236</v>
      </c>
      <c r="C109" s="356" t="s">
        <v>1478</v>
      </c>
      <c r="D109" s="60">
        <v>1</v>
      </c>
      <c r="E109" s="60" t="s">
        <v>142</v>
      </c>
      <c r="F109" s="61" t="s">
        <v>122</v>
      </c>
      <c r="G109" s="61"/>
      <c r="H109" s="61"/>
      <c r="I109" s="61"/>
      <c r="J109" s="61"/>
      <c r="K109" s="61"/>
      <c r="L109" s="60"/>
    </row>
    <row r="110" spans="2:12">
      <c r="B110" s="368"/>
      <c r="C110" s="357"/>
      <c r="D110" s="60">
        <v>2</v>
      </c>
      <c r="E110" s="146" t="s">
        <v>1616</v>
      </c>
      <c r="F110" s="61" t="s">
        <v>87</v>
      </c>
      <c r="G110" s="61" t="s">
        <v>1617</v>
      </c>
      <c r="H110" s="61"/>
      <c r="I110" s="61"/>
      <c r="J110" s="61"/>
      <c r="K110" s="61"/>
      <c r="L110" s="60"/>
    </row>
    <row r="111" spans="2:12">
      <c r="B111" s="368"/>
      <c r="C111" s="357"/>
      <c r="D111" s="146">
        <v>3</v>
      </c>
      <c r="E111" s="60" t="s">
        <v>36</v>
      </c>
      <c r="F111" s="61" t="s">
        <v>126</v>
      </c>
      <c r="G111" s="61">
        <v>1</v>
      </c>
      <c r="H111" s="61">
        <v>1</v>
      </c>
      <c r="I111" s="61"/>
      <c r="J111" s="61"/>
      <c r="K111" s="61"/>
      <c r="L111" s="60"/>
    </row>
    <row r="112" spans="2:12">
      <c r="B112" s="368"/>
      <c r="C112" s="357"/>
      <c r="D112" s="146">
        <v>4</v>
      </c>
      <c r="E112" s="60"/>
      <c r="F112" s="61" t="s">
        <v>125</v>
      </c>
      <c r="G112" s="61">
        <v>1000</v>
      </c>
      <c r="H112" s="61"/>
      <c r="I112" s="61"/>
      <c r="J112" s="61"/>
      <c r="K112" s="61"/>
      <c r="L112" s="60"/>
    </row>
    <row r="113" spans="2:12">
      <c r="B113" s="368"/>
      <c r="C113" s="357"/>
      <c r="D113" s="146">
        <v>5</v>
      </c>
      <c r="E113" s="60" t="s">
        <v>36</v>
      </c>
      <c r="F113" s="61" t="s">
        <v>126</v>
      </c>
      <c r="G113" s="61">
        <v>1</v>
      </c>
      <c r="H113" s="61">
        <v>1</v>
      </c>
      <c r="I113" s="61"/>
      <c r="J113" s="61"/>
      <c r="K113" s="61"/>
      <c r="L113" s="60"/>
    </row>
    <row r="114" spans="2:12">
      <c r="B114" s="368"/>
      <c r="C114" s="357"/>
      <c r="D114" s="146">
        <v>6</v>
      </c>
      <c r="E114" s="60" t="s">
        <v>818</v>
      </c>
      <c r="F114" s="61" t="s">
        <v>817</v>
      </c>
      <c r="G114" s="61">
        <v>10000</v>
      </c>
      <c r="H114" s="61"/>
      <c r="I114" s="61"/>
      <c r="J114" s="61"/>
      <c r="K114" s="61"/>
      <c r="L114" s="60"/>
    </row>
    <row r="115" spans="2:12">
      <c r="B115" s="368"/>
      <c r="C115" s="357"/>
      <c r="D115" s="146">
        <v>7</v>
      </c>
      <c r="E115" s="60" t="s">
        <v>146</v>
      </c>
      <c r="F115" s="61" t="s">
        <v>123</v>
      </c>
      <c r="G115" s="61"/>
      <c r="H115" s="61"/>
      <c r="I115" s="61"/>
      <c r="J115" s="61"/>
      <c r="K115" s="61"/>
      <c r="L115" s="60"/>
    </row>
    <row r="116" spans="2:12">
      <c r="B116" s="369"/>
      <c r="C116" s="358"/>
      <c r="D116" s="60"/>
      <c r="E116" s="60"/>
      <c r="F116" s="61"/>
      <c r="G116" s="61"/>
      <c r="H116" s="61"/>
      <c r="I116" s="61"/>
      <c r="J116" s="61"/>
      <c r="K116" s="61"/>
      <c r="L116" s="60"/>
    </row>
    <row r="117" spans="2:12">
      <c r="B117" s="367" t="s">
        <v>237</v>
      </c>
      <c r="C117" s="356" t="s">
        <v>1478</v>
      </c>
      <c r="D117" s="60">
        <v>1</v>
      </c>
      <c r="E117" s="60" t="s">
        <v>142</v>
      </c>
      <c r="F117" s="61" t="s">
        <v>122</v>
      </c>
      <c r="G117" s="61"/>
      <c r="H117" s="61"/>
      <c r="I117" s="61"/>
      <c r="J117" s="61"/>
      <c r="K117" s="61"/>
      <c r="L117" s="60"/>
    </row>
    <row r="118" spans="2:12">
      <c r="B118" s="368"/>
      <c r="C118" s="357"/>
      <c r="D118" s="60">
        <v>2</v>
      </c>
      <c r="E118" s="146" t="s">
        <v>1616</v>
      </c>
      <c r="F118" s="61" t="s">
        <v>87</v>
      </c>
      <c r="G118" s="61" t="s">
        <v>1617</v>
      </c>
      <c r="H118" s="61"/>
      <c r="I118" s="61"/>
      <c r="J118" s="61"/>
      <c r="K118" s="61"/>
      <c r="L118" s="60"/>
    </row>
    <row r="119" spans="2:12">
      <c r="B119" s="368"/>
      <c r="C119" s="357"/>
      <c r="D119" s="146">
        <v>3</v>
      </c>
      <c r="E119" s="71" t="s">
        <v>36</v>
      </c>
      <c r="F119" s="61" t="s">
        <v>126</v>
      </c>
      <c r="G119" s="61" t="s">
        <v>238</v>
      </c>
      <c r="H119" s="61">
        <v>1</v>
      </c>
      <c r="I119" s="61"/>
      <c r="J119" s="61"/>
      <c r="K119" s="61"/>
      <c r="L119" s="60"/>
    </row>
    <row r="120" spans="2:12">
      <c r="B120" s="368"/>
      <c r="C120" s="357"/>
      <c r="D120" s="146">
        <v>4</v>
      </c>
      <c r="E120" s="60"/>
      <c r="F120" s="61" t="s">
        <v>125</v>
      </c>
      <c r="G120" s="61">
        <v>1000</v>
      </c>
      <c r="H120" s="61"/>
      <c r="I120" s="61"/>
      <c r="J120" s="61"/>
      <c r="K120" s="61"/>
      <c r="L120" s="60"/>
    </row>
    <row r="121" spans="2:12">
      <c r="B121" s="368"/>
      <c r="C121" s="357"/>
      <c r="D121" s="146">
        <v>5</v>
      </c>
      <c r="E121" s="71" t="s">
        <v>239</v>
      </c>
      <c r="F121" s="61" t="s">
        <v>126</v>
      </c>
      <c r="G121" s="61" t="s">
        <v>240</v>
      </c>
      <c r="H121" s="61">
        <v>1</v>
      </c>
      <c r="I121" s="61"/>
      <c r="J121" s="61"/>
      <c r="K121" s="61"/>
      <c r="L121" s="60"/>
    </row>
    <row r="122" spans="2:12">
      <c r="B122" s="368"/>
      <c r="C122" s="357"/>
      <c r="D122" s="146">
        <v>6</v>
      </c>
      <c r="E122" s="60" t="s">
        <v>818</v>
      </c>
      <c r="F122" s="61" t="s">
        <v>817</v>
      </c>
      <c r="G122" s="61">
        <v>10000</v>
      </c>
      <c r="H122" s="61"/>
      <c r="I122" s="61"/>
      <c r="J122" s="61"/>
      <c r="K122" s="61"/>
      <c r="L122" s="60"/>
    </row>
    <row r="123" spans="2:12">
      <c r="B123" s="368"/>
      <c r="C123" s="357"/>
      <c r="D123" s="146">
        <v>7</v>
      </c>
      <c r="E123" s="60" t="s">
        <v>146</v>
      </c>
      <c r="F123" s="61" t="s">
        <v>123</v>
      </c>
      <c r="G123" s="61"/>
      <c r="H123" s="61"/>
      <c r="I123" s="61"/>
      <c r="J123" s="61"/>
      <c r="K123" s="61"/>
      <c r="L123" s="60"/>
    </row>
    <row r="124" spans="2:12">
      <c r="B124" s="369"/>
      <c r="C124" s="358"/>
      <c r="D124" s="60"/>
      <c r="E124" s="60"/>
      <c r="F124" s="61"/>
      <c r="G124" s="61"/>
      <c r="H124" s="61"/>
      <c r="I124" s="61"/>
      <c r="J124" s="61"/>
      <c r="K124" s="61"/>
      <c r="L124" s="60"/>
    </row>
    <row r="125" spans="2:12">
      <c r="B125" s="367" t="s">
        <v>241</v>
      </c>
      <c r="C125" s="356" t="s">
        <v>1478</v>
      </c>
      <c r="D125" s="60">
        <v>1</v>
      </c>
      <c r="E125" s="60" t="s">
        <v>142</v>
      </c>
      <c r="F125" s="61" t="s">
        <v>122</v>
      </c>
      <c r="G125" s="61"/>
      <c r="H125" s="61"/>
      <c r="I125" s="61"/>
      <c r="J125" s="61"/>
      <c r="K125" s="61"/>
      <c r="L125" s="60"/>
    </row>
    <row r="126" spans="2:12">
      <c r="B126" s="368"/>
      <c r="C126" s="357"/>
      <c r="D126" s="60">
        <v>2</v>
      </c>
      <c r="E126" s="146" t="s">
        <v>1616</v>
      </c>
      <c r="F126" s="61" t="s">
        <v>87</v>
      </c>
      <c r="G126" s="61" t="s">
        <v>1617</v>
      </c>
      <c r="H126" s="61"/>
      <c r="I126" s="61"/>
      <c r="J126" s="61"/>
      <c r="K126" s="61"/>
      <c r="L126" s="60"/>
    </row>
    <row r="127" spans="2:12">
      <c r="B127" s="368"/>
      <c r="C127" s="357"/>
      <c r="D127" s="146">
        <v>3</v>
      </c>
      <c r="E127" s="71" t="s">
        <v>36</v>
      </c>
      <c r="F127" s="61" t="s">
        <v>126</v>
      </c>
      <c r="G127" s="61" t="s">
        <v>238</v>
      </c>
      <c r="H127" s="61">
        <v>1</v>
      </c>
      <c r="I127" s="61"/>
      <c r="J127" s="61"/>
      <c r="K127" s="61"/>
      <c r="L127" s="60"/>
    </row>
    <row r="128" spans="2:12">
      <c r="B128" s="368"/>
      <c r="C128" s="357"/>
      <c r="D128" s="146">
        <v>4</v>
      </c>
      <c r="E128" s="60"/>
      <c r="F128" s="61" t="s">
        <v>125</v>
      </c>
      <c r="G128" s="61">
        <v>1000</v>
      </c>
      <c r="H128" s="61"/>
      <c r="I128" s="61"/>
      <c r="J128" s="61"/>
      <c r="K128" s="61"/>
      <c r="L128" s="60"/>
    </row>
    <row r="129" spans="2:12">
      <c r="B129" s="368"/>
      <c r="C129" s="357"/>
      <c r="D129" s="146">
        <v>5</v>
      </c>
      <c r="E129" s="71" t="s">
        <v>242</v>
      </c>
      <c r="F129" s="61" t="s">
        <v>126</v>
      </c>
      <c r="G129" s="61" t="s">
        <v>243</v>
      </c>
      <c r="H129" s="61">
        <v>1</v>
      </c>
      <c r="I129" s="61"/>
      <c r="J129" s="61"/>
      <c r="K129" s="61"/>
      <c r="L129" s="60"/>
    </row>
    <row r="130" spans="2:12">
      <c r="B130" s="368"/>
      <c r="C130" s="357"/>
      <c r="D130" s="146">
        <v>6</v>
      </c>
      <c r="E130" s="60" t="s">
        <v>818</v>
      </c>
      <c r="F130" s="61" t="s">
        <v>817</v>
      </c>
      <c r="G130" s="61">
        <v>10000</v>
      </c>
      <c r="H130" s="61"/>
      <c r="I130" s="61"/>
      <c r="J130" s="61"/>
      <c r="K130" s="61"/>
      <c r="L130" s="60"/>
    </row>
    <row r="131" spans="2:12">
      <c r="B131" s="368"/>
      <c r="C131" s="357"/>
      <c r="D131" s="146">
        <v>7</v>
      </c>
      <c r="E131" s="60" t="s">
        <v>146</v>
      </c>
      <c r="F131" s="61" t="s">
        <v>123</v>
      </c>
      <c r="G131" s="61"/>
      <c r="H131" s="61"/>
      <c r="I131" s="61"/>
      <c r="J131" s="61"/>
      <c r="K131" s="61"/>
      <c r="L131" s="60"/>
    </row>
    <row r="132" spans="2:12">
      <c r="B132" s="369"/>
      <c r="C132" s="358"/>
      <c r="D132" s="60"/>
      <c r="E132" s="60"/>
      <c r="F132" s="61"/>
      <c r="G132" s="61"/>
      <c r="H132" s="61"/>
      <c r="I132" s="61"/>
      <c r="J132" s="61"/>
      <c r="K132" s="61"/>
      <c r="L132" s="60"/>
    </row>
    <row r="133" spans="2:12">
      <c r="B133" s="367" t="s">
        <v>244</v>
      </c>
      <c r="C133" s="356" t="s">
        <v>1478</v>
      </c>
      <c r="D133" s="60">
        <v>1</v>
      </c>
      <c r="E133" s="60" t="s">
        <v>142</v>
      </c>
      <c r="F133" s="61" t="s">
        <v>122</v>
      </c>
      <c r="G133" s="61"/>
      <c r="H133" s="61"/>
      <c r="I133" s="61"/>
      <c r="J133" s="61"/>
      <c r="K133" s="61"/>
      <c r="L133" s="60"/>
    </row>
    <row r="134" spans="2:12">
      <c r="B134" s="368"/>
      <c r="C134" s="357"/>
      <c r="D134" s="60">
        <v>2</v>
      </c>
      <c r="E134" s="146" t="s">
        <v>1616</v>
      </c>
      <c r="F134" s="61" t="s">
        <v>87</v>
      </c>
      <c r="G134" s="61" t="s">
        <v>1617</v>
      </c>
      <c r="H134" s="61"/>
      <c r="I134" s="61"/>
      <c r="J134" s="61"/>
      <c r="K134" s="61"/>
      <c r="L134" s="60"/>
    </row>
    <row r="135" spans="2:12">
      <c r="B135" s="368"/>
      <c r="C135" s="357"/>
      <c r="D135" s="146">
        <v>3</v>
      </c>
      <c r="E135" s="71" t="s">
        <v>36</v>
      </c>
      <c r="F135" s="61" t="s">
        <v>126</v>
      </c>
      <c r="G135" s="61" t="s">
        <v>238</v>
      </c>
      <c r="H135" s="61">
        <v>1</v>
      </c>
      <c r="I135" s="61"/>
      <c r="J135" s="61"/>
      <c r="K135" s="61"/>
      <c r="L135" s="60"/>
    </row>
    <row r="136" spans="2:12">
      <c r="B136" s="368"/>
      <c r="C136" s="357"/>
      <c r="D136" s="146">
        <v>4</v>
      </c>
      <c r="E136" s="60"/>
      <c r="F136" s="61" t="s">
        <v>125</v>
      </c>
      <c r="G136" s="61">
        <v>1000</v>
      </c>
      <c r="H136" s="61"/>
      <c r="I136" s="61"/>
      <c r="J136" s="61"/>
      <c r="K136" s="61"/>
      <c r="L136" s="60"/>
    </row>
    <row r="137" spans="2:12">
      <c r="B137" s="368"/>
      <c r="C137" s="357"/>
      <c r="D137" s="146">
        <v>5</v>
      </c>
      <c r="E137" s="71" t="s">
        <v>245</v>
      </c>
      <c r="F137" s="61" t="s">
        <v>126</v>
      </c>
      <c r="G137" s="61">
        <v>1</v>
      </c>
      <c r="H137" s="61">
        <v>1</v>
      </c>
      <c r="I137" s="61"/>
      <c r="J137" s="61"/>
      <c r="K137" s="61"/>
      <c r="L137" s="60"/>
    </row>
    <row r="138" spans="2:12">
      <c r="B138" s="368"/>
      <c r="C138" s="357"/>
      <c r="D138" s="146">
        <v>6</v>
      </c>
      <c r="E138" s="60" t="s">
        <v>818</v>
      </c>
      <c r="F138" s="61" t="s">
        <v>817</v>
      </c>
      <c r="G138" s="61">
        <v>10000</v>
      </c>
      <c r="H138" s="61"/>
      <c r="I138" s="61"/>
      <c r="J138" s="61"/>
      <c r="K138" s="61"/>
      <c r="L138" s="60"/>
    </row>
    <row r="139" spans="2:12">
      <c r="B139" s="368"/>
      <c r="C139" s="357"/>
      <c r="D139" s="146">
        <v>7</v>
      </c>
      <c r="E139" s="60" t="s">
        <v>146</v>
      </c>
      <c r="F139" s="61" t="s">
        <v>123</v>
      </c>
      <c r="G139" s="61"/>
      <c r="H139" s="61"/>
      <c r="I139" s="61"/>
      <c r="J139" s="61"/>
      <c r="K139" s="61"/>
      <c r="L139" s="60"/>
    </row>
    <row r="140" spans="2:12">
      <c r="B140" s="369"/>
      <c r="C140" s="358"/>
      <c r="D140" s="60"/>
      <c r="E140" s="60"/>
      <c r="F140" s="61"/>
      <c r="G140" s="61"/>
      <c r="H140" s="61"/>
      <c r="I140" s="61"/>
      <c r="J140" s="61"/>
      <c r="K140" s="61"/>
      <c r="L140" s="60"/>
    </row>
    <row r="141" spans="2:12">
      <c r="B141" s="367" t="s">
        <v>246</v>
      </c>
      <c r="C141" s="356" t="s">
        <v>1478</v>
      </c>
      <c r="D141" s="60">
        <v>1</v>
      </c>
      <c r="E141" s="60" t="s">
        <v>142</v>
      </c>
      <c r="F141" s="61" t="s">
        <v>122</v>
      </c>
      <c r="G141" s="61"/>
      <c r="H141" s="61"/>
      <c r="I141" s="61"/>
      <c r="J141" s="61"/>
      <c r="K141" s="61"/>
      <c r="L141" s="60"/>
    </row>
    <row r="142" spans="2:12">
      <c r="B142" s="368"/>
      <c r="C142" s="357"/>
      <c r="D142" s="60">
        <v>2</v>
      </c>
      <c r="E142" s="146" t="s">
        <v>1616</v>
      </c>
      <c r="F142" s="61" t="s">
        <v>87</v>
      </c>
      <c r="G142" s="61" t="s">
        <v>1617</v>
      </c>
      <c r="H142" s="61"/>
      <c r="I142" s="61"/>
      <c r="J142" s="61"/>
      <c r="K142" s="61"/>
      <c r="L142" s="60"/>
    </row>
    <row r="143" spans="2:12">
      <c r="B143" s="368"/>
      <c r="C143" s="357"/>
      <c r="D143" s="146">
        <v>3</v>
      </c>
      <c r="E143" s="71" t="s">
        <v>36</v>
      </c>
      <c r="F143" s="61" t="s">
        <v>126</v>
      </c>
      <c r="G143" s="61">
        <v>1</v>
      </c>
      <c r="H143" s="61" t="s">
        <v>192</v>
      </c>
      <c r="I143" s="61"/>
      <c r="J143" s="61"/>
      <c r="K143" s="61"/>
      <c r="L143" s="60"/>
    </row>
    <row r="144" spans="2:12">
      <c r="B144" s="368"/>
      <c r="C144" s="357"/>
      <c r="D144" s="146">
        <v>4</v>
      </c>
      <c r="E144" s="60"/>
      <c r="F144" s="61" t="s">
        <v>125</v>
      </c>
      <c r="G144" s="61">
        <v>1000</v>
      </c>
      <c r="H144" s="61"/>
      <c r="I144" s="61"/>
      <c r="J144" s="61"/>
      <c r="K144" s="61"/>
      <c r="L144" s="60"/>
    </row>
    <row r="145" spans="2:12">
      <c r="B145" s="368"/>
      <c r="C145" s="357"/>
      <c r="D145" s="146">
        <v>5</v>
      </c>
      <c r="E145" s="71" t="s">
        <v>247</v>
      </c>
      <c r="F145" s="61" t="s">
        <v>126</v>
      </c>
      <c r="G145" s="61">
        <v>1</v>
      </c>
      <c r="H145" s="61" t="s">
        <v>248</v>
      </c>
      <c r="I145" s="61"/>
      <c r="J145" s="61"/>
      <c r="K145" s="61"/>
      <c r="L145" s="60"/>
    </row>
    <row r="146" spans="2:12">
      <c r="B146" s="368"/>
      <c r="C146" s="357"/>
      <c r="D146" s="146">
        <v>6</v>
      </c>
      <c r="E146" s="60" t="s">
        <v>818</v>
      </c>
      <c r="F146" s="61" t="s">
        <v>817</v>
      </c>
      <c r="G146" s="61">
        <v>10000</v>
      </c>
      <c r="H146" s="61"/>
      <c r="I146" s="61"/>
      <c r="J146" s="61"/>
      <c r="K146" s="61"/>
      <c r="L146" s="60"/>
    </row>
    <row r="147" spans="2:12">
      <c r="B147" s="368"/>
      <c r="C147" s="357"/>
      <c r="D147" s="146">
        <v>7</v>
      </c>
      <c r="E147" s="60" t="s">
        <v>146</v>
      </c>
      <c r="F147" s="61" t="s">
        <v>123</v>
      </c>
      <c r="G147" s="61"/>
      <c r="H147" s="61"/>
      <c r="I147" s="61"/>
      <c r="J147" s="61"/>
      <c r="K147" s="61"/>
      <c r="L147" s="60"/>
    </row>
    <row r="148" spans="2:12">
      <c r="B148" s="369"/>
      <c r="C148" s="358"/>
      <c r="D148" s="60"/>
      <c r="E148" s="60"/>
      <c r="F148" s="61"/>
      <c r="G148" s="61"/>
      <c r="H148" s="61"/>
      <c r="I148" s="61"/>
      <c r="J148" s="61"/>
      <c r="K148" s="61"/>
      <c r="L148" s="60"/>
    </row>
    <row r="149" spans="2:12">
      <c r="B149" s="367" t="s">
        <v>249</v>
      </c>
      <c r="C149" s="356" t="s">
        <v>1478</v>
      </c>
      <c r="D149" s="60">
        <v>1</v>
      </c>
      <c r="E149" s="60" t="s">
        <v>142</v>
      </c>
      <c r="F149" s="61" t="s">
        <v>122</v>
      </c>
      <c r="G149" s="61"/>
      <c r="H149" s="61"/>
      <c r="I149" s="61"/>
      <c r="J149" s="61"/>
      <c r="K149" s="61"/>
      <c r="L149" s="60"/>
    </row>
    <row r="150" spans="2:12">
      <c r="B150" s="368"/>
      <c r="C150" s="357"/>
      <c r="D150" s="60">
        <v>2</v>
      </c>
      <c r="E150" s="146" t="s">
        <v>1616</v>
      </c>
      <c r="F150" s="61" t="s">
        <v>87</v>
      </c>
      <c r="G150" s="61" t="s">
        <v>1617</v>
      </c>
      <c r="H150" s="61"/>
      <c r="I150" s="61"/>
      <c r="J150" s="61"/>
      <c r="K150" s="61"/>
      <c r="L150" s="60"/>
    </row>
    <row r="151" spans="2:12">
      <c r="B151" s="368"/>
      <c r="C151" s="357"/>
      <c r="D151" s="147">
        <v>3</v>
      </c>
      <c r="E151" s="71" t="s">
        <v>36</v>
      </c>
      <c r="F151" s="61" t="s">
        <v>126</v>
      </c>
      <c r="G151" s="61">
        <v>1</v>
      </c>
      <c r="H151" s="61" t="s">
        <v>192</v>
      </c>
      <c r="I151" s="61"/>
      <c r="J151" s="61"/>
      <c r="K151" s="61"/>
      <c r="L151" s="60"/>
    </row>
    <row r="152" spans="2:12">
      <c r="B152" s="368"/>
      <c r="C152" s="357"/>
      <c r="D152" s="147">
        <v>4</v>
      </c>
      <c r="E152" s="60"/>
      <c r="F152" s="61" t="s">
        <v>125</v>
      </c>
      <c r="G152" s="61">
        <v>1000</v>
      </c>
      <c r="H152" s="61"/>
      <c r="I152" s="61"/>
      <c r="J152" s="61"/>
      <c r="K152" s="61"/>
      <c r="L152" s="60"/>
    </row>
    <row r="153" spans="2:12">
      <c r="B153" s="368"/>
      <c r="C153" s="357"/>
      <c r="D153" s="147">
        <v>5</v>
      </c>
      <c r="E153" s="71" t="s">
        <v>250</v>
      </c>
      <c r="F153" s="61" t="s">
        <v>126</v>
      </c>
      <c r="G153" s="61">
        <v>1</v>
      </c>
      <c r="H153" s="61" t="s">
        <v>251</v>
      </c>
      <c r="I153" s="61"/>
      <c r="J153" s="61"/>
      <c r="K153" s="61"/>
      <c r="L153" s="60"/>
    </row>
    <row r="154" spans="2:12">
      <c r="B154" s="368"/>
      <c r="C154" s="357"/>
      <c r="D154" s="147">
        <v>6</v>
      </c>
      <c r="E154" s="60" t="s">
        <v>818</v>
      </c>
      <c r="F154" s="61" t="s">
        <v>817</v>
      </c>
      <c r="G154" s="61">
        <v>10000</v>
      </c>
      <c r="H154" s="61"/>
      <c r="I154" s="61"/>
      <c r="J154" s="61"/>
      <c r="K154" s="61"/>
      <c r="L154" s="60"/>
    </row>
    <row r="155" spans="2:12">
      <c r="B155" s="368"/>
      <c r="C155" s="357"/>
      <c r="D155" s="147">
        <v>7</v>
      </c>
      <c r="E155" s="60" t="s">
        <v>146</v>
      </c>
      <c r="F155" s="61" t="s">
        <v>123</v>
      </c>
      <c r="G155" s="61"/>
      <c r="H155" s="61"/>
      <c r="I155" s="61"/>
      <c r="J155" s="61"/>
      <c r="K155" s="61"/>
      <c r="L155" s="60"/>
    </row>
    <row r="156" spans="2:12">
      <c r="B156" s="369"/>
      <c r="C156" s="358"/>
      <c r="D156" s="60"/>
      <c r="E156" s="60"/>
      <c r="F156" s="61"/>
      <c r="G156" s="61"/>
      <c r="H156" s="61"/>
      <c r="I156" s="61"/>
      <c r="J156" s="61"/>
      <c r="K156" s="61"/>
      <c r="L156" s="60"/>
    </row>
    <row r="157" spans="2:12">
      <c r="B157" s="367" t="s">
        <v>252</v>
      </c>
      <c r="C157" s="356" t="s">
        <v>1478</v>
      </c>
      <c r="D157" s="60">
        <v>1</v>
      </c>
      <c r="E157" s="60" t="s">
        <v>142</v>
      </c>
      <c r="F157" s="61" t="s">
        <v>122</v>
      </c>
      <c r="G157" s="61"/>
      <c r="H157" s="61"/>
      <c r="I157" s="61"/>
      <c r="J157" s="61"/>
      <c r="K157" s="61"/>
      <c r="L157" s="60"/>
    </row>
    <row r="158" spans="2:12">
      <c r="B158" s="368"/>
      <c r="C158" s="357"/>
      <c r="D158" s="60">
        <v>2</v>
      </c>
      <c r="E158" s="146" t="s">
        <v>1616</v>
      </c>
      <c r="F158" s="61" t="s">
        <v>87</v>
      </c>
      <c r="G158" s="61" t="s">
        <v>1617</v>
      </c>
      <c r="H158" s="61"/>
      <c r="I158" s="61"/>
      <c r="J158" s="61"/>
      <c r="K158" s="61"/>
      <c r="L158" s="60"/>
    </row>
    <row r="159" spans="2:12">
      <c r="B159" s="368"/>
      <c r="C159" s="357"/>
      <c r="D159" s="146">
        <v>3</v>
      </c>
      <c r="E159" s="71" t="s">
        <v>36</v>
      </c>
      <c r="F159" s="61" t="s">
        <v>126</v>
      </c>
      <c r="G159" s="61">
        <v>1</v>
      </c>
      <c r="H159" s="61" t="s">
        <v>192</v>
      </c>
      <c r="I159" s="61"/>
      <c r="J159" s="61"/>
      <c r="K159" s="61"/>
      <c r="L159" s="60"/>
    </row>
    <row r="160" spans="2:12">
      <c r="B160" s="368"/>
      <c r="C160" s="357"/>
      <c r="D160" s="146">
        <v>4</v>
      </c>
      <c r="E160" s="60"/>
      <c r="F160" s="61" t="s">
        <v>125</v>
      </c>
      <c r="G160" s="61">
        <v>1000</v>
      </c>
      <c r="H160" s="61"/>
      <c r="I160" s="61"/>
      <c r="J160" s="61"/>
      <c r="K160" s="61"/>
      <c r="L160" s="60"/>
    </row>
    <row r="161" spans="2:12">
      <c r="B161" s="368"/>
      <c r="C161" s="357"/>
      <c r="D161" s="146">
        <v>5</v>
      </c>
      <c r="E161" s="71" t="s">
        <v>253</v>
      </c>
      <c r="F161" s="61" t="s">
        <v>126</v>
      </c>
      <c r="G161" s="61">
        <v>1</v>
      </c>
      <c r="H161" s="61">
        <v>1</v>
      </c>
      <c r="I161" s="61"/>
      <c r="J161" s="61"/>
      <c r="K161" s="61"/>
      <c r="L161" s="60"/>
    </row>
    <row r="162" spans="2:12">
      <c r="B162" s="368"/>
      <c r="C162" s="357"/>
      <c r="D162" s="146">
        <v>6</v>
      </c>
      <c r="E162" s="60" t="s">
        <v>818</v>
      </c>
      <c r="F162" s="61" t="s">
        <v>817</v>
      </c>
      <c r="G162" s="61">
        <v>10000</v>
      </c>
      <c r="H162" s="61"/>
      <c r="I162" s="61"/>
      <c r="J162" s="61"/>
      <c r="K162" s="61"/>
      <c r="L162" s="60"/>
    </row>
    <row r="163" spans="2:12">
      <c r="B163" s="368"/>
      <c r="C163" s="357"/>
      <c r="D163" s="146">
        <v>7</v>
      </c>
      <c r="E163" s="60" t="s">
        <v>146</v>
      </c>
      <c r="F163" s="61" t="s">
        <v>123</v>
      </c>
      <c r="G163" s="61"/>
      <c r="H163" s="61"/>
      <c r="I163" s="61"/>
      <c r="J163" s="61"/>
      <c r="K163" s="61"/>
      <c r="L163" s="60"/>
    </row>
    <row r="164" spans="2:12">
      <c r="B164" s="369"/>
      <c r="C164" s="358"/>
      <c r="D164" s="60"/>
      <c r="E164" s="60"/>
      <c r="F164" s="61"/>
      <c r="G164" s="61"/>
      <c r="H164" s="61"/>
      <c r="I164" s="61"/>
      <c r="J164" s="61"/>
      <c r="K164" s="61"/>
      <c r="L164" s="60"/>
    </row>
    <row r="165" spans="2:12">
      <c r="B165" s="367" t="s">
        <v>254</v>
      </c>
      <c r="C165" s="356" t="s">
        <v>1478</v>
      </c>
      <c r="D165" s="60">
        <v>1</v>
      </c>
      <c r="E165" s="60" t="s">
        <v>142</v>
      </c>
      <c r="F165" s="61" t="s">
        <v>122</v>
      </c>
      <c r="G165" s="61"/>
      <c r="H165" s="61"/>
      <c r="I165" s="61"/>
      <c r="J165" s="61"/>
      <c r="K165" s="61"/>
      <c r="L165" s="60"/>
    </row>
    <row r="166" spans="2:12">
      <c r="B166" s="368"/>
      <c r="C166" s="357"/>
      <c r="D166" s="60">
        <v>2</v>
      </c>
      <c r="E166" s="146" t="s">
        <v>1616</v>
      </c>
      <c r="F166" s="61" t="s">
        <v>87</v>
      </c>
      <c r="G166" s="61" t="s">
        <v>1617</v>
      </c>
      <c r="H166" s="61"/>
      <c r="I166" s="61"/>
      <c r="J166" s="61"/>
      <c r="K166" s="61"/>
      <c r="L166" s="60"/>
    </row>
    <row r="167" spans="2:12">
      <c r="B167" s="368"/>
      <c r="C167" s="357"/>
      <c r="D167" s="146">
        <v>3</v>
      </c>
      <c r="E167" s="71" t="s">
        <v>36</v>
      </c>
      <c r="F167" s="61" t="s">
        <v>126</v>
      </c>
      <c r="G167" s="61">
        <v>1</v>
      </c>
      <c r="H167" s="61" t="s">
        <v>248</v>
      </c>
      <c r="I167" s="61"/>
      <c r="J167" s="61"/>
      <c r="K167" s="61"/>
      <c r="L167" s="60"/>
    </row>
    <row r="168" spans="2:12">
      <c r="B168" s="368"/>
      <c r="C168" s="357"/>
      <c r="D168" s="146">
        <v>4</v>
      </c>
      <c r="E168" s="60"/>
      <c r="F168" s="61" t="s">
        <v>125</v>
      </c>
      <c r="G168" s="61">
        <v>1000</v>
      </c>
      <c r="H168" s="61"/>
      <c r="I168" s="61"/>
      <c r="J168" s="61"/>
      <c r="K168" s="61"/>
      <c r="L168" s="60"/>
    </row>
    <row r="169" spans="2:12">
      <c r="B169" s="368"/>
      <c r="C169" s="357"/>
      <c r="D169" s="146">
        <v>5</v>
      </c>
      <c r="E169" s="71" t="s">
        <v>247</v>
      </c>
      <c r="F169" s="61" t="s">
        <v>126</v>
      </c>
      <c r="G169" s="61">
        <v>1</v>
      </c>
      <c r="H169" s="61" t="s">
        <v>251</v>
      </c>
      <c r="I169" s="61"/>
      <c r="J169" s="61"/>
      <c r="K169" s="61"/>
      <c r="L169" s="60"/>
    </row>
    <row r="170" spans="2:12">
      <c r="B170" s="368"/>
      <c r="C170" s="357"/>
      <c r="D170" s="146">
        <v>6</v>
      </c>
      <c r="E170" s="60" t="s">
        <v>818</v>
      </c>
      <c r="F170" s="61" t="s">
        <v>817</v>
      </c>
      <c r="G170" s="61">
        <v>10000</v>
      </c>
      <c r="H170" s="61"/>
      <c r="I170" s="61"/>
      <c r="J170" s="61"/>
      <c r="K170" s="61"/>
      <c r="L170" s="60"/>
    </row>
    <row r="171" spans="2:12">
      <c r="B171" s="368"/>
      <c r="C171" s="357"/>
      <c r="D171" s="146">
        <v>7</v>
      </c>
      <c r="E171" s="60" t="s">
        <v>146</v>
      </c>
      <c r="F171" s="61" t="s">
        <v>123</v>
      </c>
      <c r="G171" s="61"/>
      <c r="H171" s="61"/>
      <c r="I171" s="61"/>
      <c r="J171" s="61"/>
      <c r="K171" s="61"/>
      <c r="L171" s="60"/>
    </row>
    <row r="172" spans="2:12">
      <c r="B172" s="369"/>
      <c r="C172" s="358"/>
      <c r="D172" s="60"/>
      <c r="E172" s="60"/>
      <c r="F172" s="61"/>
      <c r="G172" s="61"/>
      <c r="H172" s="61"/>
      <c r="I172" s="61"/>
      <c r="J172" s="61"/>
      <c r="K172" s="61"/>
      <c r="L172" s="60"/>
    </row>
    <row r="173" spans="2:12">
      <c r="B173" s="367" t="s">
        <v>255</v>
      </c>
      <c r="C173" s="356" t="s">
        <v>1478</v>
      </c>
      <c r="D173" s="60">
        <v>1</v>
      </c>
      <c r="E173" s="60" t="s">
        <v>142</v>
      </c>
      <c r="F173" s="61" t="s">
        <v>122</v>
      </c>
      <c r="G173" s="61"/>
      <c r="H173" s="61"/>
      <c r="I173" s="61"/>
      <c r="J173" s="61"/>
      <c r="K173" s="61"/>
      <c r="L173" s="60"/>
    </row>
    <row r="174" spans="2:12">
      <c r="B174" s="368"/>
      <c r="C174" s="357"/>
      <c r="D174" s="60">
        <v>2</v>
      </c>
      <c r="E174" s="146" t="s">
        <v>1616</v>
      </c>
      <c r="F174" s="61" t="s">
        <v>87</v>
      </c>
      <c r="G174" s="61" t="s">
        <v>1617</v>
      </c>
      <c r="H174" s="61"/>
      <c r="I174" s="61"/>
      <c r="J174" s="61"/>
      <c r="K174" s="61"/>
      <c r="L174" s="60"/>
    </row>
    <row r="175" spans="2:12">
      <c r="B175" s="368"/>
      <c r="C175" s="357"/>
      <c r="D175" s="146">
        <v>3</v>
      </c>
      <c r="E175" s="71" t="s">
        <v>36</v>
      </c>
      <c r="F175" s="61" t="s">
        <v>126</v>
      </c>
      <c r="G175" s="61">
        <v>1</v>
      </c>
      <c r="H175" s="61" t="s">
        <v>248</v>
      </c>
      <c r="I175" s="61"/>
      <c r="J175" s="61"/>
      <c r="K175" s="61"/>
      <c r="L175" s="60"/>
    </row>
    <row r="176" spans="2:12">
      <c r="B176" s="368"/>
      <c r="C176" s="357"/>
      <c r="D176" s="146">
        <v>4</v>
      </c>
      <c r="E176" s="60"/>
      <c r="F176" s="61" t="s">
        <v>125</v>
      </c>
      <c r="G176" s="61">
        <v>1000</v>
      </c>
      <c r="H176" s="61"/>
      <c r="I176" s="61"/>
      <c r="J176" s="61"/>
      <c r="K176" s="61"/>
      <c r="L176" s="60"/>
    </row>
    <row r="177" spans="2:12">
      <c r="B177" s="368"/>
      <c r="C177" s="357"/>
      <c r="D177" s="146">
        <v>5</v>
      </c>
      <c r="E177" s="71" t="s">
        <v>250</v>
      </c>
      <c r="F177" s="61" t="s">
        <v>126</v>
      </c>
      <c r="G177" s="61">
        <v>1</v>
      </c>
      <c r="H177" s="61" t="s">
        <v>256</v>
      </c>
      <c r="I177" s="61"/>
      <c r="J177" s="61"/>
      <c r="K177" s="61"/>
      <c r="L177" s="60"/>
    </row>
    <row r="178" spans="2:12">
      <c r="B178" s="368"/>
      <c r="C178" s="357"/>
      <c r="D178" s="146">
        <v>6</v>
      </c>
      <c r="E178" s="60" t="s">
        <v>818</v>
      </c>
      <c r="F178" s="61" t="s">
        <v>817</v>
      </c>
      <c r="G178" s="61">
        <v>10000</v>
      </c>
      <c r="H178" s="61"/>
      <c r="I178" s="61"/>
      <c r="J178" s="61"/>
      <c r="K178" s="61"/>
      <c r="L178" s="60"/>
    </row>
    <row r="179" spans="2:12">
      <c r="B179" s="368"/>
      <c r="C179" s="357"/>
      <c r="D179" s="146">
        <v>7</v>
      </c>
      <c r="E179" s="60" t="s">
        <v>146</v>
      </c>
      <c r="F179" s="61" t="s">
        <v>123</v>
      </c>
      <c r="G179" s="61"/>
      <c r="H179" s="61"/>
      <c r="I179" s="61"/>
      <c r="J179" s="61"/>
      <c r="K179" s="61"/>
      <c r="L179" s="60"/>
    </row>
    <row r="180" spans="2:12">
      <c r="B180" s="369"/>
      <c r="C180" s="358"/>
      <c r="D180" s="60"/>
      <c r="E180" s="60"/>
      <c r="F180" s="61"/>
      <c r="G180" s="61"/>
      <c r="H180" s="61"/>
      <c r="I180" s="61"/>
      <c r="J180" s="61"/>
      <c r="K180" s="61"/>
      <c r="L180" s="60"/>
    </row>
    <row r="181" spans="2:12">
      <c r="B181" s="367" t="s">
        <v>257</v>
      </c>
      <c r="C181" s="356" t="s">
        <v>1478</v>
      </c>
      <c r="D181" s="60">
        <v>1</v>
      </c>
      <c r="E181" s="60" t="s">
        <v>142</v>
      </c>
      <c r="F181" s="61" t="s">
        <v>122</v>
      </c>
      <c r="G181" s="61"/>
      <c r="H181" s="61"/>
      <c r="I181" s="61"/>
      <c r="J181" s="61"/>
      <c r="K181" s="61"/>
      <c r="L181" s="60"/>
    </row>
    <row r="182" spans="2:12">
      <c r="B182" s="368"/>
      <c r="C182" s="357"/>
      <c r="D182" s="60">
        <v>2</v>
      </c>
      <c r="E182" s="146" t="s">
        <v>1616</v>
      </c>
      <c r="F182" s="61" t="s">
        <v>87</v>
      </c>
      <c r="G182" s="61" t="s">
        <v>1617</v>
      </c>
      <c r="H182" s="61"/>
      <c r="I182" s="61"/>
      <c r="J182" s="61"/>
      <c r="K182" s="61"/>
      <c r="L182" s="60"/>
    </row>
    <row r="183" spans="2:12">
      <c r="B183" s="368"/>
      <c r="C183" s="357"/>
      <c r="D183" s="146">
        <v>3</v>
      </c>
      <c r="E183" s="71" t="s">
        <v>36</v>
      </c>
      <c r="F183" s="61" t="s">
        <v>126</v>
      </c>
      <c r="G183" s="61">
        <v>1</v>
      </c>
      <c r="H183" s="61" t="s">
        <v>248</v>
      </c>
      <c r="I183" s="61"/>
      <c r="J183" s="61"/>
      <c r="K183" s="61"/>
      <c r="L183" s="60"/>
    </row>
    <row r="184" spans="2:12">
      <c r="B184" s="368"/>
      <c r="C184" s="357"/>
      <c r="D184" s="146">
        <v>4</v>
      </c>
      <c r="E184" s="60"/>
      <c r="F184" s="61" t="s">
        <v>125</v>
      </c>
      <c r="G184" s="61">
        <v>1000</v>
      </c>
      <c r="H184" s="61"/>
      <c r="I184" s="61"/>
      <c r="J184" s="61"/>
      <c r="K184" s="61"/>
      <c r="L184" s="60"/>
    </row>
    <row r="185" spans="2:12">
      <c r="B185" s="368"/>
      <c r="C185" s="357"/>
      <c r="D185" s="146">
        <v>5</v>
      </c>
      <c r="E185" s="71" t="s">
        <v>253</v>
      </c>
      <c r="F185" s="61" t="s">
        <v>126</v>
      </c>
      <c r="G185" s="61">
        <v>1</v>
      </c>
      <c r="H185" s="61">
        <v>1</v>
      </c>
      <c r="I185" s="61"/>
      <c r="J185" s="61"/>
      <c r="K185" s="61"/>
      <c r="L185" s="60"/>
    </row>
    <row r="186" spans="2:12">
      <c r="B186" s="368"/>
      <c r="C186" s="357"/>
      <c r="D186" s="146">
        <v>6</v>
      </c>
      <c r="E186" s="60" t="s">
        <v>818</v>
      </c>
      <c r="F186" s="61" t="s">
        <v>817</v>
      </c>
      <c r="G186" s="61">
        <v>10000</v>
      </c>
      <c r="H186" s="61"/>
      <c r="I186" s="61"/>
      <c r="J186" s="61"/>
      <c r="K186" s="61"/>
      <c r="L186" s="60"/>
    </row>
    <row r="187" spans="2:12">
      <c r="B187" s="368"/>
      <c r="C187" s="357"/>
      <c r="D187" s="146">
        <v>7</v>
      </c>
      <c r="E187" s="60" t="s">
        <v>146</v>
      </c>
      <c r="F187" s="61" t="s">
        <v>123</v>
      </c>
      <c r="G187" s="61"/>
      <c r="H187" s="61"/>
      <c r="I187" s="61"/>
      <c r="J187" s="61"/>
      <c r="K187" s="61"/>
      <c r="L187" s="60"/>
    </row>
    <row r="188" spans="2:12">
      <c r="B188" s="369"/>
      <c r="C188" s="358"/>
      <c r="D188" s="60"/>
      <c r="E188" s="60"/>
      <c r="F188" s="61"/>
      <c r="G188" s="61"/>
      <c r="H188" s="61"/>
      <c r="I188" s="61"/>
      <c r="J188" s="61"/>
      <c r="K188" s="61"/>
      <c r="L188" s="60"/>
    </row>
    <row r="189" spans="2:12">
      <c r="B189" s="367" t="s">
        <v>258</v>
      </c>
      <c r="C189" s="356" t="s">
        <v>1478</v>
      </c>
      <c r="D189" s="60">
        <v>1</v>
      </c>
      <c r="E189" s="60" t="s">
        <v>142</v>
      </c>
      <c r="F189" s="61" t="s">
        <v>122</v>
      </c>
      <c r="G189" s="61"/>
      <c r="H189" s="61"/>
      <c r="I189" s="61"/>
      <c r="J189" s="61"/>
      <c r="K189" s="61"/>
      <c r="L189" s="60"/>
    </row>
    <row r="190" spans="2:12">
      <c r="B190" s="368"/>
      <c r="C190" s="357"/>
      <c r="D190" s="60">
        <v>2</v>
      </c>
      <c r="E190" s="146" t="s">
        <v>1616</v>
      </c>
      <c r="F190" s="61" t="s">
        <v>87</v>
      </c>
      <c r="G190" s="61" t="s">
        <v>1617</v>
      </c>
      <c r="H190" s="61"/>
      <c r="I190" s="61"/>
      <c r="J190" s="61"/>
      <c r="K190" s="61"/>
      <c r="L190" s="60"/>
    </row>
    <row r="191" spans="2:12">
      <c r="B191" s="368"/>
      <c r="C191" s="357"/>
      <c r="D191" s="146">
        <v>3</v>
      </c>
      <c r="E191" s="60" t="s">
        <v>172</v>
      </c>
      <c r="F191" s="61" t="s">
        <v>173</v>
      </c>
      <c r="G191" s="61">
        <v>1</v>
      </c>
      <c r="H191" s="61">
        <v>1</v>
      </c>
      <c r="I191" s="61">
        <v>3</v>
      </c>
      <c r="J191" s="61"/>
      <c r="K191" s="61"/>
      <c r="L191" s="60"/>
    </row>
    <row r="192" spans="2:12">
      <c r="B192" s="368"/>
      <c r="C192" s="357"/>
      <c r="D192" s="146">
        <v>4</v>
      </c>
      <c r="E192" s="60" t="s">
        <v>259</v>
      </c>
      <c r="F192" s="61" t="s">
        <v>126</v>
      </c>
      <c r="G192" s="61">
        <v>2</v>
      </c>
      <c r="H192" s="61">
        <v>3</v>
      </c>
      <c r="I192" s="61"/>
      <c r="J192" s="61"/>
      <c r="K192" s="61"/>
      <c r="L192" s="60"/>
    </row>
    <row r="193" spans="2:12">
      <c r="B193" s="368"/>
      <c r="C193" s="357"/>
      <c r="D193" s="146">
        <v>5</v>
      </c>
      <c r="E193" s="60" t="s">
        <v>818</v>
      </c>
      <c r="F193" s="61" t="s">
        <v>817</v>
      </c>
      <c r="G193" s="61">
        <v>10000</v>
      </c>
      <c r="H193" s="61"/>
      <c r="I193" s="61"/>
      <c r="J193" s="61"/>
      <c r="K193" s="61"/>
      <c r="L193" s="60"/>
    </row>
    <row r="194" spans="2:12">
      <c r="B194" s="368"/>
      <c r="C194" s="357"/>
      <c r="D194" s="146">
        <v>6</v>
      </c>
      <c r="E194" s="60" t="s">
        <v>146</v>
      </c>
      <c r="F194" s="61" t="s">
        <v>123</v>
      </c>
      <c r="G194" s="61"/>
      <c r="H194" s="61"/>
      <c r="I194" s="61"/>
      <c r="J194" s="61"/>
      <c r="K194" s="61"/>
      <c r="L194" s="60"/>
    </row>
    <row r="195" spans="2:12">
      <c r="B195" s="369"/>
      <c r="C195" s="358"/>
      <c r="D195" s="60"/>
      <c r="E195" s="60"/>
      <c r="F195" s="61"/>
      <c r="G195" s="61"/>
      <c r="H195" s="61"/>
      <c r="I195" s="61"/>
      <c r="J195" s="61"/>
      <c r="K195" s="61"/>
      <c r="L195" s="60"/>
    </row>
    <row r="196" spans="2:12">
      <c r="B196" s="367" t="s">
        <v>260</v>
      </c>
      <c r="C196" s="356" t="s">
        <v>1478</v>
      </c>
      <c r="D196" s="60">
        <v>1</v>
      </c>
      <c r="E196" s="60" t="s">
        <v>142</v>
      </c>
      <c r="F196" s="61" t="s">
        <v>122</v>
      </c>
      <c r="G196" s="61"/>
      <c r="H196" s="61"/>
      <c r="I196" s="61"/>
      <c r="J196" s="61"/>
      <c r="K196" s="61"/>
      <c r="L196" s="60"/>
    </row>
    <row r="197" spans="2:12">
      <c r="B197" s="368"/>
      <c r="C197" s="357"/>
      <c r="D197" s="60">
        <v>2</v>
      </c>
      <c r="E197" s="146" t="s">
        <v>1616</v>
      </c>
      <c r="F197" s="61" t="s">
        <v>87</v>
      </c>
      <c r="G197" s="61" t="s">
        <v>1617</v>
      </c>
      <c r="H197" s="61"/>
      <c r="I197" s="61"/>
      <c r="J197" s="61"/>
      <c r="K197" s="61"/>
      <c r="L197" s="60"/>
    </row>
    <row r="198" spans="2:12">
      <c r="B198" s="368"/>
      <c r="C198" s="357"/>
      <c r="D198" s="146">
        <v>3</v>
      </c>
      <c r="E198" s="60" t="s">
        <v>172</v>
      </c>
      <c r="F198" s="61" t="s">
        <v>173</v>
      </c>
      <c r="G198" s="61">
        <v>1</v>
      </c>
      <c r="H198" s="61">
        <v>3</v>
      </c>
      <c r="I198" s="61">
        <v>3</v>
      </c>
      <c r="J198" s="61"/>
      <c r="K198" s="61"/>
      <c r="L198" s="60"/>
    </row>
    <row r="199" spans="2:12">
      <c r="B199" s="368"/>
      <c r="C199" s="357"/>
      <c r="D199" s="146">
        <v>4</v>
      </c>
      <c r="E199" s="60" t="s">
        <v>234</v>
      </c>
      <c r="F199" s="61" t="s">
        <v>126</v>
      </c>
      <c r="G199" s="61">
        <v>2</v>
      </c>
      <c r="H199" s="61">
        <v>3</v>
      </c>
      <c r="I199" s="61"/>
      <c r="J199" s="61"/>
      <c r="K199" s="61"/>
      <c r="L199" s="60"/>
    </row>
    <row r="200" spans="2:12">
      <c r="B200" s="368"/>
      <c r="C200" s="357"/>
      <c r="D200" s="146">
        <v>5</v>
      </c>
      <c r="E200" s="60" t="s">
        <v>818</v>
      </c>
      <c r="F200" s="61" t="s">
        <v>817</v>
      </c>
      <c r="G200" s="61">
        <v>10000</v>
      </c>
      <c r="H200" s="61"/>
      <c r="I200" s="61"/>
      <c r="J200" s="61"/>
      <c r="K200" s="61"/>
      <c r="L200" s="60"/>
    </row>
    <row r="201" spans="2:12">
      <c r="B201" s="368"/>
      <c r="C201" s="357"/>
      <c r="D201" s="146">
        <v>6</v>
      </c>
      <c r="E201" s="60" t="s">
        <v>146</v>
      </c>
      <c r="F201" s="61" t="s">
        <v>123</v>
      </c>
      <c r="G201" s="61"/>
      <c r="H201" s="61"/>
      <c r="I201" s="61"/>
      <c r="J201" s="61"/>
      <c r="K201" s="61"/>
      <c r="L201" s="60"/>
    </row>
    <row r="202" spans="2:12">
      <c r="B202" s="369"/>
      <c r="C202" s="358"/>
      <c r="D202" s="60"/>
      <c r="E202" s="60"/>
      <c r="F202" s="61"/>
      <c r="G202" s="61"/>
      <c r="H202" s="61"/>
      <c r="I202" s="61"/>
      <c r="J202" s="61"/>
      <c r="K202" s="61"/>
      <c r="L202" s="60"/>
    </row>
    <row r="203" spans="2:12">
      <c r="B203" s="367" t="s">
        <v>261</v>
      </c>
      <c r="C203" s="356" t="s">
        <v>1478</v>
      </c>
      <c r="D203" s="60">
        <v>1</v>
      </c>
      <c r="E203" s="60" t="s">
        <v>142</v>
      </c>
      <c r="F203" s="61" t="s">
        <v>122</v>
      </c>
      <c r="G203" s="61"/>
      <c r="H203" s="61"/>
      <c r="I203" s="61"/>
      <c r="J203" s="61"/>
      <c r="K203" s="61"/>
      <c r="L203" s="60"/>
    </row>
    <row r="204" spans="2:12">
      <c r="B204" s="368"/>
      <c r="C204" s="357"/>
      <c r="D204" s="60">
        <v>2</v>
      </c>
      <c r="E204" s="146" t="s">
        <v>1616</v>
      </c>
      <c r="F204" s="61" t="s">
        <v>87</v>
      </c>
      <c r="G204" s="61" t="s">
        <v>1617</v>
      </c>
      <c r="H204" s="61"/>
      <c r="I204" s="61"/>
      <c r="J204" s="61"/>
      <c r="K204" s="61"/>
      <c r="L204" s="60"/>
    </row>
    <row r="205" spans="2:12">
      <c r="B205" s="368"/>
      <c r="C205" s="357"/>
      <c r="D205" s="146">
        <v>3</v>
      </c>
      <c r="E205" s="60" t="s">
        <v>172</v>
      </c>
      <c r="F205" s="61" t="s">
        <v>173</v>
      </c>
      <c r="G205" s="61">
        <v>1</v>
      </c>
      <c r="H205" s="61">
        <v>2</v>
      </c>
      <c r="I205" s="61">
        <v>2</v>
      </c>
      <c r="J205" s="61"/>
      <c r="K205" s="61"/>
      <c r="L205" s="60"/>
    </row>
    <row r="206" spans="2:12">
      <c r="B206" s="368"/>
      <c r="C206" s="357"/>
      <c r="D206" s="146">
        <v>4</v>
      </c>
      <c r="E206" s="60" t="s">
        <v>234</v>
      </c>
      <c r="F206" s="61" t="s">
        <v>126</v>
      </c>
      <c r="G206" s="61">
        <v>2</v>
      </c>
      <c r="H206" s="61">
        <v>3</v>
      </c>
      <c r="I206" s="61"/>
      <c r="J206" s="61"/>
      <c r="K206" s="61"/>
      <c r="L206" s="60"/>
    </row>
    <row r="207" spans="2:12">
      <c r="B207" s="368"/>
      <c r="C207" s="357"/>
      <c r="D207" s="146">
        <v>5</v>
      </c>
      <c r="E207" s="60" t="s">
        <v>818</v>
      </c>
      <c r="F207" s="61" t="s">
        <v>817</v>
      </c>
      <c r="G207" s="61">
        <v>10000</v>
      </c>
      <c r="H207" s="61"/>
      <c r="I207" s="61"/>
      <c r="J207" s="61"/>
      <c r="K207" s="61"/>
      <c r="L207" s="60"/>
    </row>
    <row r="208" spans="2:12">
      <c r="B208" s="368"/>
      <c r="C208" s="357"/>
      <c r="D208" s="146">
        <v>6</v>
      </c>
      <c r="E208" s="60" t="s">
        <v>146</v>
      </c>
      <c r="F208" s="61" t="s">
        <v>123</v>
      </c>
      <c r="G208" s="61"/>
      <c r="H208" s="61"/>
      <c r="I208" s="61"/>
      <c r="J208" s="61"/>
      <c r="K208" s="61"/>
      <c r="L208" s="60"/>
    </row>
    <row r="209" spans="2:12">
      <c r="B209" s="369"/>
      <c r="C209" s="358"/>
      <c r="D209" s="60"/>
      <c r="E209" s="60"/>
      <c r="F209" s="61"/>
      <c r="G209" s="61"/>
      <c r="H209" s="61"/>
      <c r="I209" s="61"/>
      <c r="J209" s="61"/>
      <c r="K209" s="61"/>
      <c r="L209" s="60"/>
    </row>
    <row r="210" spans="2:12">
      <c r="B210" s="367" t="s">
        <v>262</v>
      </c>
      <c r="C210" s="356" t="s">
        <v>1478</v>
      </c>
      <c r="D210" s="60">
        <v>1</v>
      </c>
      <c r="E210" s="60" t="s">
        <v>142</v>
      </c>
      <c r="F210" s="61" t="s">
        <v>122</v>
      </c>
      <c r="G210" s="61"/>
      <c r="H210" s="61"/>
      <c r="I210" s="61"/>
      <c r="J210" s="61"/>
      <c r="K210" s="61"/>
      <c r="L210" s="60"/>
    </row>
    <row r="211" spans="2:12">
      <c r="B211" s="368"/>
      <c r="C211" s="357"/>
      <c r="D211" s="60">
        <v>2</v>
      </c>
      <c r="E211" s="146" t="s">
        <v>1616</v>
      </c>
      <c r="F211" s="61" t="s">
        <v>87</v>
      </c>
      <c r="G211" s="61" t="s">
        <v>1617</v>
      </c>
      <c r="H211" s="61"/>
      <c r="I211" s="61"/>
      <c r="J211" s="61"/>
      <c r="K211" s="61"/>
      <c r="L211" s="60"/>
    </row>
    <row r="212" spans="2:12">
      <c r="B212" s="368"/>
      <c r="C212" s="357"/>
      <c r="D212" s="146">
        <v>3</v>
      </c>
      <c r="E212" s="60" t="s">
        <v>172</v>
      </c>
      <c r="F212" s="61" t="s">
        <v>173</v>
      </c>
      <c r="G212" s="61">
        <v>1</v>
      </c>
      <c r="H212" s="61">
        <v>2</v>
      </c>
      <c r="I212" s="61">
        <v>4</v>
      </c>
      <c r="J212" s="61"/>
      <c r="K212" s="61"/>
      <c r="L212" s="60"/>
    </row>
    <row r="213" spans="2:12">
      <c r="B213" s="368"/>
      <c r="C213" s="357"/>
      <c r="D213" s="146">
        <v>4</v>
      </c>
      <c r="E213" s="60" t="s">
        <v>234</v>
      </c>
      <c r="F213" s="61" t="s">
        <v>126</v>
      </c>
      <c r="G213" s="61">
        <v>2</v>
      </c>
      <c r="H213" s="61">
        <v>3</v>
      </c>
      <c r="I213" s="61"/>
      <c r="J213" s="61"/>
      <c r="K213" s="61"/>
      <c r="L213" s="60"/>
    </row>
    <row r="214" spans="2:12">
      <c r="B214" s="368"/>
      <c r="C214" s="357"/>
      <c r="D214" s="146">
        <v>5</v>
      </c>
      <c r="E214" s="60" t="s">
        <v>818</v>
      </c>
      <c r="F214" s="61" t="s">
        <v>817</v>
      </c>
      <c r="G214" s="61">
        <v>10000</v>
      </c>
      <c r="H214" s="61"/>
      <c r="I214" s="61"/>
      <c r="J214" s="61"/>
      <c r="K214" s="61"/>
      <c r="L214" s="60"/>
    </row>
    <row r="215" spans="2:12">
      <c r="B215" s="368"/>
      <c r="C215" s="357"/>
      <c r="D215" s="146">
        <v>6</v>
      </c>
      <c r="E215" s="60" t="s">
        <v>146</v>
      </c>
      <c r="F215" s="61" t="s">
        <v>123</v>
      </c>
      <c r="G215" s="61"/>
      <c r="H215" s="61"/>
      <c r="I215" s="61"/>
      <c r="J215" s="61"/>
      <c r="K215" s="61"/>
      <c r="L215" s="60"/>
    </row>
    <row r="216" spans="2:12">
      <c r="B216" s="369"/>
      <c r="C216" s="358"/>
      <c r="D216" s="60"/>
      <c r="E216" s="60"/>
      <c r="F216" s="61"/>
      <c r="G216" s="61"/>
      <c r="H216" s="61"/>
      <c r="I216" s="61"/>
      <c r="J216" s="61"/>
      <c r="K216" s="61"/>
      <c r="L216" s="60"/>
    </row>
    <row r="217" spans="2:12">
      <c r="B217" s="367" t="s">
        <v>263</v>
      </c>
      <c r="C217" s="356" t="s">
        <v>1478</v>
      </c>
      <c r="D217" s="60">
        <v>1</v>
      </c>
      <c r="E217" s="60" t="s">
        <v>142</v>
      </c>
      <c r="F217" s="61" t="s">
        <v>122</v>
      </c>
      <c r="G217" s="61"/>
      <c r="H217" s="61"/>
      <c r="I217" s="61"/>
      <c r="J217" s="61"/>
      <c r="K217" s="61"/>
      <c r="L217" s="60"/>
    </row>
    <row r="218" spans="2:12">
      <c r="B218" s="368"/>
      <c r="C218" s="357"/>
      <c r="D218" s="146">
        <v>2</v>
      </c>
      <c r="E218" s="60" t="s">
        <v>172</v>
      </c>
      <c r="F218" s="61" t="s">
        <v>173</v>
      </c>
      <c r="G218" s="61">
        <v>0</v>
      </c>
      <c r="H218" s="61" t="s">
        <v>174</v>
      </c>
      <c r="I218" s="61"/>
      <c r="J218" s="61"/>
      <c r="K218" s="61"/>
      <c r="L218" s="60"/>
    </row>
    <row r="219" spans="2:12">
      <c r="B219" s="368"/>
      <c r="C219" s="357"/>
      <c r="D219" s="146">
        <v>3</v>
      </c>
      <c r="E219" s="60" t="s">
        <v>234</v>
      </c>
      <c r="F219" s="61" t="s">
        <v>126</v>
      </c>
      <c r="G219" s="61" t="s">
        <v>1096</v>
      </c>
      <c r="H219" s="61">
        <v>1</v>
      </c>
      <c r="I219" s="61"/>
      <c r="J219" s="61"/>
      <c r="K219" s="61"/>
      <c r="L219" s="60"/>
    </row>
    <row r="220" spans="2:12">
      <c r="B220" s="368"/>
      <c r="C220" s="357"/>
      <c r="D220" s="146">
        <v>4</v>
      </c>
      <c r="E220" s="60"/>
      <c r="F220" s="61" t="s">
        <v>125</v>
      </c>
      <c r="G220" s="61">
        <v>100</v>
      </c>
      <c r="H220" s="61"/>
      <c r="I220" s="61"/>
      <c r="J220" s="61"/>
      <c r="K220" s="61"/>
      <c r="L220" s="60"/>
    </row>
    <row r="221" spans="2:12">
      <c r="B221" s="368"/>
      <c r="C221" s="357"/>
      <c r="D221" s="146">
        <v>5</v>
      </c>
      <c r="E221" s="60" t="s">
        <v>172</v>
      </c>
      <c r="F221" s="61" t="s">
        <v>173</v>
      </c>
      <c r="G221" s="61">
        <v>0</v>
      </c>
      <c r="H221" s="61" t="s">
        <v>174</v>
      </c>
      <c r="I221" s="61"/>
      <c r="J221" s="61"/>
      <c r="K221" s="61"/>
      <c r="L221" s="60"/>
    </row>
    <row r="222" spans="2:12">
      <c r="B222" s="368"/>
      <c r="C222" s="357"/>
      <c r="D222" s="146">
        <v>6</v>
      </c>
      <c r="E222" s="60" t="s">
        <v>234</v>
      </c>
      <c r="F222" s="61" t="s">
        <v>126</v>
      </c>
      <c r="G222" s="61" t="s">
        <v>1093</v>
      </c>
      <c r="H222" s="61">
        <v>1</v>
      </c>
      <c r="I222" s="61"/>
      <c r="J222" s="61"/>
      <c r="K222" s="61"/>
      <c r="L222" s="60"/>
    </row>
    <row r="223" spans="2:12">
      <c r="B223" s="368"/>
      <c r="C223" s="357"/>
      <c r="D223" s="146">
        <v>7</v>
      </c>
      <c r="E223" s="60"/>
      <c r="F223" s="61" t="s">
        <v>125</v>
      </c>
      <c r="G223" s="61">
        <v>100</v>
      </c>
      <c r="H223" s="61"/>
      <c r="I223" s="61"/>
      <c r="J223" s="61"/>
      <c r="K223" s="61"/>
      <c r="L223" s="60"/>
    </row>
    <row r="224" spans="2:12">
      <c r="B224" s="368"/>
      <c r="C224" s="357"/>
      <c r="D224" s="146">
        <v>8</v>
      </c>
      <c r="E224" s="60" t="s">
        <v>172</v>
      </c>
      <c r="F224" s="61" t="s">
        <v>173</v>
      </c>
      <c r="G224" s="61">
        <v>0</v>
      </c>
      <c r="H224" s="61" t="s">
        <v>174</v>
      </c>
      <c r="I224" s="61"/>
      <c r="J224" s="61"/>
      <c r="K224" s="61"/>
      <c r="L224" s="60"/>
    </row>
    <row r="225" spans="2:12">
      <c r="B225" s="368"/>
      <c r="C225" s="357"/>
      <c r="D225" s="146">
        <v>9</v>
      </c>
      <c r="E225" s="60" t="s">
        <v>234</v>
      </c>
      <c r="F225" s="61" t="s">
        <v>126</v>
      </c>
      <c r="G225" s="61">
        <v>15</v>
      </c>
      <c r="H225" s="61">
        <v>1</v>
      </c>
      <c r="I225" s="61"/>
      <c r="J225" s="61"/>
      <c r="K225" s="61"/>
      <c r="L225" s="60"/>
    </row>
    <row r="226" spans="2:12">
      <c r="B226" s="368"/>
      <c r="C226" s="357"/>
      <c r="D226" s="146">
        <v>10</v>
      </c>
      <c r="E226" s="146" t="s">
        <v>1616</v>
      </c>
      <c r="F226" s="61" t="s">
        <v>87</v>
      </c>
      <c r="G226" s="61" t="s">
        <v>1617</v>
      </c>
      <c r="H226" s="61"/>
      <c r="I226" s="61"/>
      <c r="J226" s="61"/>
      <c r="K226" s="61"/>
      <c r="L226" s="60"/>
    </row>
    <row r="227" spans="2:12">
      <c r="B227" s="368"/>
      <c r="C227" s="357"/>
      <c r="D227" s="146">
        <v>11</v>
      </c>
      <c r="E227" s="60" t="s">
        <v>1094</v>
      </c>
      <c r="F227" s="61" t="s">
        <v>87</v>
      </c>
      <c r="G227" s="61" t="s">
        <v>1095</v>
      </c>
      <c r="H227" s="61"/>
      <c r="I227" s="61"/>
      <c r="J227" s="61"/>
      <c r="K227" s="61"/>
      <c r="L227" s="60"/>
    </row>
    <row r="228" spans="2:12">
      <c r="B228" s="368"/>
      <c r="C228" s="357"/>
      <c r="D228" s="146">
        <v>12</v>
      </c>
      <c r="E228" s="60" t="s">
        <v>172</v>
      </c>
      <c r="F228" s="61" t="s">
        <v>173</v>
      </c>
      <c r="G228" s="61">
        <v>0</v>
      </c>
      <c r="H228" s="61" t="s">
        <v>174</v>
      </c>
      <c r="I228" s="61"/>
      <c r="J228" s="61"/>
      <c r="K228" s="61"/>
      <c r="L228" s="60"/>
    </row>
    <row r="229" spans="2:12">
      <c r="B229" s="368"/>
      <c r="C229" s="357"/>
      <c r="D229" s="146">
        <v>13</v>
      </c>
      <c r="E229" s="60" t="s">
        <v>234</v>
      </c>
      <c r="F229" s="61" t="s">
        <v>126</v>
      </c>
      <c r="G229" s="61">
        <v>16</v>
      </c>
      <c r="H229" s="61">
        <v>1</v>
      </c>
      <c r="I229" s="61"/>
      <c r="J229" s="61"/>
      <c r="K229" s="61"/>
      <c r="L229" s="60"/>
    </row>
    <row r="230" spans="2:12">
      <c r="B230" s="368"/>
      <c r="C230" s="357"/>
      <c r="D230" s="146">
        <v>14</v>
      </c>
      <c r="E230" s="60"/>
      <c r="F230" s="61" t="s">
        <v>125</v>
      </c>
      <c r="G230" s="61">
        <v>1000</v>
      </c>
      <c r="H230" s="61"/>
      <c r="I230" s="61"/>
      <c r="J230" s="61"/>
      <c r="K230" s="61"/>
      <c r="L230" s="60"/>
    </row>
    <row r="231" spans="2:12">
      <c r="B231" s="368"/>
      <c r="C231" s="357"/>
      <c r="D231" s="146">
        <v>15</v>
      </c>
      <c r="E231" s="60" t="s">
        <v>172</v>
      </c>
      <c r="F231" s="61" t="s">
        <v>173</v>
      </c>
      <c r="G231" s="61">
        <v>0</v>
      </c>
      <c r="H231" s="61" t="s">
        <v>174</v>
      </c>
      <c r="I231" s="61"/>
      <c r="J231" s="61"/>
      <c r="K231" s="61"/>
      <c r="L231" s="60"/>
    </row>
    <row r="232" spans="2:12">
      <c r="B232" s="368"/>
      <c r="C232" s="357"/>
      <c r="D232" s="146">
        <v>16</v>
      </c>
      <c r="E232" s="60" t="s">
        <v>234</v>
      </c>
      <c r="F232" s="61" t="s">
        <v>126</v>
      </c>
      <c r="G232" s="61">
        <v>16</v>
      </c>
      <c r="H232" s="61">
        <v>2</v>
      </c>
      <c r="I232" s="61"/>
      <c r="J232" s="61"/>
      <c r="K232" s="61"/>
      <c r="L232" s="60"/>
    </row>
    <row r="233" spans="2:12">
      <c r="B233" s="368"/>
      <c r="C233" s="357"/>
      <c r="D233" s="146">
        <v>17</v>
      </c>
      <c r="E233" s="60"/>
      <c r="F233" s="61" t="s">
        <v>125</v>
      </c>
      <c r="G233" s="61">
        <v>1000</v>
      </c>
      <c r="H233" s="61"/>
      <c r="I233" s="61"/>
      <c r="J233" s="61"/>
      <c r="K233" s="61"/>
      <c r="L233" s="60"/>
    </row>
    <row r="234" spans="2:12">
      <c r="B234" s="368"/>
      <c r="C234" s="357"/>
      <c r="D234" s="146">
        <v>18</v>
      </c>
      <c r="E234" s="60" t="s">
        <v>172</v>
      </c>
      <c r="F234" s="61" t="s">
        <v>173</v>
      </c>
      <c r="G234" s="61">
        <v>0</v>
      </c>
      <c r="H234" s="61" t="s">
        <v>174</v>
      </c>
      <c r="I234" s="61"/>
      <c r="J234" s="61"/>
      <c r="K234" s="61"/>
      <c r="L234" s="60"/>
    </row>
    <row r="235" spans="2:12">
      <c r="B235" s="368"/>
      <c r="C235" s="357"/>
      <c r="D235" s="146">
        <v>19</v>
      </c>
      <c r="E235" s="60" t="s">
        <v>234</v>
      </c>
      <c r="F235" s="61" t="s">
        <v>126</v>
      </c>
      <c r="G235" s="61">
        <v>16</v>
      </c>
      <c r="H235" s="61">
        <v>3</v>
      </c>
      <c r="I235" s="61"/>
      <c r="J235" s="61"/>
      <c r="K235" s="61"/>
      <c r="L235" s="60"/>
    </row>
    <row r="236" spans="2:12">
      <c r="B236" s="368"/>
      <c r="C236" s="357"/>
      <c r="D236" s="146">
        <v>20</v>
      </c>
      <c r="E236" s="60" t="s">
        <v>818</v>
      </c>
      <c r="F236" s="61" t="s">
        <v>125</v>
      </c>
      <c r="G236" s="61">
        <v>10000</v>
      </c>
      <c r="H236" s="61"/>
      <c r="I236" s="61"/>
      <c r="J236" s="61"/>
      <c r="K236" s="61"/>
      <c r="L236" s="60"/>
    </row>
    <row r="237" spans="2:12">
      <c r="B237" s="368"/>
      <c r="C237" s="357"/>
      <c r="D237" s="146">
        <v>21</v>
      </c>
      <c r="E237" s="60" t="s">
        <v>146</v>
      </c>
      <c r="F237" s="61" t="s">
        <v>123</v>
      </c>
      <c r="G237" s="61"/>
      <c r="H237" s="61"/>
      <c r="I237" s="61"/>
      <c r="J237" s="61"/>
      <c r="K237" s="61"/>
      <c r="L237" s="60"/>
    </row>
    <row r="238" spans="2:12">
      <c r="B238" s="369"/>
      <c r="C238" s="358"/>
      <c r="D238" s="60"/>
      <c r="E238" s="60"/>
      <c r="F238" s="61"/>
      <c r="G238" s="61"/>
      <c r="H238" s="61"/>
      <c r="I238" s="61"/>
      <c r="J238" s="61"/>
      <c r="K238" s="61"/>
      <c r="L238" s="60"/>
    </row>
    <row r="239" spans="2:12">
      <c r="B239" s="367" t="s">
        <v>264</v>
      </c>
      <c r="C239" s="356" t="s">
        <v>1478</v>
      </c>
      <c r="D239" s="60">
        <v>1</v>
      </c>
      <c r="E239" s="60" t="s">
        <v>142</v>
      </c>
      <c r="F239" s="61" t="s">
        <v>122</v>
      </c>
      <c r="G239" s="61"/>
      <c r="H239" s="61"/>
      <c r="I239" s="61"/>
      <c r="J239" s="61"/>
      <c r="K239" s="61"/>
      <c r="L239" s="60"/>
    </row>
    <row r="240" spans="2:12">
      <c r="B240" s="368"/>
      <c r="C240" s="357"/>
      <c r="D240" s="60">
        <v>2</v>
      </c>
      <c r="E240" s="146" t="s">
        <v>1616</v>
      </c>
      <c r="F240" s="61" t="s">
        <v>87</v>
      </c>
      <c r="G240" s="61" t="s">
        <v>1617</v>
      </c>
      <c r="H240" s="61"/>
      <c r="I240" s="61"/>
      <c r="J240" s="61"/>
      <c r="K240" s="61"/>
      <c r="L240" s="60"/>
    </row>
    <row r="241" spans="2:12">
      <c r="B241" s="368"/>
      <c r="C241" s="357"/>
      <c r="D241" s="146">
        <v>3</v>
      </c>
      <c r="E241" s="60" t="s">
        <v>36</v>
      </c>
      <c r="F241" s="61" t="s">
        <v>126</v>
      </c>
      <c r="G241" s="61">
        <v>1</v>
      </c>
      <c r="H241" s="61">
        <v>1</v>
      </c>
      <c r="I241" s="61"/>
      <c r="J241" s="61"/>
      <c r="K241" s="61"/>
      <c r="L241" s="60"/>
    </row>
    <row r="242" spans="2:12">
      <c r="B242" s="368"/>
      <c r="C242" s="357"/>
      <c r="D242" s="146">
        <v>4</v>
      </c>
      <c r="E242" s="60" t="s">
        <v>818</v>
      </c>
      <c r="F242" s="61" t="s">
        <v>817</v>
      </c>
      <c r="G242" s="61">
        <v>10000</v>
      </c>
      <c r="H242" s="61"/>
      <c r="I242" s="61"/>
      <c r="J242" s="61"/>
      <c r="K242" s="61"/>
      <c r="L242" s="60"/>
    </row>
    <row r="243" spans="2:12">
      <c r="B243" s="368"/>
      <c r="C243" s="357"/>
      <c r="D243" s="146">
        <v>5</v>
      </c>
      <c r="E243" s="60" t="s">
        <v>146</v>
      </c>
      <c r="F243" s="61" t="s">
        <v>123</v>
      </c>
      <c r="G243" s="61"/>
      <c r="H243" s="61"/>
      <c r="I243" s="61"/>
      <c r="J243" s="61"/>
      <c r="K243" s="61"/>
      <c r="L243" s="60"/>
    </row>
    <row r="244" spans="2:12">
      <c r="B244" s="369"/>
      <c r="C244" s="358"/>
      <c r="D244" s="60"/>
      <c r="E244" s="60"/>
      <c r="F244" s="61"/>
      <c r="G244" s="61"/>
      <c r="H244" s="61"/>
      <c r="I244" s="61"/>
      <c r="J244" s="61"/>
      <c r="K244" s="61"/>
      <c r="L244" s="60"/>
    </row>
    <row r="245" spans="2:12">
      <c r="B245" s="367" t="s">
        <v>265</v>
      </c>
      <c r="C245" s="356" t="s">
        <v>1478</v>
      </c>
      <c r="D245" s="60">
        <v>1</v>
      </c>
      <c r="E245" s="60" t="s">
        <v>142</v>
      </c>
      <c r="F245" s="61" t="s">
        <v>122</v>
      </c>
      <c r="G245" s="61"/>
      <c r="H245" s="61"/>
      <c r="I245" s="61"/>
      <c r="J245" s="61"/>
      <c r="K245" s="61"/>
      <c r="L245" s="60"/>
    </row>
    <row r="246" spans="2:12">
      <c r="B246" s="368"/>
      <c r="C246" s="357"/>
      <c r="D246" s="60">
        <v>2</v>
      </c>
      <c r="E246" s="146" t="s">
        <v>1616</v>
      </c>
      <c r="F246" s="61" t="s">
        <v>87</v>
      </c>
      <c r="G246" s="61" t="s">
        <v>1617</v>
      </c>
      <c r="H246" s="61"/>
      <c r="I246" s="61"/>
      <c r="J246" s="61"/>
      <c r="K246" s="61"/>
      <c r="L246" s="60"/>
    </row>
    <row r="247" spans="2:12">
      <c r="B247" s="368"/>
      <c r="C247" s="357"/>
      <c r="D247" s="146">
        <v>3</v>
      </c>
      <c r="E247" s="60" t="s">
        <v>36</v>
      </c>
      <c r="F247" s="61" t="s">
        <v>126</v>
      </c>
      <c r="G247" s="61">
        <v>0</v>
      </c>
      <c r="H247" s="61">
        <v>1</v>
      </c>
      <c r="I247" s="61"/>
      <c r="J247" s="61"/>
      <c r="K247" s="61"/>
      <c r="L247" s="60"/>
    </row>
    <row r="248" spans="2:12">
      <c r="B248" s="368"/>
      <c r="C248" s="357"/>
      <c r="D248" s="146">
        <v>4</v>
      </c>
      <c r="E248" s="60" t="s">
        <v>818</v>
      </c>
      <c r="F248" s="61" t="s">
        <v>817</v>
      </c>
      <c r="G248" s="61">
        <v>10000</v>
      </c>
      <c r="H248" s="61"/>
      <c r="I248" s="61"/>
      <c r="J248" s="61"/>
      <c r="K248" s="61"/>
      <c r="L248" s="60"/>
    </row>
    <row r="249" spans="2:12">
      <c r="B249" s="368"/>
      <c r="C249" s="357"/>
      <c r="D249" s="146">
        <v>5</v>
      </c>
      <c r="E249" s="60" t="s">
        <v>146</v>
      </c>
      <c r="F249" s="61" t="s">
        <v>123</v>
      </c>
      <c r="G249" s="61"/>
      <c r="H249" s="61"/>
      <c r="I249" s="61"/>
      <c r="J249" s="61"/>
      <c r="K249" s="61"/>
      <c r="L249" s="60"/>
    </row>
    <row r="250" spans="2:12">
      <c r="B250" s="369"/>
      <c r="C250" s="358"/>
      <c r="D250" s="60"/>
      <c r="E250" s="60"/>
      <c r="F250" s="61"/>
      <c r="G250" s="61"/>
      <c r="H250" s="61"/>
      <c r="I250" s="61"/>
      <c r="J250" s="61"/>
      <c r="K250" s="61"/>
      <c r="L250" s="60"/>
    </row>
    <row r="251" spans="2:12">
      <c r="B251" s="367" t="s">
        <v>266</v>
      </c>
      <c r="C251" s="356" t="s">
        <v>1478</v>
      </c>
      <c r="D251" s="60">
        <v>1</v>
      </c>
      <c r="E251" s="60" t="s">
        <v>142</v>
      </c>
      <c r="F251" s="61" t="s">
        <v>122</v>
      </c>
      <c r="G251" s="61"/>
      <c r="H251" s="61"/>
      <c r="I251" s="61"/>
      <c r="J251" s="61"/>
      <c r="K251" s="61"/>
      <c r="L251" s="60"/>
    </row>
    <row r="252" spans="2:12">
      <c r="B252" s="368"/>
      <c r="C252" s="357"/>
      <c r="D252" s="60">
        <v>2</v>
      </c>
      <c r="E252" s="146" t="s">
        <v>1616</v>
      </c>
      <c r="F252" s="61" t="s">
        <v>87</v>
      </c>
      <c r="G252" s="61" t="s">
        <v>1617</v>
      </c>
      <c r="H252" s="61"/>
      <c r="I252" s="61"/>
      <c r="J252" s="61"/>
      <c r="K252" s="61"/>
      <c r="L252" s="60"/>
    </row>
    <row r="253" spans="2:12">
      <c r="B253" s="368"/>
      <c r="C253" s="357"/>
      <c r="D253" s="146">
        <v>3</v>
      </c>
      <c r="E253" s="60" t="s">
        <v>36</v>
      </c>
      <c r="F253" s="61" t="s">
        <v>126</v>
      </c>
      <c r="G253" s="61">
        <v>1</v>
      </c>
      <c r="H253" s="61">
        <v>0</v>
      </c>
      <c r="I253" s="61"/>
      <c r="J253" s="61"/>
      <c r="K253" s="61"/>
      <c r="L253" s="60"/>
    </row>
    <row r="254" spans="2:12">
      <c r="B254" s="368"/>
      <c r="C254" s="357"/>
      <c r="D254" s="146">
        <v>4</v>
      </c>
      <c r="E254" s="60" t="s">
        <v>818</v>
      </c>
      <c r="F254" s="61" t="s">
        <v>817</v>
      </c>
      <c r="G254" s="61">
        <v>10000</v>
      </c>
      <c r="H254" s="61"/>
      <c r="I254" s="61"/>
      <c r="J254" s="61"/>
      <c r="K254" s="61"/>
      <c r="L254" s="60"/>
    </row>
    <row r="255" spans="2:12">
      <c r="B255" s="368"/>
      <c r="C255" s="357"/>
      <c r="D255" s="146">
        <v>5</v>
      </c>
      <c r="E255" s="60" t="s">
        <v>146</v>
      </c>
      <c r="F255" s="61" t="s">
        <v>123</v>
      </c>
      <c r="G255" s="61"/>
      <c r="H255" s="61"/>
      <c r="I255" s="61"/>
      <c r="J255" s="61"/>
      <c r="K255" s="61"/>
      <c r="L255" s="60"/>
    </row>
    <row r="256" spans="2:12">
      <c r="B256" s="369"/>
      <c r="C256" s="358"/>
      <c r="D256" s="60"/>
      <c r="E256" s="60"/>
      <c r="F256" s="61"/>
      <c r="G256" s="61"/>
      <c r="H256" s="61"/>
      <c r="I256" s="61"/>
      <c r="J256" s="61"/>
      <c r="K256" s="61"/>
      <c r="L256" s="60"/>
    </row>
    <row r="257" spans="2:12">
      <c r="B257" s="367" t="s">
        <v>267</v>
      </c>
      <c r="C257" s="356" t="s">
        <v>1478</v>
      </c>
      <c r="D257" s="60">
        <v>1</v>
      </c>
      <c r="E257" s="60" t="s">
        <v>142</v>
      </c>
      <c r="F257" s="61" t="s">
        <v>122</v>
      </c>
      <c r="G257" s="61"/>
      <c r="H257" s="61"/>
      <c r="I257" s="61"/>
      <c r="J257" s="61"/>
      <c r="K257" s="61"/>
      <c r="L257" s="60"/>
    </row>
    <row r="258" spans="2:12">
      <c r="B258" s="368"/>
      <c r="C258" s="357"/>
      <c r="D258" s="60">
        <v>2</v>
      </c>
      <c r="E258" s="146" t="s">
        <v>1616</v>
      </c>
      <c r="F258" s="61" t="s">
        <v>87</v>
      </c>
      <c r="G258" s="61" t="s">
        <v>1617</v>
      </c>
      <c r="H258" s="61"/>
      <c r="I258" s="61"/>
      <c r="J258" s="61"/>
      <c r="K258" s="61"/>
      <c r="L258" s="60"/>
    </row>
    <row r="259" spans="2:12">
      <c r="B259" s="368"/>
      <c r="C259" s="357"/>
      <c r="D259" s="146">
        <v>3</v>
      </c>
      <c r="E259" s="60" t="s">
        <v>36</v>
      </c>
      <c r="F259" s="61" t="s">
        <v>126</v>
      </c>
      <c r="G259" s="61">
        <v>0</v>
      </c>
      <c r="H259" s="61">
        <v>0</v>
      </c>
      <c r="I259" s="61"/>
      <c r="J259" s="61"/>
      <c r="K259" s="61"/>
      <c r="L259" s="60"/>
    </row>
    <row r="260" spans="2:12">
      <c r="B260" s="368"/>
      <c r="C260" s="357"/>
      <c r="D260" s="146">
        <v>4</v>
      </c>
      <c r="E260" s="60" t="s">
        <v>818</v>
      </c>
      <c r="F260" s="61" t="s">
        <v>817</v>
      </c>
      <c r="G260" s="61">
        <v>10000</v>
      </c>
      <c r="H260" s="61"/>
      <c r="I260" s="61"/>
      <c r="J260" s="61"/>
      <c r="K260" s="61"/>
      <c r="L260" s="60"/>
    </row>
    <row r="261" spans="2:12">
      <c r="B261" s="368"/>
      <c r="C261" s="357"/>
      <c r="D261" s="146">
        <v>5</v>
      </c>
      <c r="E261" s="60" t="s">
        <v>146</v>
      </c>
      <c r="F261" s="61" t="s">
        <v>123</v>
      </c>
      <c r="G261" s="61"/>
      <c r="H261" s="61"/>
      <c r="I261" s="61"/>
      <c r="J261" s="61"/>
      <c r="K261" s="61"/>
      <c r="L261" s="60"/>
    </row>
    <row r="262" spans="2:12">
      <c r="B262" s="369"/>
      <c r="C262" s="358"/>
      <c r="D262" s="60"/>
      <c r="E262" s="60"/>
      <c r="F262" s="61"/>
      <c r="G262" s="61"/>
      <c r="H262" s="61"/>
      <c r="I262" s="61"/>
      <c r="J262" s="61"/>
      <c r="K262" s="61"/>
      <c r="L262" s="60"/>
    </row>
    <row r="263" spans="2:12">
      <c r="B263" s="367" t="s">
        <v>268</v>
      </c>
      <c r="C263" s="356" t="s">
        <v>1478</v>
      </c>
      <c r="D263" s="60">
        <v>1</v>
      </c>
      <c r="E263" s="60" t="s">
        <v>142</v>
      </c>
      <c r="F263" s="61" t="s">
        <v>122</v>
      </c>
      <c r="G263" s="61"/>
      <c r="H263" s="61"/>
      <c r="I263" s="61"/>
      <c r="J263" s="61"/>
      <c r="K263" s="61"/>
      <c r="L263" s="60"/>
    </row>
    <row r="264" spans="2:12">
      <c r="B264" s="368"/>
      <c r="C264" s="357"/>
      <c r="D264" s="60">
        <v>2</v>
      </c>
      <c r="E264" s="146" t="s">
        <v>1616</v>
      </c>
      <c r="F264" s="61" t="s">
        <v>87</v>
      </c>
      <c r="G264" s="61" t="s">
        <v>1617</v>
      </c>
      <c r="H264" s="61"/>
      <c r="I264" s="61"/>
      <c r="J264" s="61"/>
      <c r="K264" s="61"/>
      <c r="L264" s="60"/>
    </row>
    <row r="265" spans="2:12">
      <c r="B265" s="368"/>
      <c r="C265" s="357"/>
      <c r="D265" s="146">
        <v>3</v>
      </c>
      <c r="E265" s="60" t="s">
        <v>36</v>
      </c>
      <c r="F265" s="61" t="s">
        <v>126</v>
      </c>
      <c r="G265" s="61">
        <v>1</v>
      </c>
      <c r="H265" s="61">
        <v>1</v>
      </c>
      <c r="I265" s="61"/>
      <c r="J265" s="61"/>
      <c r="K265" s="61"/>
      <c r="L265" s="60"/>
    </row>
    <row r="266" spans="2:12">
      <c r="B266" s="368"/>
      <c r="C266" s="357"/>
      <c r="D266" s="146">
        <v>4</v>
      </c>
      <c r="E266" s="60" t="s">
        <v>1098</v>
      </c>
      <c r="F266" s="61" t="s">
        <v>1097</v>
      </c>
      <c r="G266" s="61" t="s">
        <v>1577</v>
      </c>
      <c r="H266" s="61"/>
      <c r="I266" s="61"/>
      <c r="J266" s="61"/>
      <c r="K266" s="61"/>
      <c r="L266" s="60"/>
    </row>
    <row r="267" spans="2:12">
      <c r="B267" s="368"/>
      <c r="C267" s="357"/>
      <c r="D267" s="146">
        <v>5</v>
      </c>
      <c r="E267" s="60" t="s">
        <v>1618</v>
      </c>
      <c r="F267" s="61" t="s">
        <v>87</v>
      </c>
      <c r="G267" s="61" t="s">
        <v>1619</v>
      </c>
      <c r="H267" s="61"/>
      <c r="I267" s="61"/>
      <c r="J267" s="61"/>
      <c r="K267" s="61"/>
      <c r="L267" s="60"/>
    </row>
    <row r="268" spans="2:12">
      <c r="B268" s="368"/>
      <c r="C268" s="357"/>
      <c r="D268" s="146">
        <v>6</v>
      </c>
      <c r="E268" s="60" t="s">
        <v>36</v>
      </c>
      <c r="F268" s="61" t="s">
        <v>126</v>
      </c>
      <c r="G268" s="61">
        <v>1</v>
      </c>
      <c r="H268" s="61">
        <v>0</v>
      </c>
      <c r="I268" s="61"/>
      <c r="J268" s="61"/>
      <c r="K268" s="61"/>
      <c r="L268" s="60"/>
    </row>
    <row r="269" spans="2:12">
      <c r="B269" s="368"/>
      <c r="C269" s="357"/>
      <c r="D269" s="146">
        <v>7</v>
      </c>
      <c r="E269" s="60" t="s">
        <v>818</v>
      </c>
      <c r="F269" s="61" t="s">
        <v>817</v>
      </c>
      <c r="G269" s="61">
        <v>10000</v>
      </c>
      <c r="H269" s="61"/>
      <c r="I269" s="61"/>
      <c r="J269" s="61"/>
      <c r="K269" s="61"/>
      <c r="L269" s="60"/>
    </row>
    <row r="270" spans="2:12">
      <c r="B270" s="368"/>
      <c r="C270" s="357"/>
      <c r="D270" s="146">
        <v>8</v>
      </c>
      <c r="E270" s="60" t="s">
        <v>146</v>
      </c>
      <c r="F270" s="61" t="s">
        <v>123</v>
      </c>
      <c r="G270" s="61"/>
      <c r="H270" s="61"/>
      <c r="I270" s="61"/>
      <c r="J270" s="61"/>
      <c r="K270" s="61"/>
      <c r="L270" s="60"/>
    </row>
    <row r="271" spans="2:12">
      <c r="B271" s="369"/>
      <c r="C271" s="358"/>
      <c r="D271" s="60"/>
      <c r="E271" s="60"/>
      <c r="F271" s="61"/>
      <c r="G271" s="61"/>
      <c r="H271" s="61"/>
      <c r="I271" s="61"/>
      <c r="J271" s="61"/>
      <c r="K271" s="61"/>
      <c r="L271" s="60"/>
    </row>
    <row r="272" spans="2:12">
      <c r="B272" s="367" t="s">
        <v>269</v>
      </c>
      <c r="C272" s="356" t="s">
        <v>1478</v>
      </c>
      <c r="D272" s="60">
        <v>1</v>
      </c>
      <c r="E272" s="60" t="s">
        <v>142</v>
      </c>
      <c r="F272" s="61" t="s">
        <v>122</v>
      </c>
      <c r="G272" s="61"/>
      <c r="H272" s="61"/>
      <c r="I272" s="61"/>
      <c r="J272" s="61"/>
      <c r="K272" s="61"/>
      <c r="L272" s="60"/>
    </row>
    <row r="273" spans="2:12">
      <c r="B273" s="368"/>
      <c r="C273" s="357"/>
      <c r="D273" s="60">
        <v>2</v>
      </c>
      <c r="E273" s="146" t="s">
        <v>1616</v>
      </c>
      <c r="F273" s="61" t="s">
        <v>87</v>
      </c>
      <c r="G273" s="61" t="s">
        <v>1617</v>
      </c>
      <c r="H273" s="61"/>
      <c r="I273" s="61"/>
      <c r="J273" s="61"/>
      <c r="K273" s="61"/>
      <c r="L273" s="60"/>
    </row>
    <row r="274" spans="2:12">
      <c r="B274" s="368"/>
      <c r="C274" s="357"/>
      <c r="D274" s="146">
        <v>3</v>
      </c>
      <c r="E274" s="60" t="s">
        <v>36</v>
      </c>
      <c r="F274" s="61" t="s">
        <v>126</v>
      </c>
      <c r="G274" s="61">
        <v>1</v>
      </c>
      <c r="H274" s="61">
        <v>1</v>
      </c>
      <c r="I274" s="61"/>
      <c r="J274" s="61"/>
      <c r="K274" s="61"/>
      <c r="L274" s="60"/>
    </row>
    <row r="275" spans="2:12">
      <c r="B275" s="368"/>
      <c r="C275" s="357"/>
      <c r="D275" s="146">
        <v>4</v>
      </c>
      <c r="E275" s="60" t="s">
        <v>1098</v>
      </c>
      <c r="F275" s="61" t="s">
        <v>1097</v>
      </c>
      <c r="G275" s="61" t="s">
        <v>1577</v>
      </c>
      <c r="H275" s="61"/>
      <c r="I275" s="61"/>
      <c r="J275" s="61"/>
      <c r="K275" s="61"/>
      <c r="L275" s="60"/>
    </row>
    <row r="276" spans="2:12">
      <c r="B276" s="368"/>
      <c r="C276" s="357"/>
      <c r="D276" s="146">
        <v>5</v>
      </c>
      <c r="E276" s="60" t="s">
        <v>1750</v>
      </c>
      <c r="F276" s="61" t="s">
        <v>87</v>
      </c>
      <c r="G276" s="61" t="s">
        <v>1759</v>
      </c>
      <c r="H276" s="61"/>
      <c r="I276" s="61"/>
      <c r="J276" s="61"/>
      <c r="K276" s="61"/>
      <c r="L276" s="60"/>
    </row>
    <row r="277" spans="2:12">
      <c r="B277" s="368"/>
      <c r="C277" s="357"/>
      <c r="D277" s="146">
        <v>6</v>
      </c>
      <c r="E277" s="60" t="s">
        <v>36</v>
      </c>
      <c r="F277" s="61" t="s">
        <v>126</v>
      </c>
      <c r="G277" s="61">
        <v>1</v>
      </c>
      <c r="H277" s="61">
        <v>0</v>
      </c>
      <c r="I277" s="61"/>
      <c r="J277" s="61"/>
      <c r="K277" s="61"/>
      <c r="L277" s="60"/>
    </row>
    <row r="278" spans="2:12">
      <c r="B278" s="368"/>
      <c r="C278" s="357"/>
      <c r="D278" s="146">
        <v>7</v>
      </c>
      <c r="E278" s="60" t="s">
        <v>818</v>
      </c>
      <c r="F278" s="61" t="s">
        <v>817</v>
      </c>
      <c r="G278" s="61">
        <v>10000</v>
      </c>
      <c r="H278" s="61"/>
      <c r="I278" s="61"/>
      <c r="J278" s="61"/>
      <c r="K278" s="61"/>
      <c r="L278" s="60"/>
    </row>
    <row r="279" spans="2:12">
      <c r="B279" s="368"/>
      <c r="C279" s="357"/>
      <c r="D279" s="146">
        <v>8</v>
      </c>
      <c r="E279" s="60" t="s">
        <v>146</v>
      </c>
      <c r="F279" s="61" t="s">
        <v>123</v>
      </c>
      <c r="G279" s="61"/>
      <c r="H279" s="61"/>
      <c r="I279" s="61"/>
      <c r="J279" s="61"/>
      <c r="K279" s="61"/>
      <c r="L279" s="60"/>
    </row>
    <row r="280" spans="2:12">
      <c r="B280" s="369"/>
      <c r="C280" s="358"/>
      <c r="D280" s="60"/>
      <c r="E280" s="60"/>
      <c r="F280" s="61"/>
      <c r="G280" s="61"/>
      <c r="H280" s="61"/>
      <c r="I280" s="61"/>
      <c r="J280" s="61"/>
      <c r="K280" s="61"/>
      <c r="L280" s="60"/>
    </row>
    <row r="281" spans="2:12">
      <c r="B281" s="367" t="s">
        <v>270</v>
      </c>
      <c r="C281" s="356" t="s">
        <v>1478</v>
      </c>
      <c r="D281" s="60">
        <v>1</v>
      </c>
      <c r="E281" s="60" t="s">
        <v>142</v>
      </c>
      <c r="F281" s="61" t="s">
        <v>122</v>
      </c>
      <c r="G281" s="61"/>
      <c r="H281" s="61"/>
      <c r="I281" s="61"/>
      <c r="J281" s="61"/>
      <c r="K281" s="61"/>
      <c r="L281" s="60"/>
    </row>
    <row r="282" spans="2:12">
      <c r="B282" s="368"/>
      <c r="C282" s="357"/>
      <c r="D282" s="60">
        <v>2</v>
      </c>
      <c r="E282" s="146" t="s">
        <v>1616</v>
      </c>
      <c r="F282" s="61" t="s">
        <v>87</v>
      </c>
      <c r="G282" s="61" t="s">
        <v>1617</v>
      </c>
      <c r="H282" s="61"/>
      <c r="I282" s="61"/>
      <c r="J282" s="61"/>
      <c r="K282" s="61"/>
      <c r="L282" s="60"/>
    </row>
    <row r="283" spans="2:12">
      <c r="B283" s="368"/>
      <c r="C283" s="357"/>
      <c r="D283" s="146">
        <v>3</v>
      </c>
      <c r="E283" s="60" t="s">
        <v>36</v>
      </c>
      <c r="F283" s="61" t="s">
        <v>126</v>
      </c>
      <c r="G283" s="61">
        <v>1</v>
      </c>
      <c r="H283" s="61">
        <v>1</v>
      </c>
      <c r="I283" s="61"/>
      <c r="J283" s="61"/>
      <c r="K283" s="61"/>
      <c r="L283" s="60"/>
    </row>
    <row r="284" spans="2:12">
      <c r="B284" s="368"/>
      <c r="C284" s="357"/>
      <c r="D284" s="146">
        <v>4</v>
      </c>
      <c r="E284" s="60" t="s">
        <v>1098</v>
      </c>
      <c r="F284" s="61" t="s">
        <v>1097</v>
      </c>
      <c r="G284" s="61" t="s">
        <v>1577</v>
      </c>
      <c r="H284" s="61"/>
      <c r="I284" s="61"/>
      <c r="J284" s="61"/>
      <c r="K284" s="61"/>
      <c r="L284" s="60"/>
    </row>
    <row r="285" spans="2:12">
      <c r="B285" s="368"/>
      <c r="C285" s="357"/>
      <c r="D285" s="146">
        <v>5</v>
      </c>
      <c r="E285" s="60" t="s">
        <v>1620</v>
      </c>
      <c r="F285" s="61" t="s">
        <v>87</v>
      </c>
      <c r="G285" s="61" t="s">
        <v>1621</v>
      </c>
      <c r="H285" s="61"/>
      <c r="I285" s="61"/>
      <c r="J285" s="61"/>
      <c r="K285" s="61"/>
      <c r="L285" s="60"/>
    </row>
    <row r="286" spans="2:12">
      <c r="B286" s="368"/>
      <c r="C286" s="357"/>
      <c r="D286" s="146">
        <v>6</v>
      </c>
      <c r="E286" s="60" t="s">
        <v>36</v>
      </c>
      <c r="F286" s="61" t="s">
        <v>126</v>
      </c>
      <c r="G286" s="61">
        <v>1</v>
      </c>
      <c r="H286" s="61">
        <v>0</v>
      </c>
      <c r="I286" s="61"/>
      <c r="J286" s="61"/>
      <c r="K286" s="61"/>
      <c r="L286" s="60"/>
    </row>
    <row r="287" spans="2:12">
      <c r="B287" s="368"/>
      <c r="C287" s="357"/>
      <c r="D287" s="146">
        <v>7</v>
      </c>
      <c r="E287" s="60" t="s">
        <v>818</v>
      </c>
      <c r="F287" s="61" t="s">
        <v>817</v>
      </c>
      <c r="G287" s="61">
        <v>10000</v>
      </c>
      <c r="H287" s="61"/>
      <c r="I287" s="61"/>
      <c r="J287" s="61"/>
      <c r="K287" s="61"/>
      <c r="L287" s="60"/>
    </row>
    <row r="288" spans="2:12">
      <c r="B288" s="368"/>
      <c r="C288" s="357"/>
      <c r="D288" s="146">
        <v>8</v>
      </c>
      <c r="E288" s="60" t="s">
        <v>146</v>
      </c>
      <c r="F288" s="61" t="s">
        <v>123</v>
      </c>
      <c r="G288" s="61"/>
      <c r="H288" s="61"/>
      <c r="I288" s="61"/>
      <c r="J288" s="61"/>
      <c r="K288" s="61"/>
      <c r="L288" s="60"/>
    </row>
    <row r="289" spans="2:12">
      <c r="B289" s="369"/>
      <c r="C289" s="358"/>
      <c r="D289" s="60"/>
      <c r="E289" s="60"/>
      <c r="F289" s="61"/>
      <c r="G289" s="61"/>
      <c r="H289" s="61"/>
      <c r="I289" s="61"/>
      <c r="J289" s="61"/>
      <c r="K289" s="61"/>
      <c r="L289" s="60"/>
    </row>
    <row r="290" spans="2:12">
      <c r="B290" s="367" t="s">
        <v>317</v>
      </c>
      <c r="C290" s="356" t="s">
        <v>1478</v>
      </c>
      <c r="D290" s="60">
        <v>1</v>
      </c>
      <c r="E290" s="60" t="s">
        <v>142</v>
      </c>
      <c r="F290" s="61" t="s">
        <v>122</v>
      </c>
      <c r="G290" s="61"/>
      <c r="H290" s="61"/>
      <c r="I290" s="61"/>
      <c r="J290" s="61"/>
      <c r="K290" s="61"/>
      <c r="L290" s="60"/>
    </row>
    <row r="291" spans="2:12">
      <c r="B291" s="368"/>
      <c r="C291" s="357"/>
      <c r="D291" s="60">
        <v>2</v>
      </c>
      <c r="E291" s="146" t="s">
        <v>1616</v>
      </c>
      <c r="F291" s="61" t="s">
        <v>87</v>
      </c>
      <c r="G291" s="61" t="s">
        <v>1617</v>
      </c>
      <c r="H291" s="61"/>
      <c r="I291" s="61"/>
      <c r="J291" s="61"/>
      <c r="K291" s="61"/>
      <c r="L291" s="60"/>
    </row>
    <row r="292" spans="2:12">
      <c r="B292" s="368"/>
      <c r="C292" s="357"/>
      <c r="D292" s="146">
        <v>3</v>
      </c>
      <c r="E292" s="60" t="s">
        <v>36</v>
      </c>
      <c r="F292" s="61" t="s">
        <v>126</v>
      </c>
      <c r="G292" s="61" t="s">
        <v>1093</v>
      </c>
      <c r="H292" s="61" t="s">
        <v>1099</v>
      </c>
      <c r="I292" s="61"/>
      <c r="J292" s="61"/>
      <c r="K292" s="61"/>
      <c r="L292" s="60"/>
    </row>
    <row r="293" spans="2:12">
      <c r="B293" s="368"/>
      <c r="C293" s="357"/>
      <c r="D293" s="146">
        <v>4</v>
      </c>
      <c r="E293" s="60" t="s">
        <v>313</v>
      </c>
      <c r="F293" s="61" t="s">
        <v>125</v>
      </c>
      <c r="G293" s="61">
        <v>10000</v>
      </c>
      <c r="H293" s="61"/>
      <c r="I293" s="61"/>
      <c r="J293" s="61"/>
      <c r="K293" s="61"/>
      <c r="L293" s="60"/>
    </row>
    <row r="294" spans="2:12">
      <c r="B294" s="368"/>
      <c r="C294" s="357"/>
      <c r="D294" s="146">
        <v>5</v>
      </c>
      <c r="E294" s="60" t="s">
        <v>146</v>
      </c>
      <c r="F294" s="61" t="s">
        <v>123</v>
      </c>
      <c r="G294" s="61"/>
      <c r="H294" s="61"/>
      <c r="I294" s="61"/>
      <c r="J294" s="61"/>
      <c r="K294" s="61"/>
      <c r="L294" s="60"/>
    </row>
    <row r="295" spans="2:12">
      <c r="B295" s="369"/>
      <c r="C295" s="358"/>
      <c r="D295" s="60"/>
      <c r="E295" s="60"/>
      <c r="F295" s="61"/>
      <c r="G295" s="61"/>
      <c r="H295" s="61"/>
      <c r="I295" s="61"/>
      <c r="J295" s="61"/>
      <c r="K295" s="61"/>
      <c r="L295" s="60"/>
    </row>
    <row r="296" spans="2:12">
      <c r="B296" s="367" t="s">
        <v>271</v>
      </c>
      <c r="C296" s="356" t="s">
        <v>1478</v>
      </c>
      <c r="D296" s="60">
        <v>1</v>
      </c>
      <c r="E296" s="146" t="s">
        <v>1616</v>
      </c>
      <c r="F296" s="61" t="s">
        <v>87</v>
      </c>
      <c r="G296" s="61" t="s">
        <v>1617</v>
      </c>
      <c r="H296" s="61"/>
      <c r="I296" s="61"/>
      <c r="J296" s="61"/>
      <c r="K296" s="61"/>
      <c r="L296" s="60"/>
    </row>
    <row r="297" spans="2:12">
      <c r="B297" s="368"/>
      <c r="C297" s="357"/>
      <c r="D297" s="60">
        <v>2</v>
      </c>
      <c r="E297" s="60" t="s">
        <v>142</v>
      </c>
      <c r="F297" s="61" t="s">
        <v>122</v>
      </c>
      <c r="G297" s="61"/>
      <c r="H297" s="61"/>
      <c r="I297" s="61"/>
      <c r="J297" s="61"/>
      <c r="K297" s="61"/>
      <c r="L297" s="60"/>
    </row>
    <row r="298" spans="2:12">
      <c r="B298" s="368"/>
      <c r="C298" s="357"/>
      <c r="D298" s="146">
        <v>3</v>
      </c>
      <c r="E298" s="60"/>
      <c r="F298" s="61" t="s">
        <v>1106</v>
      </c>
      <c r="G298" s="61">
        <v>1000</v>
      </c>
      <c r="H298" s="61"/>
      <c r="I298" s="61"/>
      <c r="J298" s="61"/>
      <c r="K298" s="61"/>
      <c r="L298" s="60"/>
    </row>
    <row r="299" spans="2:12">
      <c r="B299" s="368"/>
      <c r="C299" s="357"/>
      <c r="D299" s="146">
        <v>4</v>
      </c>
      <c r="E299" s="60" t="s">
        <v>220</v>
      </c>
      <c r="F299" s="61" t="s">
        <v>126</v>
      </c>
      <c r="G299" s="61" t="s">
        <v>143</v>
      </c>
      <c r="H299" s="61">
        <v>1</v>
      </c>
      <c r="I299" s="61"/>
      <c r="J299" s="61"/>
      <c r="K299" s="61"/>
      <c r="L299" s="60"/>
    </row>
    <row r="300" spans="2:12">
      <c r="B300" s="368"/>
      <c r="C300" s="357"/>
      <c r="D300" s="146">
        <v>5</v>
      </c>
      <c r="E300" s="60"/>
      <c r="F300" s="61" t="s">
        <v>125</v>
      </c>
      <c r="G300" s="61">
        <v>1000</v>
      </c>
      <c r="H300" s="61"/>
      <c r="I300" s="61"/>
      <c r="J300" s="61"/>
      <c r="K300" s="61"/>
      <c r="L300" s="60"/>
    </row>
    <row r="301" spans="2:12">
      <c r="B301" s="368"/>
      <c r="C301" s="357"/>
      <c r="D301" s="146">
        <v>6</v>
      </c>
      <c r="E301" s="60" t="s">
        <v>245</v>
      </c>
      <c r="F301" s="61" t="s">
        <v>126</v>
      </c>
      <c r="G301" s="61">
        <v>1</v>
      </c>
      <c r="H301" s="61">
        <v>1</v>
      </c>
      <c r="I301" s="61"/>
      <c r="J301" s="61"/>
      <c r="K301" s="61"/>
      <c r="L301" s="60"/>
    </row>
    <row r="302" spans="2:12">
      <c r="B302" s="368"/>
      <c r="C302" s="357"/>
      <c r="D302" s="146">
        <v>7</v>
      </c>
      <c r="E302" s="60" t="s">
        <v>818</v>
      </c>
      <c r="F302" s="61" t="s">
        <v>817</v>
      </c>
      <c r="G302" s="61">
        <v>10000</v>
      </c>
      <c r="H302" s="61"/>
      <c r="I302" s="61"/>
      <c r="J302" s="61"/>
      <c r="K302" s="61"/>
      <c r="L302" s="60"/>
    </row>
    <row r="303" spans="2:12">
      <c r="B303" s="368"/>
      <c r="C303" s="357"/>
      <c r="D303" s="146">
        <v>8</v>
      </c>
      <c r="E303" s="60" t="s">
        <v>146</v>
      </c>
      <c r="F303" s="61" t="s">
        <v>123</v>
      </c>
      <c r="G303" s="61"/>
      <c r="H303" s="61"/>
      <c r="I303" s="61"/>
      <c r="J303" s="61"/>
      <c r="K303" s="61"/>
      <c r="L303" s="60"/>
    </row>
    <row r="304" spans="2:12">
      <c r="B304" s="369"/>
      <c r="C304" s="358"/>
      <c r="D304" s="60"/>
      <c r="E304" s="60"/>
      <c r="F304" s="61"/>
      <c r="G304" s="61"/>
      <c r="H304" s="61"/>
      <c r="I304" s="61"/>
      <c r="J304" s="61"/>
      <c r="K304" s="61"/>
      <c r="L304" s="60"/>
    </row>
    <row r="305" spans="2:12">
      <c r="B305" s="367" t="s">
        <v>272</v>
      </c>
      <c r="C305" s="356" t="s">
        <v>1478</v>
      </c>
      <c r="D305" s="60">
        <v>1</v>
      </c>
      <c r="E305" s="146" t="s">
        <v>1616</v>
      </c>
      <c r="F305" s="61" t="s">
        <v>87</v>
      </c>
      <c r="G305" s="61" t="s">
        <v>1617</v>
      </c>
      <c r="H305" s="61"/>
      <c r="I305" s="61"/>
      <c r="J305" s="61"/>
      <c r="K305" s="61"/>
      <c r="L305" s="60"/>
    </row>
    <row r="306" spans="2:12">
      <c r="B306" s="368"/>
      <c r="C306" s="357"/>
      <c r="D306" s="60">
        <v>2</v>
      </c>
      <c r="E306" s="60" t="s">
        <v>142</v>
      </c>
      <c r="F306" s="61" t="s">
        <v>122</v>
      </c>
      <c r="G306" s="61"/>
      <c r="H306" s="61"/>
      <c r="I306" s="61"/>
      <c r="J306" s="61"/>
      <c r="K306" s="61"/>
      <c r="L306" s="60"/>
    </row>
    <row r="307" spans="2:12">
      <c r="B307" s="368"/>
      <c r="C307" s="357"/>
      <c r="D307" s="146">
        <v>3</v>
      </c>
      <c r="E307" s="60"/>
      <c r="F307" s="61" t="s">
        <v>1106</v>
      </c>
      <c r="G307" s="61">
        <v>1000</v>
      </c>
      <c r="H307" s="61"/>
      <c r="I307" s="61"/>
      <c r="J307" s="61"/>
      <c r="K307" s="61"/>
      <c r="L307" s="60"/>
    </row>
    <row r="308" spans="2:12">
      <c r="B308" s="368"/>
      <c r="C308" s="357"/>
      <c r="D308" s="146">
        <v>4</v>
      </c>
      <c r="E308" s="60" t="s">
        <v>220</v>
      </c>
      <c r="F308" s="61" t="s">
        <v>126</v>
      </c>
      <c r="G308" s="61" t="s">
        <v>143</v>
      </c>
      <c r="H308" s="61">
        <v>1</v>
      </c>
      <c r="I308" s="61"/>
      <c r="J308" s="61"/>
      <c r="K308" s="61"/>
      <c r="L308" s="60"/>
    </row>
    <row r="309" spans="2:12">
      <c r="B309" s="368"/>
      <c r="C309" s="357"/>
      <c r="D309" s="146">
        <v>5</v>
      </c>
      <c r="E309" s="60"/>
      <c r="F309" s="61" t="s">
        <v>125</v>
      </c>
      <c r="G309" s="61">
        <v>1000</v>
      </c>
      <c r="H309" s="61"/>
      <c r="I309" s="61"/>
      <c r="J309" s="61"/>
      <c r="K309" s="61"/>
      <c r="L309" s="60"/>
    </row>
    <row r="310" spans="2:12" ht="31.5">
      <c r="B310" s="368"/>
      <c r="C310" s="357"/>
      <c r="D310" s="146">
        <v>6</v>
      </c>
      <c r="E310" s="71" t="s">
        <v>273</v>
      </c>
      <c r="F310" s="61" t="s">
        <v>126</v>
      </c>
      <c r="G310" s="61">
        <v>16</v>
      </c>
      <c r="H310" s="61">
        <v>1</v>
      </c>
      <c r="I310" s="61"/>
      <c r="J310" s="61"/>
      <c r="K310" s="61"/>
      <c r="L310" s="60"/>
    </row>
    <row r="311" spans="2:12">
      <c r="B311" s="368"/>
      <c r="C311" s="357"/>
      <c r="D311" s="146">
        <v>7</v>
      </c>
      <c r="E311" s="60" t="s">
        <v>818</v>
      </c>
      <c r="F311" s="61" t="s">
        <v>817</v>
      </c>
      <c r="G311" s="61">
        <v>10000</v>
      </c>
      <c r="H311" s="61"/>
      <c r="I311" s="61"/>
      <c r="J311" s="61"/>
      <c r="K311" s="61"/>
      <c r="L311" s="60"/>
    </row>
    <row r="312" spans="2:12">
      <c r="B312" s="368"/>
      <c r="C312" s="357"/>
      <c r="D312" s="146">
        <v>8</v>
      </c>
      <c r="E312" s="60" t="s">
        <v>146</v>
      </c>
      <c r="F312" s="61" t="s">
        <v>123</v>
      </c>
      <c r="G312" s="61"/>
      <c r="H312" s="61"/>
      <c r="I312" s="61"/>
      <c r="J312" s="61"/>
      <c r="K312" s="61"/>
      <c r="L312" s="60"/>
    </row>
    <row r="313" spans="2:12">
      <c r="B313" s="369"/>
      <c r="C313" s="358"/>
      <c r="D313" s="60"/>
      <c r="E313" s="60"/>
      <c r="F313" s="61"/>
      <c r="G313" s="61"/>
      <c r="H313" s="61"/>
      <c r="I313" s="61"/>
      <c r="J313" s="61"/>
      <c r="K313" s="61"/>
      <c r="L313" s="60"/>
    </row>
    <row r="314" spans="2:12">
      <c r="B314" s="367" t="s">
        <v>274</v>
      </c>
      <c r="C314" s="356" t="s">
        <v>1478</v>
      </c>
      <c r="D314" s="60">
        <v>1</v>
      </c>
      <c r="E314" s="146" t="s">
        <v>1616</v>
      </c>
      <c r="F314" s="61" t="s">
        <v>87</v>
      </c>
      <c r="G314" s="61" t="s">
        <v>1617</v>
      </c>
      <c r="H314" s="61"/>
      <c r="I314" s="61"/>
      <c r="J314" s="61"/>
      <c r="K314" s="61"/>
      <c r="L314" s="60"/>
    </row>
    <row r="315" spans="2:12">
      <c r="B315" s="368"/>
      <c r="C315" s="357"/>
      <c r="D315" s="60">
        <v>2</v>
      </c>
      <c r="E315" s="60" t="s">
        <v>142</v>
      </c>
      <c r="F315" s="61" t="s">
        <v>122</v>
      </c>
      <c r="G315" s="61"/>
      <c r="H315" s="61"/>
      <c r="I315" s="61"/>
      <c r="J315" s="61"/>
      <c r="K315" s="61"/>
      <c r="L315" s="60"/>
    </row>
    <row r="316" spans="2:12">
      <c r="B316" s="368"/>
      <c r="C316" s="357"/>
      <c r="D316" s="146">
        <v>3</v>
      </c>
      <c r="E316" s="60"/>
      <c r="F316" s="61" t="s">
        <v>1106</v>
      </c>
      <c r="G316" s="61">
        <v>1000</v>
      </c>
      <c r="H316" s="61"/>
      <c r="I316" s="61"/>
      <c r="J316" s="61"/>
      <c r="K316" s="61"/>
      <c r="L316" s="60"/>
    </row>
    <row r="317" spans="2:12">
      <c r="B317" s="368"/>
      <c r="C317" s="357"/>
      <c r="D317" s="146">
        <v>4</v>
      </c>
      <c r="E317" s="60" t="s">
        <v>220</v>
      </c>
      <c r="F317" s="61" t="s">
        <v>126</v>
      </c>
      <c r="G317" s="61" t="s">
        <v>143</v>
      </c>
      <c r="H317" s="61">
        <v>1</v>
      </c>
      <c r="I317" s="61"/>
      <c r="J317" s="61"/>
      <c r="K317" s="61"/>
      <c r="L317" s="60"/>
    </row>
    <row r="318" spans="2:12">
      <c r="B318" s="368"/>
      <c r="C318" s="357"/>
      <c r="D318" s="146">
        <v>5</v>
      </c>
      <c r="E318" s="60"/>
      <c r="F318" s="61" t="s">
        <v>125</v>
      </c>
      <c r="G318" s="61">
        <v>1000</v>
      </c>
      <c r="H318" s="61"/>
      <c r="I318" s="61"/>
      <c r="J318" s="61"/>
      <c r="K318" s="61"/>
      <c r="L318" s="60"/>
    </row>
    <row r="319" spans="2:12" ht="31.5">
      <c r="B319" s="368"/>
      <c r="C319" s="357"/>
      <c r="D319" s="146">
        <v>6</v>
      </c>
      <c r="E319" s="71" t="s">
        <v>275</v>
      </c>
      <c r="F319" s="61" t="s">
        <v>126</v>
      </c>
      <c r="G319" s="61">
        <v>17</v>
      </c>
      <c r="H319" s="61">
        <v>1</v>
      </c>
      <c r="I319" s="61"/>
      <c r="J319" s="61"/>
      <c r="K319" s="61"/>
      <c r="L319" s="60"/>
    </row>
    <row r="320" spans="2:12">
      <c r="B320" s="368"/>
      <c r="C320" s="357"/>
      <c r="D320" s="146">
        <v>7</v>
      </c>
      <c r="E320" s="60" t="s">
        <v>818</v>
      </c>
      <c r="F320" s="61" t="s">
        <v>817</v>
      </c>
      <c r="G320" s="61">
        <v>10000</v>
      </c>
      <c r="H320" s="61"/>
      <c r="I320" s="61"/>
      <c r="J320" s="61"/>
      <c r="K320" s="61"/>
      <c r="L320" s="60"/>
    </row>
    <row r="321" spans="2:12">
      <c r="B321" s="368"/>
      <c r="C321" s="357"/>
      <c r="D321" s="146">
        <v>8</v>
      </c>
      <c r="E321" s="60" t="s">
        <v>146</v>
      </c>
      <c r="F321" s="61" t="s">
        <v>123</v>
      </c>
      <c r="G321" s="61"/>
      <c r="H321" s="61"/>
      <c r="I321" s="61"/>
      <c r="J321" s="61"/>
      <c r="K321" s="61"/>
      <c r="L321" s="60"/>
    </row>
    <row r="322" spans="2:12">
      <c r="B322" s="369"/>
      <c r="C322" s="358"/>
      <c r="D322" s="60"/>
      <c r="E322" s="60"/>
      <c r="F322" s="61"/>
      <c r="G322" s="61"/>
      <c r="H322" s="61"/>
      <c r="I322" s="61"/>
      <c r="J322" s="61"/>
      <c r="K322" s="61"/>
      <c r="L322" s="60"/>
    </row>
    <row r="323" spans="2:12">
      <c r="B323" s="367" t="s">
        <v>276</v>
      </c>
      <c r="C323" s="356" t="s">
        <v>1478</v>
      </c>
      <c r="D323" s="60">
        <v>1</v>
      </c>
      <c r="E323" s="146" t="s">
        <v>1616</v>
      </c>
      <c r="F323" s="61" t="s">
        <v>87</v>
      </c>
      <c r="G323" s="61" t="s">
        <v>1617</v>
      </c>
      <c r="H323" s="61"/>
      <c r="I323" s="61"/>
      <c r="J323" s="61"/>
      <c r="K323" s="61"/>
      <c r="L323" s="60"/>
    </row>
    <row r="324" spans="2:12">
      <c r="B324" s="368"/>
      <c r="C324" s="357"/>
      <c r="D324" s="60">
        <v>2</v>
      </c>
      <c r="E324" s="60" t="s">
        <v>142</v>
      </c>
      <c r="F324" s="61" t="s">
        <v>122</v>
      </c>
      <c r="G324" s="61"/>
      <c r="H324" s="61"/>
      <c r="I324" s="61"/>
      <c r="J324" s="61"/>
      <c r="K324" s="61"/>
      <c r="L324" s="60"/>
    </row>
    <row r="325" spans="2:12">
      <c r="B325" s="368"/>
      <c r="C325" s="357"/>
      <c r="D325" s="146">
        <v>3</v>
      </c>
      <c r="E325" s="60"/>
      <c r="F325" s="61" t="s">
        <v>1106</v>
      </c>
      <c r="G325" s="61">
        <v>1000</v>
      </c>
      <c r="H325" s="61"/>
      <c r="I325" s="61"/>
      <c r="J325" s="61"/>
      <c r="K325" s="61"/>
      <c r="L325" s="60"/>
    </row>
    <row r="326" spans="2:12" ht="31.5">
      <c r="B326" s="368"/>
      <c r="C326" s="357"/>
      <c r="D326" s="146">
        <v>4</v>
      </c>
      <c r="E326" s="71" t="s">
        <v>277</v>
      </c>
      <c r="F326" s="61" t="s">
        <v>126</v>
      </c>
      <c r="G326" s="61" t="s">
        <v>278</v>
      </c>
      <c r="H326" s="61">
        <v>1</v>
      </c>
      <c r="I326" s="61"/>
      <c r="J326" s="61"/>
      <c r="K326" s="61"/>
      <c r="L326" s="60"/>
    </row>
    <row r="327" spans="2:12">
      <c r="B327" s="368"/>
      <c r="C327" s="357"/>
      <c r="D327" s="146">
        <v>5</v>
      </c>
      <c r="E327" s="60"/>
      <c r="F327" s="61" t="s">
        <v>125</v>
      </c>
      <c r="G327" s="61">
        <v>1000</v>
      </c>
      <c r="H327" s="61"/>
      <c r="I327" s="61"/>
      <c r="J327" s="61"/>
      <c r="K327" s="61"/>
      <c r="L327" s="60"/>
    </row>
    <row r="328" spans="2:12">
      <c r="B328" s="368"/>
      <c r="C328" s="357"/>
      <c r="D328" s="146">
        <v>6</v>
      </c>
      <c r="E328" s="60" t="s">
        <v>245</v>
      </c>
      <c r="F328" s="61" t="s">
        <v>126</v>
      </c>
      <c r="G328" s="61">
        <v>1</v>
      </c>
      <c r="H328" s="61">
        <v>1</v>
      </c>
      <c r="I328" s="61"/>
      <c r="J328" s="61"/>
      <c r="K328" s="61"/>
      <c r="L328" s="60"/>
    </row>
    <row r="329" spans="2:12">
      <c r="B329" s="368"/>
      <c r="C329" s="357"/>
      <c r="D329" s="146">
        <v>7</v>
      </c>
      <c r="E329" s="60" t="s">
        <v>818</v>
      </c>
      <c r="F329" s="61" t="s">
        <v>817</v>
      </c>
      <c r="G329" s="61">
        <v>10000</v>
      </c>
      <c r="H329" s="61"/>
      <c r="I329" s="61"/>
      <c r="J329" s="61"/>
      <c r="K329" s="61"/>
      <c r="L329" s="60"/>
    </row>
    <row r="330" spans="2:12">
      <c r="B330" s="368"/>
      <c r="C330" s="357"/>
      <c r="D330" s="146">
        <v>8</v>
      </c>
      <c r="E330" s="60" t="s">
        <v>146</v>
      </c>
      <c r="F330" s="61" t="s">
        <v>123</v>
      </c>
      <c r="G330" s="61"/>
      <c r="H330" s="61"/>
      <c r="I330" s="61"/>
      <c r="J330" s="61"/>
      <c r="K330" s="61"/>
      <c r="L330" s="60"/>
    </row>
    <row r="331" spans="2:12">
      <c r="B331" s="369"/>
      <c r="C331" s="358"/>
      <c r="D331" s="60"/>
      <c r="E331" s="60"/>
      <c r="F331" s="61"/>
      <c r="G331" s="61"/>
      <c r="H331" s="61"/>
      <c r="I331" s="61"/>
      <c r="J331" s="61"/>
      <c r="K331" s="61"/>
      <c r="L331" s="60"/>
    </row>
    <row r="332" spans="2:12">
      <c r="B332" s="367" t="s">
        <v>279</v>
      </c>
      <c r="C332" s="356" t="s">
        <v>1478</v>
      </c>
      <c r="D332" s="60">
        <v>1</v>
      </c>
      <c r="E332" s="146" t="s">
        <v>1616</v>
      </c>
      <c r="F332" s="61" t="s">
        <v>87</v>
      </c>
      <c r="G332" s="61" t="s">
        <v>1617</v>
      </c>
      <c r="H332" s="61"/>
      <c r="I332" s="61"/>
      <c r="J332" s="61"/>
      <c r="K332" s="61"/>
      <c r="L332" s="60"/>
    </row>
    <row r="333" spans="2:12">
      <c r="B333" s="368"/>
      <c r="C333" s="357"/>
      <c r="D333" s="60">
        <v>2</v>
      </c>
      <c r="E333" s="60" t="s">
        <v>142</v>
      </c>
      <c r="F333" s="61" t="s">
        <v>122</v>
      </c>
      <c r="G333" s="61"/>
      <c r="H333" s="61"/>
      <c r="I333" s="61"/>
      <c r="J333" s="61"/>
      <c r="K333" s="61"/>
      <c r="L333" s="60"/>
    </row>
    <row r="334" spans="2:12">
      <c r="B334" s="368"/>
      <c r="C334" s="357"/>
      <c r="D334" s="146">
        <v>3</v>
      </c>
      <c r="E334" s="60"/>
      <c r="F334" s="61" t="s">
        <v>1106</v>
      </c>
      <c r="G334" s="61">
        <v>1000</v>
      </c>
      <c r="H334" s="61"/>
      <c r="I334" s="61"/>
      <c r="J334" s="61"/>
      <c r="K334" s="61"/>
      <c r="L334" s="60"/>
    </row>
    <row r="335" spans="2:12" ht="31.5">
      <c r="B335" s="368"/>
      <c r="C335" s="357"/>
      <c r="D335" s="146">
        <v>4</v>
      </c>
      <c r="E335" s="71" t="s">
        <v>277</v>
      </c>
      <c r="F335" s="61" t="s">
        <v>126</v>
      </c>
      <c r="G335" s="61" t="s">
        <v>278</v>
      </c>
      <c r="H335" s="61">
        <v>1</v>
      </c>
      <c r="I335" s="61"/>
      <c r="J335" s="61"/>
      <c r="K335" s="61"/>
      <c r="L335" s="60"/>
    </row>
    <row r="336" spans="2:12">
      <c r="B336" s="368"/>
      <c r="C336" s="357"/>
      <c r="D336" s="146">
        <v>5</v>
      </c>
      <c r="E336" s="60"/>
      <c r="F336" s="61" t="s">
        <v>125</v>
      </c>
      <c r="G336" s="61">
        <v>1000</v>
      </c>
      <c r="H336" s="61"/>
      <c r="I336" s="61"/>
      <c r="J336" s="61"/>
      <c r="K336" s="61"/>
      <c r="L336" s="60"/>
    </row>
    <row r="337" spans="2:12" ht="31.5">
      <c r="B337" s="368"/>
      <c r="C337" s="357"/>
      <c r="D337" s="146">
        <v>6</v>
      </c>
      <c r="E337" s="71" t="s">
        <v>273</v>
      </c>
      <c r="F337" s="61" t="s">
        <v>126</v>
      </c>
      <c r="G337" s="61">
        <v>16</v>
      </c>
      <c r="H337" s="61">
        <v>1</v>
      </c>
      <c r="I337" s="61"/>
      <c r="J337" s="61"/>
      <c r="K337" s="61"/>
      <c r="L337" s="60"/>
    </row>
    <row r="338" spans="2:12">
      <c r="B338" s="368"/>
      <c r="C338" s="357"/>
      <c r="D338" s="146">
        <v>7</v>
      </c>
      <c r="E338" s="60" t="s">
        <v>818</v>
      </c>
      <c r="F338" s="61" t="s">
        <v>817</v>
      </c>
      <c r="G338" s="61">
        <v>10000</v>
      </c>
      <c r="H338" s="61"/>
      <c r="I338" s="61"/>
      <c r="J338" s="61"/>
      <c r="K338" s="61"/>
      <c r="L338" s="60"/>
    </row>
    <row r="339" spans="2:12">
      <c r="B339" s="368"/>
      <c r="C339" s="357"/>
      <c r="D339" s="146">
        <v>8</v>
      </c>
      <c r="E339" s="60" t="s">
        <v>146</v>
      </c>
      <c r="F339" s="61" t="s">
        <v>123</v>
      </c>
      <c r="G339" s="61"/>
      <c r="H339" s="61"/>
      <c r="I339" s="61"/>
      <c r="J339" s="61"/>
      <c r="K339" s="61"/>
      <c r="L339" s="60"/>
    </row>
    <row r="340" spans="2:12">
      <c r="B340" s="369"/>
      <c r="C340" s="358"/>
      <c r="D340" s="60"/>
      <c r="E340" s="60"/>
      <c r="F340" s="61"/>
      <c r="G340" s="61"/>
      <c r="H340" s="61"/>
      <c r="I340" s="61"/>
      <c r="J340" s="61"/>
      <c r="K340" s="61"/>
      <c r="L340" s="60"/>
    </row>
    <row r="341" spans="2:12">
      <c r="B341" s="367" t="s">
        <v>280</v>
      </c>
      <c r="C341" s="356" t="s">
        <v>1478</v>
      </c>
      <c r="D341" s="60">
        <v>1</v>
      </c>
      <c r="E341" s="146" t="s">
        <v>1616</v>
      </c>
      <c r="F341" s="61" t="s">
        <v>87</v>
      </c>
      <c r="G341" s="61" t="s">
        <v>1617</v>
      </c>
      <c r="H341" s="61"/>
      <c r="I341" s="61"/>
      <c r="J341" s="61"/>
      <c r="K341" s="61"/>
      <c r="L341" s="60"/>
    </row>
    <row r="342" spans="2:12">
      <c r="B342" s="368"/>
      <c r="C342" s="357"/>
      <c r="D342" s="60">
        <v>2</v>
      </c>
      <c r="E342" s="60" t="s">
        <v>142</v>
      </c>
      <c r="F342" s="61" t="s">
        <v>122</v>
      </c>
      <c r="G342" s="61"/>
      <c r="H342" s="61"/>
      <c r="I342" s="61"/>
      <c r="J342" s="61"/>
      <c r="K342" s="61"/>
      <c r="L342" s="60"/>
    </row>
    <row r="343" spans="2:12">
      <c r="B343" s="368"/>
      <c r="C343" s="357"/>
      <c r="D343" s="146">
        <v>3</v>
      </c>
      <c r="E343" s="60"/>
      <c r="F343" s="61" t="s">
        <v>1106</v>
      </c>
      <c r="G343" s="61">
        <v>1000</v>
      </c>
      <c r="H343" s="61"/>
      <c r="I343" s="61"/>
      <c r="J343" s="61"/>
      <c r="K343" s="61"/>
      <c r="L343" s="60"/>
    </row>
    <row r="344" spans="2:12" ht="31.5">
      <c r="B344" s="368"/>
      <c r="C344" s="357"/>
      <c r="D344" s="146">
        <v>4</v>
      </c>
      <c r="E344" s="71" t="s">
        <v>277</v>
      </c>
      <c r="F344" s="61" t="s">
        <v>126</v>
      </c>
      <c r="G344" s="61" t="s">
        <v>278</v>
      </c>
      <c r="H344" s="61">
        <v>1</v>
      </c>
      <c r="I344" s="61"/>
      <c r="J344" s="61"/>
      <c r="K344" s="61"/>
      <c r="L344" s="60"/>
    </row>
    <row r="345" spans="2:12">
      <c r="B345" s="368"/>
      <c r="C345" s="357"/>
      <c r="D345" s="146">
        <v>5</v>
      </c>
      <c r="E345" s="60"/>
      <c r="F345" s="61" t="s">
        <v>125</v>
      </c>
      <c r="G345" s="61">
        <v>1000</v>
      </c>
      <c r="H345" s="61"/>
      <c r="I345" s="61"/>
      <c r="J345" s="61"/>
      <c r="K345" s="61"/>
      <c r="L345" s="60"/>
    </row>
    <row r="346" spans="2:12" ht="31.5">
      <c r="B346" s="368"/>
      <c r="C346" s="357"/>
      <c r="D346" s="146">
        <v>6</v>
      </c>
      <c r="E346" s="71" t="s">
        <v>275</v>
      </c>
      <c r="F346" s="61" t="s">
        <v>126</v>
      </c>
      <c r="G346" s="61">
        <v>17</v>
      </c>
      <c r="H346" s="61">
        <v>1</v>
      </c>
      <c r="I346" s="61"/>
      <c r="J346" s="61"/>
      <c r="K346" s="61"/>
      <c r="L346" s="60"/>
    </row>
    <row r="347" spans="2:12">
      <c r="B347" s="368"/>
      <c r="C347" s="357"/>
      <c r="D347" s="146">
        <v>7</v>
      </c>
      <c r="E347" s="60" t="s">
        <v>818</v>
      </c>
      <c r="F347" s="61" t="s">
        <v>817</v>
      </c>
      <c r="G347" s="61">
        <v>10000</v>
      </c>
      <c r="H347" s="61"/>
      <c r="I347" s="61"/>
      <c r="J347" s="61"/>
      <c r="K347" s="61"/>
      <c r="L347" s="60"/>
    </row>
    <row r="348" spans="2:12">
      <c r="B348" s="368"/>
      <c r="C348" s="357"/>
      <c r="D348" s="146">
        <v>8</v>
      </c>
      <c r="E348" s="60" t="s">
        <v>146</v>
      </c>
      <c r="F348" s="61" t="s">
        <v>123</v>
      </c>
      <c r="G348" s="61"/>
      <c r="H348" s="61"/>
      <c r="I348" s="61"/>
      <c r="J348" s="61"/>
      <c r="K348" s="61"/>
      <c r="L348" s="60"/>
    </row>
    <row r="349" spans="2:12">
      <c r="B349" s="369"/>
      <c r="C349" s="358"/>
      <c r="D349" s="60"/>
      <c r="E349" s="60"/>
      <c r="F349" s="61"/>
      <c r="G349" s="61"/>
      <c r="H349" s="61"/>
      <c r="I349" s="61"/>
      <c r="J349" s="61"/>
      <c r="K349" s="61"/>
      <c r="L349" s="60"/>
    </row>
    <row r="350" spans="2:12">
      <c r="B350" s="367" t="s">
        <v>281</v>
      </c>
      <c r="C350" s="356" t="s">
        <v>1478</v>
      </c>
      <c r="D350" s="60">
        <v>1</v>
      </c>
      <c r="E350" s="146" t="s">
        <v>1616</v>
      </c>
      <c r="F350" s="61" t="s">
        <v>87</v>
      </c>
      <c r="G350" s="61" t="s">
        <v>1617</v>
      </c>
      <c r="H350" s="61"/>
      <c r="I350" s="61"/>
      <c r="J350" s="61"/>
      <c r="K350" s="61"/>
      <c r="L350" s="60"/>
    </row>
    <row r="351" spans="2:12">
      <c r="B351" s="368"/>
      <c r="C351" s="357"/>
      <c r="D351" s="60">
        <v>2</v>
      </c>
      <c r="E351" s="60" t="s">
        <v>142</v>
      </c>
      <c r="F351" s="61" t="s">
        <v>122</v>
      </c>
      <c r="G351" s="61"/>
      <c r="H351" s="61"/>
      <c r="I351" s="61"/>
      <c r="J351" s="61"/>
      <c r="K351" s="61"/>
      <c r="L351" s="60"/>
    </row>
    <row r="352" spans="2:12">
      <c r="B352" s="368"/>
      <c r="C352" s="357"/>
      <c r="D352" s="146">
        <v>3</v>
      </c>
      <c r="E352" s="60"/>
      <c r="F352" s="61" t="s">
        <v>1106</v>
      </c>
      <c r="G352" s="61">
        <v>1000</v>
      </c>
      <c r="H352" s="61"/>
      <c r="I352" s="61"/>
      <c r="J352" s="61"/>
      <c r="K352" s="61"/>
      <c r="L352" s="60"/>
    </row>
    <row r="353" spans="2:12" ht="31.5">
      <c r="B353" s="368"/>
      <c r="C353" s="357"/>
      <c r="D353" s="146">
        <v>4</v>
      </c>
      <c r="E353" s="71" t="s">
        <v>282</v>
      </c>
      <c r="F353" s="61" t="s">
        <v>126</v>
      </c>
      <c r="G353" s="61" t="s">
        <v>238</v>
      </c>
      <c r="H353" s="61">
        <v>1</v>
      </c>
      <c r="I353" s="61"/>
      <c r="J353" s="61"/>
      <c r="K353" s="61"/>
      <c r="L353" s="60"/>
    </row>
    <row r="354" spans="2:12">
      <c r="B354" s="368"/>
      <c r="C354" s="357"/>
      <c r="D354" s="146">
        <v>5</v>
      </c>
      <c r="E354" s="60"/>
      <c r="F354" s="61" t="s">
        <v>125</v>
      </c>
      <c r="G354" s="61">
        <v>1000</v>
      </c>
      <c r="H354" s="61"/>
      <c r="I354" s="61"/>
      <c r="J354" s="61"/>
      <c r="K354" s="61"/>
      <c r="L354" s="60"/>
    </row>
    <row r="355" spans="2:12">
      <c r="B355" s="368"/>
      <c r="C355" s="357"/>
      <c r="D355" s="146">
        <v>6</v>
      </c>
      <c r="E355" s="60" t="s">
        <v>245</v>
      </c>
      <c r="F355" s="61" t="s">
        <v>126</v>
      </c>
      <c r="G355" s="61">
        <v>1</v>
      </c>
      <c r="H355" s="61">
        <v>1</v>
      </c>
      <c r="I355" s="61"/>
      <c r="J355" s="61"/>
      <c r="K355" s="61"/>
      <c r="L355" s="60"/>
    </row>
    <row r="356" spans="2:12">
      <c r="B356" s="368"/>
      <c r="C356" s="357"/>
      <c r="D356" s="146">
        <v>7</v>
      </c>
      <c r="E356" s="60" t="s">
        <v>818</v>
      </c>
      <c r="F356" s="61" t="s">
        <v>817</v>
      </c>
      <c r="G356" s="61">
        <v>10000</v>
      </c>
      <c r="H356" s="61"/>
      <c r="I356" s="61"/>
      <c r="J356" s="61"/>
      <c r="K356" s="61"/>
      <c r="L356" s="60"/>
    </row>
    <row r="357" spans="2:12">
      <c r="B357" s="368"/>
      <c r="C357" s="357"/>
      <c r="D357" s="146">
        <v>8</v>
      </c>
      <c r="E357" s="60" t="s">
        <v>146</v>
      </c>
      <c r="F357" s="61" t="s">
        <v>123</v>
      </c>
      <c r="G357" s="61"/>
      <c r="H357" s="61"/>
      <c r="I357" s="61"/>
      <c r="J357" s="61"/>
      <c r="K357" s="61"/>
      <c r="L357" s="60"/>
    </row>
    <row r="358" spans="2:12">
      <c r="B358" s="369"/>
      <c r="C358" s="358"/>
      <c r="D358" s="60"/>
      <c r="E358" s="60"/>
      <c r="F358" s="61"/>
      <c r="G358" s="61"/>
      <c r="H358" s="61"/>
      <c r="I358" s="61"/>
      <c r="J358" s="61"/>
      <c r="K358" s="61"/>
      <c r="L358" s="60"/>
    </row>
    <row r="359" spans="2:12">
      <c r="B359" s="367" t="s">
        <v>283</v>
      </c>
      <c r="C359" s="356" t="s">
        <v>1478</v>
      </c>
      <c r="D359" s="60">
        <v>1</v>
      </c>
      <c r="E359" s="146" t="s">
        <v>1616</v>
      </c>
      <c r="F359" s="61" t="s">
        <v>87</v>
      </c>
      <c r="G359" s="61" t="s">
        <v>1617</v>
      </c>
      <c r="H359" s="61"/>
      <c r="I359" s="61"/>
      <c r="J359" s="61"/>
      <c r="K359" s="61"/>
      <c r="L359" s="60"/>
    </row>
    <row r="360" spans="2:12">
      <c r="B360" s="368"/>
      <c r="C360" s="357"/>
      <c r="D360" s="60">
        <v>2</v>
      </c>
      <c r="E360" s="60" t="s">
        <v>142</v>
      </c>
      <c r="F360" s="61" t="s">
        <v>122</v>
      </c>
      <c r="G360" s="61"/>
      <c r="H360" s="61"/>
      <c r="I360" s="61"/>
      <c r="J360" s="61"/>
      <c r="K360" s="61"/>
      <c r="L360" s="60"/>
    </row>
    <row r="361" spans="2:12">
      <c r="B361" s="368"/>
      <c r="C361" s="357"/>
      <c r="D361" s="146">
        <v>3</v>
      </c>
      <c r="E361" s="60"/>
      <c r="F361" s="61" t="s">
        <v>1106</v>
      </c>
      <c r="G361" s="61">
        <v>1000</v>
      </c>
      <c r="H361" s="61"/>
      <c r="I361" s="61"/>
      <c r="J361" s="61"/>
      <c r="K361" s="61"/>
      <c r="L361" s="60"/>
    </row>
    <row r="362" spans="2:12" ht="31.5">
      <c r="B362" s="368"/>
      <c r="C362" s="357"/>
      <c r="D362" s="146">
        <v>4</v>
      </c>
      <c r="E362" s="71" t="s">
        <v>282</v>
      </c>
      <c r="F362" s="61" t="s">
        <v>126</v>
      </c>
      <c r="G362" s="61" t="s">
        <v>238</v>
      </c>
      <c r="H362" s="61">
        <v>1</v>
      </c>
      <c r="I362" s="61"/>
      <c r="J362" s="61"/>
      <c r="K362" s="61"/>
      <c r="L362" s="60"/>
    </row>
    <row r="363" spans="2:12">
      <c r="B363" s="368"/>
      <c r="C363" s="357"/>
      <c r="D363" s="146">
        <v>5</v>
      </c>
      <c r="E363" s="60"/>
      <c r="F363" s="61" t="s">
        <v>125</v>
      </c>
      <c r="G363" s="61">
        <v>1000</v>
      </c>
      <c r="H363" s="61"/>
      <c r="I363" s="61"/>
      <c r="J363" s="61"/>
      <c r="K363" s="61"/>
      <c r="L363" s="60"/>
    </row>
    <row r="364" spans="2:12" ht="31.5">
      <c r="B364" s="368"/>
      <c r="C364" s="357"/>
      <c r="D364" s="146">
        <v>6</v>
      </c>
      <c r="E364" s="71" t="s">
        <v>273</v>
      </c>
      <c r="F364" s="61" t="s">
        <v>126</v>
      </c>
      <c r="G364" s="61">
        <v>16</v>
      </c>
      <c r="H364" s="61">
        <v>1</v>
      </c>
      <c r="I364" s="61"/>
      <c r="J364" s="61"/>
      <c r="K364" s="61"/>
      <c r="L364" s="60"/>
    </row>
    <row r="365" spans="2:12">
      <c r="B365" s="368"/>
      <c r="C365" s="357"/>
      <c r="D365" s="146">
        <v>7</v>
      </c>
      <c r="E365" s="60" t="s">
        <v>818</v>
      </c>
      <c r="F365" s="61" t="s">
        <v>817</v>
      </c>
      <c r="G365" s="61">
        <v>10000</v>
      </c>
      <c r="H365" s="61"/>
      <c r="I365" s="61"/>
      <c r="J365" s="61"/>
      <c r="K365" s="61"/>
      <c r="L365" s="60"/>
    </row>
    <row r="366" spans="2:12">
      <c r="B366" s="368"/>
      <c r="C366" s="357"/>
      <c r="D366" s="146">
        <v>8</v>
      </c>
      <c r="E366" s="60" t="s">
        <v>146</v>
      </c>
      <c r="F366" s="61" t="s">
        <v>123</v>
      </c>
      <c r="G366" s="61"/>
      <c r="H366" s="61"/>
      <c r="I366" s="61"/>
      <c r="J366" s="61"/>
      <c r="K366" s="61"/>
      <c r="L366" s="60"/>
    </row>
    <row r="367" spans="2:12">
      <c r="B367" s="369"/>
      <c r="C367" s="358"/>
      <c r="D367" s="60"/>
      <c r="E367" s="60"/>
      <c r="F367" s="61"/>
      <c r="G367" s="61"/>
      <c r="H367" s="61"/>
      <c r="I367" s="61"/>
      <c r="J367" s="61"/>
      <c r="K367" s="61"/>
      <c r="L367" s="60"/>
    </row>
    <row r="368" spans="2:12">
      <c r="B368" s="367" t="s">
        <v>284</v>
      </c>
      <c r="C368" s="356" t="s">
        <v>1478</v>
      </c>
      <c r="D368" s="60">
        <v>1</v>
      </c>
      <c r="E368" s="146" t="s">
        <v>1616</v>
      </c>
      <c r="F368" s="61" t="s">
        <v>87</v>
      </c>
      <c r="G368" s="61" t="s">
        <v>1617</v>
      </c>
      <c r="H368" s="61"/>
      <c r="I368" s="61"/>
      <c r="J368" s="61"/>
      <c r="K368" s="61"/>
      <c r="L368" s="60"/>
    </row>
    <row r="369" spans="2:12">
      <c r="B369" s="368"/>
      <c r="C369" s="357"/>
      <c r="D369" s="60">
        <v>2</v>
      </c>
      <c r="E369" s="60" t="s">
        <v>142</v>
      </c>
      <c r="F369" s="61" t="s">
        <v>122</v>
      </c>
      <c r="G369" s="61"/>
      <c r="H369" s="61"/>
      <c r="I369" s="61"/>
      <c r="J369" s="61"/>
      <c r="K369" s="61"/>
      <c r="L369" s="60"/>
    </row>
    <row r="370" spans="2:12">
      <c r="B370" s="368"/>
      <c r="C370" s="357"/>
      <c r="D370" s="146">
        <v>3</v>
      </c>
      <c r="E370" s="60"/>
      <c r="F370" s="61" t="s">
        <v>1106</v>
      </c>
      <c r="G370" s="61">
        <v>1000</v>
      </c>
      <c r="H370" s="61"/>
      <c r="I370" s="61"/>
      <c r="J370" s="61"/>
      <c r="K370" s="61"/>
      <c r="L370" s="60"/>
    </row>
    <row r="371" spans="2:12" ht="31.5">
      <c r="B371" s="368"/>
      <c r="C371" s="357"/>
      <c r="D371" s="146">
        <v>4</v>
      </c>
      <c r="E371" s="71" t="s">
        <v>282</v>
      </c>
      <c r="F371" s="61" t="s">
        <v>126</v>
      </c>
      <c r="G371" s="61" t="s">
        <v>238</v>
      </c>
      <c r="H371" s="61">
        <v>1</v>
      </c>
      <c r="I371" s="61"/>
      <c r="J371" s="61"/>
      <c r="K371" s="61"/>
      <c r="L371" s="60"/>
    </row>
    <row r="372" spans="2:12">
      <c r="B372" s="368"/>
      <c r="C372" s="357"/>
      <c r="D372" s="146">
        <v>5</v>
      </c>
      <c r="E372" s="60"/>
      <c r="F372" s="61" t="s">
        <v>125</v>
      </c>
      <c r="G372" s="61">
        <v>1000</v>
      </c>
      <c r="H372" s="61"/>
      <c r="I372" s="61"/>
      <c r="J372" s="61"/>
      <c r="K372" s="61"/>
      <c r="L372" s="60"/>
    </row>
    <row r="373" spans="2:12" ht="31.5">
      <c r="B373" s="368"/>
      <c r="C373" s="357"/>
      <c r="D373" s="146">
        <v>6</v>
      </c>
      <c r="E373" s="71" t="s">
        <v>275</v>
      </c>
      <c r="F373" s="61" t="s">
        <v>126</v>
      </c>
      <c r="G373" s="61">
        <v>17</v>
      </c>
      <c r="H373" s="61">
        <v>1</v>
      </c>
      <c r="I373" s="61"/>
      <c r="J373" s="61"/>
      <c r="K373" s="61"/>
      <c r="L373" s="60"/>
    </row>
    <row r="374" spans="2:12">
      <c r="B374" s="368"/>
      <c r="C374" s="357"/>
      <c r="D374" s="146">
        <v>7</v>
      </c>
      <c r="E374" s="60" t="s">
        <v>818</v>
      </c>
      <c r="F374" s="61" t="s">
        <v>817</v>
      </c>
      <c r="G374" s="61">
        <v>10000</v>
      </c>
      <c r="H374" s="61"/>
      <c r="I374" s="61"/>
      <c r="J374" s="61"/>
      <c r="K374" s="61"/>
      <c r="L374" s="60"/>
    </row>
    <row r="375" spans="2:12">
      <c r="B375" s="368"/>
      <c r="C375" s="357"/>
      <c r="D375" s="146">
        <v>8</v>
      </c>
      <c r="E375" s="60" t="s">
        <v>146</v>
      </c>
      <c r="F375" s="61" t="s">
        <v>123</v>
      </c>
      <c r="G375" s="61"/>
      <c r="H375" s="61"/>
      <c r="I375" s="61"/>
      <c r="J375" s="61"/>
      <c r="K375" s="61"/>
      <c r="L375" s="60"/>
    </row>
    <row r="376" spans="2:12">
      <c r="B376" s="369"/>
      <c r="C376" s="358"/>
      <c r="D376" s="60"/>
      <c r="E376" s="60"/>
      <c r="F376" s="61"/>
      <c r="G376" s="61"/>
      <c r="H376" s="61"/>
      <c r="I376" s="61"/>
      <c r="J376" s="61"/>
      <c r="K376" s="61"/>
      <c r="L376" s="60"/>
    </row>
    <row r="377" spans="2:12">
      <c r="B377" s="367" t="s">
        <v>1535</v>
      </c>
      <c r="C377" s="356" t="s">
        <v>38</v>
      </c>
      <c r="D377" s="136">
        <v>1</v>
      </c>
      <c r="E377" s="146" t="s">
        <v>1616</v>
      </c>
      <c r="F377" s="61" t="s">
        <v>87</v>
      </c>
      <c r="G377" s="61" t="s">
        <v>1617</v>
      </c>
      <c r="H377" s="61"/>
      <c r="I377" s="61"/>
      <c r="J377" s="61"/>
      <c r="K377" s="61"/>
      <c r="L377" s="136"/>
    </row>
    <row r="378" spans="2:12">
      <c r="B378" s="368"/>
      <c r="C378" s="357"/>
      <c r="D378" s="179">
        <v>2</v>
      </c>
      <c r="E378" s="179" t="s">
        <v>1615</v>
      </c>
      <c r="F378" s="61" t="s">
        <v>1569</v>
      </c>
      <c r="G378" s="61"/>
      <c r="H378" s="61"/>
      <c r="I378" s="61"/>
      <c r="J378" s="61"/>
      <c r="K378" s="61"/>
      <c r="L378" s="179"/>
    </row>
    <row r="379" spans="2:12">
      <c r="B379" s="368"/>
      <c r="C379" s="357"/>
      <c r="D379" s="179">
        <v>3</v>
      </c>
      <c r="E379" s="136" t="s">
        <v>142</v>
      </c>
      <c r="F379" s="61" t="s">
        <v>122</v>
      </c>
      <c r="G379" s="61"/>
      <c r="H379" s="61"/>
      <c r="I379" s="61"/>
      <c r="J379" s="61"/>
      <c r="K379" s="61"/>
      <c r="L379" s="136"/>
    </row>
    <row r="380" spans="2:12">
      <c r="B380" s="368"/>
      <c r="C380" s="357"/>
      <c r="D380" s="179">
        <v>4</v>
      </c>
      <c r="E380" s="146" t="s">
        <v>36</v>
      </c>
      <c r="F380" s="61" t="s">
        <v>126</v>
      </c>
      <c r="G380" s="61">
        <v>1</v>
      </c>
      <c r="H380" s="61">
        <v>2</v>
      </c>
      <c r="I380" s="61"/>
      <c r="J380" s="61"/>
      <c r="K380" s="61"/>
      <c r="L380" s="146"/>
    </row>
    <row r="381" spans="2:12">
      <c r="B381" s="368"/>
      <c r="C381" s="357"/>
      <c r="D381" s="179">
        <v>5</v>
      </c>
      <c r="E381" s="178"/>
      <c r="F381" s="61" t="s">
        <v>1800</v>
      </c>
      <c r="G381" s="61">
        <v>20</v>
      </c>
      <c r="H381" s="61"/>
      <c r="I381" s="61"/>
      <c r="J381" s="61"/>
      <c r="K381" s="61"/>
      <c r="L381" s="178"/>
    </row>
    <row r="382" spans="2:12">
      <c r="B382" s="368"/>
      <c r="C382" s="357"/>
      <c r="D382" s="179">
        <v>6</v>
      </c>
      <c r="E382" s="136" t="s">
        <v>285</v>
      </c>
      <c r="F382" s="61" t="s">
        <v>126</v>
      </c>
      <c r="G382" s="61">
        <v>1</v>
      </c>
      <c r="H382" s="61">
        <v>2</v>
      </c>
      <c r="I382" s="61"/>
      <c r="J382" s="61"/>
      <c r="K382" s="61"/>
      <c r="L382" s="136"/>
    </row>
    <row r="383" spans="2:12">
      <c r="B383" s="368"/>
      <c r="C383" s="357"/>
      <c r="D383" s="179">
        <v>7</v>
      </c>
      <c r="E383" s="178"/>
      <c r="F383" s="61" t="s">
        <v>1800</v>
      </c>
      <c r="G383" s="61">
        <v>20</v>
      </c>
      <c r="H383" s="61"/>
      <c r="I383" s="61"/>
      <c r="J383" s="61"/>
      <c r="K383" s="61"/>
      <c r="L383" s="178"/>
    </row>
    <row r="384" spans="2:12">
      <c r="B384" s="368"/>
      <c r="C384" s="357"/>
      <c r="D384" s="179">
        <v>8</v>
      </c>
      <c r="E384" s="178"/>
      <c r="F384" s="61" t="s">
        <v>1801</v>
      </c>
      <c r="G384" s="61" t="s">
        <v>162</v>
      </c>
      <c r="H384" s="61">
        <v>0</v>
      </c>
      <c r="I384" s="61"/>
      <c r="J384" s="61"/>
      <c r="K384" s="61"/>
      <c r="L384" s="178"/>
    </row>
    <row r="385" spans="2:12">
      <c r="B385" s="368"/>
      <c r="C385" s="357"/>
      <c r="D385" s="179">
        <v>9</v>
      </c>
      <c r="E385" s="136" t="s">
        <v>1811</v>
      </c>
      <c r="F385" s="61" t="s">
        <v>126</v>
      </c>
      <c r="G385" s="61">
        <v>1</v>
      </c>
      <c r="H385" s="61">
        <v>1</v>
      </c>
      <c r="I385" s="61"/>
      <c r="J385" s="61"/>
      <c r="K385" s="61"/>
      <c r="L385" s="136"/>
    </row>
    <row r="386" spans="2:12">
      <c r="B386" s="368"/>
      <c r="C386" s="357"/>
      <c r="D386" s="179">
        <v>10</v>
      </c>
      <c r="E386" s="146"/>
      <c r="F386" s="61" t="s">
        <v>1561</v>
      </c>
      <c r="G386" s="61">
        <v>20</v>
      </c>
      <c r="H386" s="61"/>
      <c r="I386" s="61"/>
      <c r="J386" s="61"/>
      <c r="K386" s="61"/>
      <c r="L386" s="146"/>
    </row>
    <row r="387" spans="2:12">
      <c r="B387" s="368"/>
      <c r="C387" s="357"/>
      <c r="D387" s="179">
        <v>11</v>
      </c>
      <c r="E387" s="178"/>
      <c r="F387" s="61" t="s">
        <v>1802</v>
      </c>
      <c r="G387" s="61" t="s">
        <v>162</v>
      </c>
      <c r="H387" s="61">
        <v>1</v>
      </c>
      <c r="I387" s="61"/>
      <c r="J387" s="61"/>
      <c r="K387" s="61"/>
      <c r="L387" s="178"/>
    </row>
    <row r="388" spans="2:12">
      <c r="B388" s="368"/>
      <c r="C388" s="357"/>
      <c r="D388" s="179">
        <v>12</v>
      </c>
      <c r="E388" s="178"/>
      <c r="F388" s="61" t="s">
        <v>135</v>
      </c>
      <c r="G388" s="61">
        <v>9</v>
      </c>
      <c r="H388" s="61" t="s">
        <v>162</v>
      </c>
      <c r="I388" s="61">
        <v>2</v>
      </c>
      <c r="J388" s="61"/>
      <c r="K388" s="61"/>
      <c r="L388" s="178"/>
    </row>
    <row r="389" spans="2:12">
      <c r="B389" s="368"/>
      <c r="C389" s="357"/>
      <c r="D389" s="179">
        <v>13</v>
      </c>
      <c r="E389" s="178"/>
      <c r="F389" s="61" t="s">
        <v>1801</v>
      </c>
      <c r="G389" s="61" t="s">
        <v>162</v>
      </c>
      <c r="H389" s="61">
        <v>0</v>
      </c>
      <c r="I389" s="61"/>
      <c r="J389" s="61"/>
      <c r="K389" s="61"/>
      <c r="L389" s="178"/>
    </row>
    <row r="390" spans="2:12">
      <c r="B390" s="368"/>
      <c r="C390" s="357"/>
      <c r="D390" s="179">
        <v>14</v>
      </c>
      <c r="E390" s="136" t="s">
        <v>172</v>
      </c>
      <c r="F390" s="61" t="s">
        <v>173</v>
      </c>
      <c r="G390" s="61">
        <v>0</v>
      </c>
      <c r="H390" s="61" t="s">
        <v>174</v>
      </c>
      <c r="I390" s="61"/>
      <c r="J390" s="61"/>
      <c r="K390" s="61"/>
      <c r="L390" s="136"/>
    </row>
    <row r="391" spans="2:12">
      <c r="B391" s="368"/>
      <c r="C391" s="357"/>
      <c r="D391" s="179">
        <v>15</v>
      </c>
      <c r="E391" s="136" t="s">
        <v>1812</v>
      </c>
      <c r="F391" s="61" t="s">
        <v>126</v>
      </c>
      <c r="G391" s="61">
        <v>1</v>
      </c>
      <c r="H391" s="61">
        <v>3</v>
      </c>
      <c r="I391" s="61"/>
      <c r="J391" s="61"/>
      <c r="K391" s="61"/>
      <c r="L391" s="136"/>
    </row>
    <row r="392" spans="2:12">
      <c r="B392" s="368"/>
      <c r="C392" s="357"/>
      <c r="D392" s="179">
        <v>16</v>
      </c>
      <c r="E392" s="178"/>
      <c r="F392" s="61" t="s">
        <v>1800</v>
      </c>
      <c r="G392" s="61">
        <v>20</v>
      </c>
      <c r="H392" s="61"/>
      <c r="I392" s="61"/>
      <c r="J392" s="61"/>
      <c r="K392" s="61"/>
      <c r="L392" s="178"/>
    </row>
    <row r="393" spans="2:12">
      <c r="B393" s="368"/>
      <c r="C393" s="357"/>
      <c r="D393" s="179">
        <v>17</v>
      </c>
      <c r="E393" s="178"/>
      <c r="F393" s="61" t="s">
        <v>1802</v>
      </c>
      <c r="G393" s="61" t="s">
        <v>162</v>
      </c>
      <c r="H393" s="61">
        <v>1</v>
      </c>
      <c r="I393" s="61"/>
      <c r="J393" s="61"/>
      <c r="K393" s="61"/>
      <c r="L393" s="178"/>
    </row>
    <row r="394" spans="2:12">
      <c r="B394" s="368"/>
      <c r="C394" s="357"/>
      <c r="D394" s="179">
        <v>18</v>
      </c>
      <c r="E394" s="178"/>
      <c r="F394" s="61" t="s">
        <v>135</v>
      </c>
      <c r="G394" s="61">
        <v>14</v>
      </c>
      <c r="H394" s="61" t="s">
        <v>162</v>
      </c>
      <c r="I394" s="61">
        <v>4</v>
      </c>
      <c r="J394" s="61"/>
      <c r="K394" s="61"/>
      <c r="L394" s="178"/>
    </row>
    <row r="395" spans="2:12">
      <c r="B395" s="368"/>
      <c r="C395" s="357"/>
      <c r="D395" s="179">
        <v>19</v>
      </c>
      <c r="E395" s="136" t="s">
        <v>194</v>
      </c>
      <c r="F395" s="61" t="s">
        <v>125</v>
      </c>
      <c r="G395" s="61" t="s">
        <v>1546</v>
      </c>
      <c r="H395" s="61"/>
      <c r="I395" s="61"/>
      <c r="J395" s="61"/>
      <c r="K395" s="61"/>
      <c r="L395" s="136"/>
    </row>
    <row r="396" spans="2:12">
      <c r="B396" s="368"/>
      <c r="C396" s="357"/>
      <c r="D396" s="179">
        <v>20</v>
      </c>
      <c r="E396" s="136" t="s">
        <v>1813</v>
      </c>
      <c r="F396" s="61" t="s">
        <v>81</v>
      </c>
      <c r="G396" s="61" t="s">
        <v>200</v>
      </c>
      <c r="H396" s="61">
        <v>0</v>
      </c>
      <c r="I396" s="61">
        <v>6</v>
      </c>
      <c r="J396" s="61"/>
      <c r="K396" s="61"/>
      <c r="L396" s="136"/>
    </row>
    <row r="397" spans="2:12">
      <c r="B397" s="368"/>
      <c r="C397" s="357"/>
      <c r="D397" s="179">
        <v>21</v>
      </c>
      <c r="E397" s="178"/>
      <c r="F397" s="61" t="s">
        <v>1800</v>
      </c>
      <c r="G397" s="61">
        <v>1000</v>
      </c>
      <c r="H397" s="61"/>
      <c r="I397" s="61"/>
      <c r="J397" s="61"/>
      <c r="K397" s="61"/>
      <c r="L397" s="178"/>
    </row>
    <row r="398" spans="2:12">
      <c r="B398" s="368"/>
      <c r="C398" s="357"/>
      <c r="D398" s="179">
        <v>22</v>
      </c>
      <c r="E398" s="137" t="s">
        <v>36</v>
      </c>
      <c r="F398" s="61" t="s">
        <v>126</v>
      </c>
      <c r="G398" s="61">
        <v>1</v>
      </c>
      <c r="H398" s="61">
        <v>3</v>
      </c>
      <c r="I398" s="61"/>
      <c r="J398" s="61"/>
      <c r="K398" s="61"/>
      <c r="L398" s="137"/>
    </row>
    <row r="399" spans="2:12">
      <c r="B399" s="368"/>
      <c r="C399" s="357"/>
      <c r="D399" s="179">
        <v>23</v>
      </c>
      <c r="E399" s="146"/>
      <c r="F399" s="61" t="s">
        <v>1561</v>
      </c>
      <c r="G399" s="61">
        <v>100</v>
      </c>
      <c r="H399" s="61"/>
      <c r="I399" s="61"/>
      <c r="J399" s="61"/>
      <c r="K399" s="61"/>
      <c r="L399" s="146"/>
    </row>
    <row r="400" spans="2:12">
      <c r="B400" s="368"/>
      <c r="C400" s="357"/>
      <c r="D400" s="179">
        <v>24</v>
      </c>
      <c r="E400" s="178"/>
      <c r="F400" s="61" t="s">
        <v>1801</v>
      </c>
      <c r="G400" s="61" t="s">
        <v>162</v>
      </c>
      <c r="H400" s="61">
        <v>0</v>
      </c>
      <c r="I400" s="61"/>
      <c r="J400" s="61"/>
      <c r="K400" s="61"/>
      <c r="L400" s="178"/>
    </row>
    <row r="401" spans="2:12">
      <c r="B401" s="368"/>
      <c r="C401" s="357"/>
      <c r="D401" s="179">
        <v>25</v>
      </c>
      <c r="E401" s="137" t="s">
        <v>1803</v>
      </c>
      <c r="F401" s="61" t="s">
        <v>126</v>
      </c>
      <c r="G401" s="61">
        <v>1</v>
      </c>
      <c r="H401" s="61">
        <v>2</v>
      </c>
      <c r="I401" s="61"/>
      <c r="J401" s="61"/>
      <c r="K401" s="61"/>
      <c r="L401" s="137"/>
    </row>
    <row r="402" spans="2:12">
      <c r="B402" s="368"/>
      <c r="C402" s="357"/>
      <c r="D402" s="179">
        <v>26</v>
      </c>
      <c r="E402" s="178"/>
      <c r="F402" s="61" t="s">
        <v>1802</v>
      </c>
      <c r="G402" s="61" t="s">
        <v>162</v>
      </c>
      <c r="H402" s="61">
        <v>1</v>
      </c>
      <c r="I402" s="61"/>
      <c r="J402" s="61"/>
      <c r="K402" s="61"/>
      <c r="L402" s="178"/>
    </row>
    <row r="403" spans="2:12">
      <c r="B403" s="368"/>
      <c r="C403" s="357"/>
      <c r="D403" s="179">
        <v>27</v>
      </c>
      <c r="E403" s="146"/>
      <c r="F403" s="61" t="s">
        <v>1561</v>
      </c>
      <c r="G403" s="61">
        <v>100</v>
      </c>
      <c r="H403" s="61"/>
      <c r="I403" s="61"/>
      <c r="J403" s="61"/>
      <c r="K403" s="61"/>
      <c r="L403" s="146"/>
    </row>
    <row r="404" spans="2:12">
      <c r="B404" s="368"/>
      <c r="C404" s="357"/>
      <c r="D404" s="179">
        <v>28</v>
      </c>
      <c r="E404" s="178"/>
      <c r="F404" s="61" t="s">
        <v>135</v>
      </c>
      <c r="G404" s="61">
        <v>25</v>
      </c>
      <c r="H404" s="61" t="s">
        <v>162</v>
      </c>
      <c r="I404" s="61">
        <v>2</v>
      </c>
      <c r="J404" s="61"/>
      <c r="K404" s="61"/>
      <c r="L404" s="178"/>
    </row>
    <row r="405" spans="2:12">
      <c r="B405" s="368"/>
      <c r="C405" s="357"/>
      <c r="D405" s="179">
        <v>29</v>
      </c>
      <c r="E405" s="137" t="s">
        <v>36</v>
      </c>
      <c r="F405" s="61" t="s">
        <v>126</v>
      </c>
      <c r="G405" s="61">
        <v>1</v>
      </c>
      <c r="H405" s="61">
        <v>4</v>
      </c>
      <c r="I405" s="61"/>
      <c r="J405" s="61"/>
      <c r="K405" s="61"/>
      <c r="L405" s="137"/>
    </row>
    <row r="406" spans="2:12">
      <c r="B406" s="368"/>
      <c r="C406" s="357"/>
      <c r="D406" s="179">
        <v>30</v>
      </c>
      <c r="E406" s="146"/>
      <c r="F406" s="61" t="s">
        <v>1561</v>
      </c>
      <c r="G406" s="61">
        <v>100</v>
      </c>
      <c r="H406" s="61"/>
      <c r="I406" s="61"/>
      <c r="J406" s="61"/>
      <c r="K406" s="61"/>
      <c r="L406" s="146"/>
    </row>
    <row r="407" spans="2:12">
      <c r="B407" s="368"/>
      <c r="C407" s="357"/>
      <c r="D407" s="179">
        <v>31</v>
      </c>
      <c r="E407" s="178"/>
      <c r="F407" s="61" t="s">
        <v>1801</v>
      </c>
      <c r="G407" s="61" t="s">
        <v>162</v>
      </c>
      <c r="H407" s="61">
        <v>0</v>
      </c>
      <c r="I407" s="61"/>
      <c r="J407" s="61"/>
      <c r="K407" s="61"/>
      <c r="L407" s="178"/>
    </row>
    <row r="408" spans="2:12">
      <c r="B408" s="368"/>
      <c r="C408" s="357"/>
      <c r="D408" s="179">
        <v>32</v>
      </c>
      <c r="E408" s="178" t="s">
        <v>172</v>
      </c>
      <c r="F408" s="61" t="s">
        <v>173</v>
      </c>
      <c r="G408" s="61">
        <v>0</v>
      </c>
      <c r="H408" s="61" t="s">
        <v>174</v>
      </c>
      <c r="I408" s="61"/>
      <c r="J408" s="61"/>
      <c r="K408" s="61"/>
      <c r="L408" s="178"/>
    </row>
    <row r="409" spans="2:12">
      <c r="B409" s="368"/>
      <c r="C409" s="357"/>
      <c r="D409" s="179">
        <v>33</v>
      </c>
      <c r="E409" s="136" t="s">
        <v>1804</v>
      </c>
      <c r="F409" s="61" t="s">
        <v>126</v>
      </c>
      <c r="G409" s="61">
        <v>1</v>
      </c>
      <c r="H409" s="61">
        <v>5</v>
      </c>
      <c r="I409" s="61"/>
      <c r="J409" s="61"/>
      <c r="K409" s="61"/>
      <c r="L409" s="136"/>
    </row>
    <row r="410" spans="2:12">
      <c r="B410" s="368"/>
      <c r="C410" s="357"/>
      <c r="D410" s="179">
        <v>34</v>
      </c>
      <c r="E410" s="136"/>
      <c r="F410" s="61" t="s">
        <v>125</v>
      </c>
      <c r="G410" s="61">
        <v>100</v>
      </c>
      <c r="H410" s="61"/>
      <c r="I410" s="61"/>
      <c r="J410" s="61"/>
      <c r="K410" s="61"/>
      <c r="L410" s="136"/>
    </row>
    <row r="411" spans="2:12">
      <c r="B411" s="368"/>
      <c r="C411" s="357"/>
      <c r="D411" s="179">
        <v>35</v>
      </c>
      <c r="E411" s="136"/>
      <c r="F411" s="61" t="s">
        <v>131</v>
      </c>
      <c r="G411" s="61" t="s">
        <v>162</v>
      </c>
      <c r="H411" s="61">
        <v>1</v>
      </c>
      <c r="I411" s="61"/>
      <c r="J411" s="61"/>
      <c r="K411" s="61"/>
      <c r="L411" s="136"/>
    </row>
    <row r="412" spans="2:12">
      <c r="B412" s="368"/>
      <c r="C412" s="357"/>
      <c r="D412" s="179">
        <v>36</v>
      </c>
      <c r="E412" s="136"/>
      <c r="F412" s="61" t="s">
        <v>135</v>
      </c>
      <c r="G412" s="61">
        <v>32</v>
      </c>
      <c r="H412" s="61" t="s">
        <v>162</v>
      </c>
      <c r="I412" s="61">
        <v>3</v>
      </c>
      <c r="J412" s="61"/>
      <c r="K412" s="61"/>
      <c r="L412" s="136"/>
    </row>
    <row r="413" spans="2:12">
      <c r="B413" s="368"/>
      <c r="C413" s="357"/>
      <c r="D413" s="179">
        <v>37</v>
      </c>
      <c r="E413" s="136" t="s">
        <v>194</v>
      </c>
      <c r="F413" s="61" t="s">
        <v>125</v>
      </c>
      <c r="G413" s="61" t="s">
        <v>1546</v>
      </c>
      <c r="H413" s="61"/>
      <c r="I413" s="61"/>
      <c r="J413" s="61"/>
      <c r="K413" s="61"/>
      <c r="L413" s="136"/>
    </row>
    <row r="414" spans="2:12">
      <c r="B414" s="368"/>
      <c r="C414" s="357"/>
      <c r="D414" s="179">
        <v>38</v>
      </c>
      <c r="E414" s="136" t="s">
        <v>1805</v>
      </c>
      <c r="F414" s="61" t="s">
        <v>81</v>
      </c>
      <c r="G414" s="61" t="s">
        <v>200</v>
      </c>
      <c r="H414" s="61">
        <v>0</v>
      </c>
      <c r="I414" s="61">
        <v>3</v>
      </c>
      <c r="J414" s="61"/>
      <c r="K414" s="61"/>
      <c r="L414" s="136"/>
    </row>
    <row r="415" spans="2:12">
      <c r="B415" s="368"/>
      <c r="C415" s="357"/>
      <c r="D415" s="179">
        <v>39</v>
      </c>
      <c r="E415" s="178"/>
      <c r="F415" s="61" t="s">
        <v>1800</v>
      </c>
      <c r="G415" s="61">
        <v>1000</v>
      </c>
      <c r="H415" s="61"/>
      <c r="I415" s="61"/>
      <c r="J415" s="61"/>
      <c r="K415" s="61"/>
      <c r="L415" s="178"/>
    </row>
    <row r="416" spans="2:12">
      <c r="B416" s="368"/>
      <c r="C416" s="357"/>
      <c r="D416" s="179">
        <v>40</v>
      </c>
      <c r="E416" s="178" t="s">
        <v>172</v>
      </c>
      <c r="F416" s="61" t="s">
        <v>173</v>
      </c>
      <c r="G416" s="61">
        <v>0</v>
      </c>
      <c r="H416" s="61" t="s">
        <v>174</v>
      </c>
      <c r="I416" s="61"/>
      <c r="J416" s="61"/>
      <c r="K416" s="61"/>
      <c r="L416" s="178"/>
    </row>
    <row r="417" spans="2:12">
      <c r="B417" s="368"/>
      <c r="C417" s="357"/>
      <c r="D417" s="179">
        <v>41</v>
      </c>
      <c r="E417" s="178" t="s">
        <v>234</v>
      </c>
      <c r="F417" s="61" t="s">
        <v>126</v>
      </c>
      <c r="G417" s="61">
        <v>1</v>
      </c>
      <c r="H417" s="61">
        <v>5</v>
      </c>
      <c r="I417" s="61"/>
      <c r="J417" s="61"/>
      <c r="K417" s="61"/>
      <c r="L417" s="178"/>
    </row>
    <row r="418" spans="2:12">
      <c r="B418" s="368"/>
      <c r="C418" s="357"/>
      <c r="D418" s="179">
        <v>42</v>
      </c>
      <c r="E418" s="136" t="s">
        <v>194</v>
      </c>
      <c r="F418" s="61" t="s">
        <v>125</v>
      </c>
      <c r="G418" s="61" t="s">
        <v>1546</v>
      </c>
      <c r="H418" s="61"/>
      <c r="I418" s="61"/>
      <c r="J418" s="61"/>
      <c r="K418" s="61"/>
      <c r="L418" s="136"/>
    </row>
    <row r="419" spans="2:12">
      <c r="B419" s="368"/>
      <c r="C419" s="357"/>
      <c r="D419" s="179">
        <v>43</v>
      </c>
      <c r="E419" s="136" t="s">
        <v>1100</v>
      </c>
      <c r="F419" s="61" t="s">
        <v>81</v>
      </c>
      <c r="G419" s="61" t="s">
        <v>200</v>
      </c>
      <c r="H419" s="61">
        <v>0</v>
      </c>
      <c r="I419" s="61">
        <v>1</v>
      </c>
      <c r="J419" s="61"/>
      <c r="K419" s="61"/>
      <c r="L419" s="136"/>
    </row>
    <row r="420" spans="2:12">
      <c r="B420" s="368"/>
      <c r="C420" s="357"/>
      <c r="D420" s="179">
        <v>44</v>
      </c>
      <c r="E420" s="136" t="s">
        <v>146</v>
      </c>
      <c r="F420" s="61" t="s">
        <v>123</v>
      </c>
      <c r="G420" s="61"/>
      <c r="H420" s="61"/>
      <c r="I420" s="61"/>
      <c r="J420" s="61"/>
      <c r="K420" s="61"/>
      <c r="L420" s="136"/>
    </row>
    <row r="421" spans="2:12">
      <c r="B421" s="369"/>
      <c r="C421" s="358"/>
      <c r="D421" s="136"/>
      <c r="E421" s="136"/>
      <c r="F421" s="61"/>
      <c r="G421" s="61"/>
      <c r="H421" s="61"/>
      <c r="I421" s="61"/>
      <c r="J421" s="61"/>
      <c r="K421" s="61"/>
      <c r="L421" s="136"/>
    </row>
    <row r="422" spans="2:12">
      <c r="B422" s="367" t="s">
        <v>1536</v>
      </c>
      <c r="C422" s="356" t="s">
        <v>38</v>
      </c>
      <c r="D422" s="136">
        <v>1</v>
      </c>
      <c r="E422" s="146" t="s">
        <v>1616</v>
      </c>
      <c r="F422" s="61" t="s">
        <v>87</v>
      </c>
      <c r="G422" s="61" t="s">
        <v>1617</v>
      </c>
      <c r="H422" s="61"/>
      <c r="I422" s="61"/>
      <c r="J422" s="61"/>
      <c r="K422" s="61"/>
      <c r="L422" s="136"/>
    </row>
    <row r="423" spans="2:12">
      <c r="B423" s="368"/>
      <c r="C423" s="357"/>
      <c r="D423" s="136">
        <v>2</v>
      </c>
      <c r="E423" s="136" t="s">
        <v>142</v>
      </c>
      <c r="F423" s="61" t="s">
        <v>122</v>
      </c>
      <c r="G423" s="61"/>
      <c r="H423" s="61"/>
      <c r="I423" s="61"/>
      <c r="J423" s="61"/>
      <c r="K423" s="61"/>
      <c r="L423" s="136"/>
    </row>
    <row r="424" spans="2:12">
      <c r="B424" s="368"/>
      <c r="C424" s="357"/>
      <c r="D424" s="178">
        <v>3</v>
      </c>
      <c r="E424" s="136" t="s">
        <v>1524</v>
      </c>
      <c r="F424" s="61" t="s">
        <v>1516</v>
      </c>
      <c r="G424" s="61" t="s">
        <v>1517</v>
      </c>
      <c r="H424" s="61"/>
      <c r="I424" s="61"/>
      <c r="J424" s="61"/>
      <c r="K424" s="61"/>
      <c r="L424" s="136"/>
    </row>
    <row r="425" spans="2:12">
      <c r="B425" s="368"/>
      <c r="C425" s="357"/>
      <c r="D425" s="178">
        <v>4</v>
      </c>
      <c r="E425" s="178" t="s">
        <v>172</v>
      </c>
      <c r="F425" s="61" t="s">
        <v>173</v>
      </c>
      <c r="G425" s="61">
        <v>0</v>
      </c>
      <c r="H425" s="61" t="s">
        <v>174</v>
      </c>
      <c r="I425" s="61"/>
      <c r="J425" s="61"/>
      <c r="K425" s="61"/>
      <c r="L425" s="178"/>
    </row>
    <row r="426" spans="2:12">
      <c r="B426" s="368"/>
      <c r="C426" s="357"/>
      <c r="D426" s="178">
        <v>5</v>
      </c>
      <c r="E426" s="178" t="s">
        <v>234</v>
      </c>
      <c r="F426" s="61" t="s">
        <v>126</v>
      </c>
      <c r="G426" s="61">
        <v>1</v>
      </c>
      <c r="H426" s="61">
        <v>1</v>
      </c>
      <c r="I426" s="61"/>
      <c r="J426" s="61"/>
      <c r="K426" s="61"/>
      <c r="L426" s="178"/>
    </row>
    <row r="427" spans="2:12">
      <c r="B427" s="368"/>
      <c r="C427" s="357"/>
      <c r="D427" s="178">
        <v>6</v>
      </c>
      <c r="E427" s="136" t="s">
        <v>194</v>
      </c>
      <c r="F427" s="61" t="s">
        <v>125</v>
      </c>
      <c r="G427" s="61" t="s">
        <v>1546</v>
      </c>
      <c r="H427" s="61"/>
      <c r="I427" s="61"/>
      <c r="J427" s="61"/>
      <c r="K427" s="61"/>
      <c r="L427" s="136"/>
    </row>
    <row r="428" spans="2:12">
      <c r="B428" s="368"/>
      <c r="C428" s="357"/>
      <c r="D428" s="178">
        <v>7</v>
      </c>
      <c r="E428" s="136" t="s">
        <v>195</v>
      </c>
      <c r="F428" s="61" t="s">
        <v>81</v>
      </c>
      <c r="G428" s="61" t="s">
        <v>196</v>
      </c>
      <c r="H428" s="61" t="s">
        <v>197</v>
      </c>
      <c r="I428" s="61" t="s">
        <v>197</v>
      </c>
      <c r="J428" s="61"/>
      <c r="K428" s="61"/>
      <c r="L428" s="136"/>
    </row>
    <row r="429" spans="2:12">
      <c r="B429" s="368"/>
      <c r="C429" s="357"/>
      <c r="D429" s="178">
        <v>8</v>
      </c>
      <c r="E429" s="136"/>
      <c r="F429" s="61" t="s">
        <v>81</v>
      </c>
      <c r="G429" s="61" t="s">
        <v>198</v>
      </c>
      <c r="H429" s="61" t="s">
        <v>199</v>
      </c>
      <c r="I429" s="61" t="s">
        <v>197</v>
      </c>
      <c r="J429" s="61" t="s">
        <v>197</v>
      </c>
      <c r="K429" s="61"/>
      <c r="L429" s="136"/>
    </row>
    <row r="430" spans="2:12">
      <c r="B430" s="368"/>
      <c r="C430" s="357"/>
      <c r="D430" s="178">
        <v>9</v>
      </c>
      <c r="E430" s="136" t="s">
        <v>1524</v>
      </c>
      <c r="F430" s="61" t="s">
        <v>1516</v>
      </c>
      <c r="G430" s="61" t="s">
        <v>1517</v>
      </c>
      <c r="H430" s="61"/>
      <c r="I430" s="61"/>
      <c r="J430" s="61"/>
      <c r="K430" s="61"/>
      <c r="L430" s="136"/>
    </row>
    <row r="431" spans="2:12">
      <c r="B431" s="368"/>
      <c r="C431" s="357"/>
      <c r="D431" s="178">
        <v>10</v>
      </c>
      <c r="E431" s="178" t="s">
        <v>172</v>
      </c>
      <c r="F431" s="61" t="s">
        <v>173</v>
      </c>
      <c r="G431" s="61">
        <v>0</v>
      </c>
      <c r="H431" s="61" t="s">
        <v>174</v>
      </c>
      <c r="I431" s="61"/>
      <c r="J431" s="61"/>
      <c r="K431" s="61"/>
      <c r="L431" s="178"/>
    </row>
    <row r="432" spans="2:12">
      <c r="B432" s="368"/>
      <c r="C432" s="357"/>
      <c r="D432" s="178">
        <v>11</v>
      </c>
      <c r="E432" s="178" t="s">
        <v>234</v>
      </c>
      <c r="F432" s="61" t="s">
        <v>126</v>
      </c>
      <c r="G432" s="61">
        <v>1</v>
      </c>
      <c r="H432" s="61">
        <v>1</v>
      </c>
      <c r="I432" s="61"/>
      <c r="J432" s="61"/>
      <c r="K432" s="61"/>
      <c r="L432" s="178"/>
    </row>
    <row r="433" spans="2:12">
      <c r="B433" s="368"/>
      <c r="C433" s="357"/>
      <c r="D433" s="178">
        <v>12</v>
      </c>
      <c r="E433" s="146" t="s">
        <v>194</v>
      </c>
      <c r="F433" s="61" t="s">
        <v>125</v>
      </c>
      <c r="G433" s="61" t="s">
        <v>1546</v>
      </c>
      <c r="H433" s="61"/>
      <c r="I433" s="61"/>
      <c r="J433" s="61"/>
      <c r="K433" s="61"/>
      <c r="L433" s="136"/>
    </row>
    <row r="434" spans="2:12">
      <c r="B434" s="368"/>
      <c r="C434" s="357"/>
      <c r="D434" s="178">
        <v>13</v>
      </c>
      <c r="E434" s="136" t="s">
        <v>195</v>
      </c>
      <c r="F434" s="61" t="s">
        <v>81</v>
      </c>
      <c r="G434" s="61" t="s">
        <v>196</v>
      </c>
      <c r="H434" s="61" t="s">
        <v>197</v>
      </c>
      <c r="I434" s="61" t="s">
        <v>197</v>
      </c>
      <c r="J434" s="61"/>
      <c r="K434" s="61"/>
      <c r="L434" s="136"/>
    </row>
    <row r="435" spans="2:12">
      <c r="B435" s="368"/>
      <c r="C435" s="357"/>
      <c r="D435" s="178">
        <v>14</v>
      </c>
      <c r="E435" s="136"/>
      <c r="F435" s="61" t="s">
        <v>81</v>
      </c>
      <c r="G435" s="61" t="s">
        <v>198</v>
      </c>
      <c r="H435" s="61" t="s">
        <v>199</v>
      </c>
      <c r="I435" s="61" t="s">
        <v>197</v>
      </c>
      <c r="J435" s="61" t="s">
        <v>197</v>
      </c>
      <c r="K435" s="61"/>
      <c r="L435" s="136"/>
    </row>
    <row r="436" spans="2:12">
      <c r="B436" s="368"/>
      <c r="C436" s="357"/>
      <c r="D436" s="178">
        <v>15</v>
      </c>
      <c r="E436" s="146" t="s">
        <v>1524</v>
      </c>
      <c r="F436" s="61" t="s">
        <v>81</v>
      </c>
      <c r="G436" s="61" t="s">
        <v>1517</v>
      </c>
      <c r="H436" s="61"/>
      <c r="I436" s="61"/>
      <c r="J436" s="61"/>
      <c r="K436" s="61"/>
      <c r="L436" s="146"/>
    </row>
    <row r="437" spans="2:12">
      <c r="B437" s="368"/>
      <c r="C437" s="357"/>
      <c r="D437" s="178">
        <v>16</v>
      </c>
      <c r="E437" s="178" t="s">
        <v>194</v>
      </c>
      <c r="F437" s="61" t="s">
        <v>125</v>
      </c>
      <c r="G437" s="61" t="s">
        <v>1546</v>
      </c>
      <c r="H437" s="61"/>
      <c r="I437" s="61"/>
      <c r="J437" s="61"/>
      <c r="K437" s="61"/>
      <c r="L437" s="178"/>
    </row>
    <row r="438" spans="2:12">
      <c r="B438" s="368"/>
      <c r="C438" s="357"/>
      <c r="D438" s="178">
        <v>17</v>
      </c>
      <c r="E438" s="146" t="s">
        <v>1525</v>
      </c>
      <c r="F438" s="61" t="s">
        <v>81</v>
      </c>
      <c r="G438" s="61" t="s">
        <v>196</v>
      </c>
      <c r="H438" s="61" t="s">
        <v>197</v>
      </c>
      <c r="I438" s="61" t="s">
        <v>197</v>
      </c>
      <c r="J438" s="61"/>
      <c r="K438" s="61"/>
      <c r="L438" s="146"/>
    </row>
    <row r="439" spans="2:12">
      <c r="B439" s="368"/>
      <c r="C439" s="357"/>
      <c r="D439" s="178">
        <v>18</v>
      </c>
      <c r="E439" s="146"/>
      <c r="F439" s="61" t="s">
        <v>81</v>
      </c>
      <c r="G439" s="61" t="s">
        <v>198</v>
      </c>
      <c r="H439" s="61" t="s">
        <v>199</v>
      </c>
      <c r="I439" s="61" t="s">
        <v>197</v>
      </c>
      <c r="J439" s="61" t="s">
        <v>197</v>
      </c>
      <c r="K439" s="61">
        <v>1</v>
      </c>
      <c r="L439" s="146"/>
    </row>
    <row r="440" spans="2:12">
      <c r="B440" s="368"/>
      <c r="C440" s="357"/>
      <c r="D440" s="178">
        <v>19</v>
      </c>
      <c r="E440" s="178"/>
      <c r="F440" s="61" t="s">
        <v>1800</v>
      </c>
      <c r="G440" s="61">
        <v>1000</v>
      </c>
      <c r="H440" s="61"/>
      <c r="I440" s="61"/>
      <c r="J440" s="61"/>
      <c r="K440" s="61"/>
      <c r="L440" s="178"/>
    </row>
    <row r="441" spans="2:12">
      <c r="B441" s="368"/>
      <c r="C441" s="357"/>
      <c r="D441" s="178">
        <v>20</v>
      </c>
      <c r="E441" s="178" t="s">
        <v>172</v>
      </c>
      <c r="F441" s="61" t="s">
        <v>173</v>
      </c>
      <c r="G441" s="61">
        <v>0</v>
      </c>
      <c r="H441" s="61" t="s">
        <v>174</v>
      </c>
      <c r="I441" s="61"/>
      <c r="J441" s="61"/>
      <c r="K441" s="61"/>
      <c r="L441" s="178"/>
    </row>
    <row r="442" spans="2:12">
      <c r="B442" s="368"/>
      <c r="C442" s="357"/>
      <c r="D442" s="178">
        <v>21</v>
      </c>
      <c r="E442" s="178" t="s">
        <v>234</v>
      </c>
      <c r="F442" s="61" t="s">
        <v>126</v>
      </c>
      <c r="G442" s="61">
        <v>1</v>
      </c>
      <c r="H442" s="61">
        <v>2</v>
      </c>
      <c r="I442" s="61"/>
      <c r="J442" s="61"/>
      <c r="K442" s="61"/>
      <c r="L442" s="178"/>
    </row>
    <row r="443" spans="2:12">
      <c r="B443" s="368"/>
      <c r="C443" s="357"/>
      <c r="D443" s="178">
        <v>22</v>
      </c>
      <c r="E443" s="146" t="s">
        <v>194</v>
      </c>
      <c r="F443" s="61" t="s">
        <v>125</v>
      </c>
      <c r="G443" s="61" t="s">
        <v>1546</v>
      </c>
      <c r="H443" s="61"/>
      <c r="I443" s="61"/>
      <c r="J443" s="61"/>
      <c r="K443" s="61"/>
      <c r="L443" s="146"/>
    </row>
    <row r="444" spans="2:12">
      <c r="B444" s="368"/>
      <c r="C444" s="357"/>
      <c r="D444" s="178">
        <v>23</v>
      </c>
      <c r="E444" s="146" t="s">
        <v>1552</v>
      </c>
      <c r="F444" s="61" t="s">
        <v>87</v>
      </c>
      <c r="G444" s="61" t="s">
        <v>1551</v>
      </c>
      <c r="H444" s="61"/>
      <c r="I444" s="61"/>
      <c r="J444" s="61"/>
      <c r="K444" s="61"/>
      <c r="L444" s="146"/>
    </row>
    <row r="445" spans="2:12">
      <c r="B445" s="368"/>
      <c r="C445" s="357"/>
      <c r="D445" s="178">
        <v>24</v>
      </c>
      <c r="E445" s="178" t="s">
        <v>36</v>
      </c>
      <c r="F445" s="61" t="s">
        <v>126</v>
      </c>
      <c r="G445" s="61">
        <v>1</v>
      </c>
      <c r="H445" s="61">
        <v>2</v>
      </c>
      <c r="I445" s="61"/>
      <c r="J445" s="61"/>
      <c r="K445" s="61"/>
      <c r="L445" s="178"/>
    </row>
    <row r="446" spans="2:12">
      <c r="B446" s="368"/>
      <c r="C446" s="357"/>
      <c r="D446" s="178">
        <v>25</v>
      </c>
      <c r="E446" s="146"/>
      <c r="F446" s="61" t="s">
        <v>125</v>
      </c>
      <c r="G446" s="61">
        <v>1000</v>
      </c>
      <c r="H446" s="61"/>
      <c r="I446" s="61"/>
      <c r="J446" s="61"/>
      <c r="K446" s="61"/>
      <c r="L446" s="146"/>
    </row>
    <row r="447" spans="2:12">
      <c r="B447" s="368"/>
      <c r="C447" s="357"/>
      <c r="D447" s="178">
        <v>26</v>
      </c>
      <c r="E447" s="136" t="s">
        <v>201</v>
      </c>
      <c r="F447" s="61" t="s">
        <v>81</v>
      </c>
      <c r="G447" s="61" t="s">
        <v>196</v>
      </c>
      <c r="H447" s="61" t="s">
        <v>197</v>
      </c>
      <c r="I447" s="61" t="s">
        <v>202</v>
      </c>
      <c r="J447" s="61"/>
      <c r="K447" s="61"/>
      <c r="L447" s="136"/>
    </row>
    <row r="448" spans="2:12">
      <c r="B448" s="368"/>
      <c r="C448" s="357"/>
      <c r="D448" s="178">
        <v>27</v>
      </c>
      <c r="E448" s="136"/>
      <c r="F448" s="61" t="s">
        <v>81</v>
      </c>
      <c r="G448" s="61" t="s">
        <v>198</v>
      </c>
      <c r="H448" s="61" t="s">
        <v>199</v>
      </c>
      <c r="I448" s="61" t="s">
        <v>202</v>
      </c>
      <c r="J448" s="61" t="s">
        <v>202</v>
      </c>
      <c r="K448" s="61"/>
      <c r="L448" s="136"/>
    </row>
    <row r="449" spans="2:12">
      <c r="B449" s="368"/>
      <c r="C449" s="357"/>
      <c r="D449" s="178">
        <v>28</v>
      </c>
      <c r="E449" s="136" t="s">
        <v>146</v>
      </c>
      <c r="F449" s="61" t="s">
        <v>123</v>
      </c>
      <c r="G449" s="61"/>
      <c r="H449" s="61"/>
      <c r="I449" s="61"/>
      <c r="J449" s="61"/>
      <c r="K449" s="61"/>
      <c r="L449" s="136"/>
    </row>
    <row r="450" spans="2:12">
      <c r="B450" s="369"/>
      <c r="C450" s="358"/>
      <c r="D450" s="136"/>
      <c r="E450" s="136"/>
      <c r="F450" s="61"/>
      <c r="G450" s="61"/>
      <c r="H450" s="61"/>
      <c r="I450" s="61"/>
      <c r="J450" s="61"/>
      <c r="K450" s="61"/>
      <c r="L450" s="136"/>
    </row>
    <row r="451" spans="2:12">
      <c r="B451" s="367" t="s">
        <v>286</v>
      </c>
      <c r="C451" s="356" t="s">
        <v>1478</v>
      </c>
      <c r="D451" s="60">
        <v>1</v>
      </c>
      <c r="E451" s="60" t="s">
        <v>142</v>
      </c>
      <c r="F451" s="61" t="s">
        <v>122</v>
      </c>
      <c r="G451" s="61"/>
      <c r="H451" s="61"/>
      <c r="I451" s="61"/>
      <c r="J451" s="61"/>
      <c r="K451" s="61"/>
      <c r="L451" s="60"/>
    </row>
    <row r="452" spans="2:12">
      <c r="B452" s="368"/>
      <c r="C452" s="357"/>
      <c r="D452" s="60">
        <v>2</v>
      </c>
      <c r="E452" s="146" t="s">
        <v>1616</v>
      </c>
      <c r="F452" s="61" t="s">
        <v>87</v>
      </c>
      <c r="G452" s="61" t="s">
        <v>1617</v>
      </c>
      <c r="H452" s="61"/>
      <c r="I452" s="61"/>
      <c r="J452" s="61"/>
      <c r="K452" s="61"/>
      <c r="L452" s="60"/>
    </row>
    <row r="453" spans="2:12">
      <c r="B453" s="368"/>
      <c r="C453" s="357"/>
      <c r="D453" s="146">
        <v>3</v>
      </c>
      <c r="E453" s="60" t="s">
        <v>819</v>
      </c>
      <c r="F453" s="61" t="s">
        <v>87</v>
      </c>
      <c r="G453" s="61" t="s">
        <v>820</v>
      </c>
      <c r="H453" s="61"/>
      <c r="I453" s="61"/>
      <c r="J453" s="61"/>
      <c r="K453" s="61"/>
      <c r="L453" s="60"/>
    </row>
    <row r="454" spans="2:12">
      <c r="B454" s="368"/>
      <c r="C454" s="357"/>
      <c r="D454" s="146">
        <v>4</v>
      </c>
      <c r="E454" s="60" t="s">
        <v>146</v>
      </c>
      <c r="F454" s="61" t="s">
        <v>123</v>
      </c>
      <c r="G454" s="61"/>
      <c r="H454" s="61"/>
      <c r="I454" s="61"/>
      <c r="J454" s="61"/>
      <c r="K454" s="61"/>
      <c r="L454" s="60"/>
    </row>
    <row r="455" spans="2:12">
      <c r="B455" s="369"/>
      <c r="C455" s="358"/>
      <c r="D455" s="60"/>
      <c r="E455" s="60"/>
      <c r="F455" s="61"/>
      <c r="G455" s="61"/>
      <c r="H455" s="61"/>
      <c r="I455" s="61"/>
      <c r="J455" s="61"/>
      <c r="K455" s="61"/>
      <c r="L455" s="60"/>
    </row>
    <row r="456" spans="2:12">
      <c r="B456" s="367" t="s">
        <v>287</v>
      </c>
      <c r="C456" s="356" t="s">
        <v>1478</v>
      </c>
      <c r="D456" s="60">
        <v>1</v>
      </c>
      <c r="E456" s="60" t="s">
        <v>142</v>
      </c>
      <c r="F456" s="61" t="s">
        <v>122</v>
      </c>
      <c r="G456" s="61"/>
      <c r="H456" s="61"/>
      <c r="I456" s="61"/>
      <c r="J456" s="61"/>
      <c r="K456" s="61"/>
      <c r="L456" s="60"/>
    </row>
    <row r="457" spans="2:12">
      <c r="B457" s="368"/>
      <c r="C457" s="357"/>
      <c r="D457" s="60">
        <v>2</v>
      </c>
      <c r="E457" s="146" t="s">
        <v>1616</v>
      </c>
      <c r="F457" s="61" t="s">
        <v>87</v>
      </c>
      <c r="G457" s="61" t="s">
        <v>1617</v>
      </c>
      <c r="H457" s="61"/>
      <c r="I457" s="61"/>
      <c r="J457" s="61"/>
      <c r="K457" s="61"/>
      <c r="L457" s="60"/>
    </row>
    <row r="458" spans="2:12">
      <c r="B458" s="368"/>
      <c r="C458" s="357"/>
      <c r="D458" s="146">
        <v>3</v>
      </c>
      <c r="E458" s="60" t="s">
        <v>36</v>
      </c>
      <c r="F458" s="61" t="s">
        <v>126</v>
      </c>
      <c r="G458" s="61">
        <v>1</v>
      </c>
      <c r="H458" s="61">
        <v>1</v>
      </c>
      <c r="I458" s="61"/>
      <c r="J458" s="61"/>
      <c r="K458" s="61"/>
      <c r="L458" s="60"/>
    </row>
    <row r="459" spans="2:12">
      <c r="B459" s="368"/>
      <c r="C459" s="357"/>
      <c r="D459" s="146">
        <v>4</v>
      </c>
      <c r="E459" s="60"/>
      <c r="F459" s="61" t="s">
        <v>125</v>
      </c>
      <c r="G459" s="61">
        <v>100</v>
      </c>
      <c r="H459" s="61"/>
      <c r="I459" s="61"/>
      <c r="J459" s="61"/>
      <c r="K459" s="61"/>
      <c r="L459" s="60"/>
    </row>
    <row r="460" spans="2:12">
      <c r="B460" s="368"/>
      <c r="C460" s="357"/>
      <c r="D460" s="146">
        <v>5</v>
      </c>
      <c r="E460" s="60" t="s">
        <v>36</v>
      </c>
      <c r="F460" s="61" t="s">
        <v>126</v>
      </c>
      <c r="G460" s="61">
        <v>1</v>
      </c>
      <c r="H460" s="61">
        <v>2</v>
      </c>
      <c r="I460" s="61"/>
      <c r="J460" s="61"/>
      <c r="K460" s="61"/>
      <c r="L460" s="60"/>
    </row>
    <row r="461" spans="2:12">
      <c r="B461" s="368"/>
      <c r="C461" s="357"/>
      <c r="D461" s="146">
        <v>6</v>
      </c>
      <c r="E461" s="60" t="s">
        <v>819</v>
      </c>
      <c r="F461" s="61" t="s">
        <v>87</v>
      </c>
      <c r="G461" s="61" t="s">
        <v>820</v>
      </c>
      <c r="H461" s="61"/>
      <c r="I461" s="61"/>
      <c r="J461" s="61"/>
      <c r="K461" s="61"/>
      <c r="L461" s="60"/>
    </row>
    <row r="462" spans="2:12">
      <c r="B462" s="368"/>
      <c r="C462" s="357"/>
      <c r="D462" s="146">
        <v>7</v>
      </c>
      <c r="E462" s="60" t="s">
        <v>146</v>
      </c>
      <c r="F462" s="61" t="s">
        <v>123</v>
      </c>
      <c r="G462" s="61"/>
      <c r="H462" s="61"/>
      <c r="I462" s="61"/>
      <c r="J462" s="61"/>
      <c r="K462" s="61"/>
      <c r="L462" s="60"/>
    </row>
    <row r="463" spans="2:12">
      <c r="B463" s="369"/>
      <c r="C463" s="358"/>
      <c r="D463" s="60"/>
      <c r="E463" s="60"/>
      <c r="F463" s="61"/>
      <c r="G463" s="61"/>
      <c r="H463" s="61"/>
      <c r="I463" s="61"/>
      <c r="J463" s="61"/>
      <c r="K463" s="61"/>
      <c r="L463" s="60"/>
    </row>
    <row r="464" spans="2:12">
      <c r="B464" s="367" t="s">
        <v>288</v>
      </c>
      <c r="C464" s="356" t="s">
        <v>1478</v>
      </c>
      <c r="D464" s="60">
        <v>1</v>
      </c>
      <c r="E464" s="60" t="s">
        <v>142</v>
      </c>
      <c r="F464" s="61" t="s">
        <v>122</v>
      </c>
      <c r="G464" s="61"/>
      <c r="H464" s="61"/>
      <c r="I464" s="61"/>
      <c r="J464" s="61"/>
      <c r="K464" s="61"/>
      <c r="L464" s="60"/>
    </row>
    <row r="465" spans="2:12">
      <c r="B465" s="368"/>
      <c r="C465" s="357"/>
      <c r="D465" s="60">
        <v>2</v>
      </c>
      <c r="E465" s="146" t="s">
        <v>1616</v>
      </c>
      <c r="F465" s="61" t="s">
        <v>87</v>
      </c>
      <c r="G465" s="61" t="s">
        <v>1617</v>
      </c>
      <c r="H465" s="61"/>
      <c r="I465" s="61"/>
      <c r="J465" s="61"/>
      <c r="K465" s="61"/>
      <c r="L465" s="60"/>
    </row>
    <row r="466" spans="2:12">
      <c r="B466" s="368"/>
      <c r="C466" s="357"/>
      <c r="D466" s="146">
        <v>3</v>
      </c>
      <c r="E466" s="60" t="s">
        <v>172</v>
      </c>
      <c r="F466" s="61" t="s">
        <v>173</v>
      </c>
      <c r="G466" s="61">
        <v>0</v>
      </c>
      <c r="H466" s="61" t="s">
        <v>174</v>
      </c>
      <c r="I466" s="61"/>
      <c r="J466" s="61"/>
      <c r="K466" s="61"/>
      <c r="L466" s="60"/>
    </row>
    <row r="467" spans="2:12">
      <c r="B467" s="368"/>
      <c r="C467" s="357"/>
      <c r="D467" s="146">
        <v>4</v>
      </c>
      <c r="E467" s="60" t="s">
        <v>234</v>
      </c>
      <c r="F467" s="61" t="s">
        <v>126</v>
      </c>
      <c r="G467" s="61">
        <v>1</v>
      </c>
      <c r="H467" s="61">
        <v>1</v>
      </c>
      <c r="I467" s="61"/>
      <c r="J467" s="61"/>
      <c r="K467" s="61"/>
      <c r="L467" s="60"/>
    </row>
    <row r="468" spans="2:12">
      <c r="B468" s="368"/>
      <c r="C468" s="357"/>
      <c r="D468" s="146">
        <v>5</v>
      </c>
      <c r="E468" s="60"/>
      <c r="F468" s="61" t="s">
        <v>125</v>
      </c>
      <c r="G468" s="61">
        <v>100</v>
      </c>
      <c r="H468" s="61"/>
      <c r="I468" s="61"/>
      <c r="J468" s="61"/>
      <c r="K468" s="61"/>
      <c r="L468" s="60"/>
    </row>
    <row r="469" spans="2:12">
      <c r="B469" s="368"/>
      <c r="C469" s="357"/>
      <c r="D469" s="146">
        <v>6</v>
      </c>
      <c r="E469" s="60"/>
      <c r="F469" s="61" t="s">
        <v>131</v>
      </c>
      <c r="G469" s="61" t="s">
        <v>162</v>
      </c>
      <c r="H469" s="61">
        <v>1</v>
      </c>
      <c r="I469" s="61"/>
      <c r="J469" s="61"/>
      <c r="K469" s="61"/>
      <c r="L469" s="60"/>
    </row>
    <row r="470" spans="2:12">
      <c r="B470" s="368"/>
      <c r="C470" s="357"/>
      <c r="D470" s="146">
        <v>7</v>
      </c>
      <c r="E470" s="60"/>
      <c r="F470" s="61" t="s">
        <v>135</v>
      </c>
      <c r="G470" s="61">
        <v>3</v>
      </c>
      <c r="H470" s="61" t="s">
        <v>162</v>
      </c>
      <c r="I470" s="61">
        <v>5</v>
      </c>
      <c r="J470" s="61"/>
      <c r="K470" s="61"/>
      <c r="L470" s="60"/>
    </row>
    <row r="471" spans="2:12">
      <c r="B471" s="368"/>
      <c r="C471" s="357"/>
      <c r="D471" s="146">
        <v>8</v>
      </c>
      <c r="E471" s="60" t="s">
        <v>289</v>
      </c>
      <c r="F471" s="61" t="s">
        <v>87</v>
      </c>
      <c r="G471" s="61" t="s">
        <v>820</v>
      </c>
      <c r="H471" s="61"/>
      <c r="I471" s="61"/>
      <c r="J471" s="61"/>
      <c r="K471" s="61"/>
      <c r="L471" s="60"/>
    </row>
    <row r="472" spans="2:12">
      <c r="B472" s="368"/>
      <c r="C472" s="357"/>
      <c r="D472" s="146">
        <v>9</v>
      </c>
      <c r="E472" s="60" t="s">
        <v>290</v>
      </c>
      <c r="F472" s="61" t="s">
        <v>81</v>
      </c>
      <c r="G472" s="61" t="s">
        <v>196</v>
      </c>
      <c r="H472" s="61" t="s">
        <v>197</v>
      </c>
      <c r="I472" s="61" t="s">
        <v>202</v>
      </c>
      <c r="J472" s="61"/>
      <c r="K472" s="61"/>
      <c r="L472" s="60"/>
    </row>
    <row r="473" spans="2:12">
      <c r="B473" s="368"/>
      <c r="C473" s="357"/>
      <c r="D473" s="146">
        <v>10</v>
      </c>
      <c r="E473" s="60"/>
      <c r="F473" s="61" t="s">
        <v>81</v>
      </c>
      <c r="G473" s="61" t="s">
        <v>198</v>
      </c>
      <c r="H473" s="61" t="s">
        <v>291</v>
      </c>
      <c r="I473" s="61" t="s">
        <v>202</v>
      </c>
      <c r="J473" s="61" t="s">
        <v>202</v>
      </c>
      <c r="K473" s="61">
        <v>0</v>
      </c>
      <c r="L473" s="60"/>
    </row>
    <row r="474" spans="2:12">
      <c r="B474" s="368"/>
      <c r="C474" s="357"/>
      <c r="D474" s="146">
        <v>11</v>
      </c>
      <c r="E474" s="60" t="s">
        <v>146</v>
      </c>
      <c r="F474" s="61" t="s">
        <v>123</v>
      </c>
      <c r="G474" s="61"/>
      <c r="H474" s="61"/>
      <c r="I474" s="61"/>
      <c r="J474" s="61"/>
      <c r="K474" s="61"/>
      <c r="L474" s="60"/>
    </row>
    <row r="475" spans="2:12">
      <c r="B475" s="369"/>
      <c r="C475" s="358"/>
      <c r="D475" s="60"/>
      <c r="E475" s="60"/>
      <c r="F475" s="61"/>
      <c r="G475" s="61"/>
      <c r="H475" s="61"/>
      <c r="I475" s="61"/>
      <c r="J475" s="61"/>
      <c r="K475" s="61"/>
      <c r="L475" s="60"/>
    </row>
    <row r="476" spans="2:12">
      <c r="B476" s="367" t="s">
        <v>292</v>
      </c>
      <c r="C476" s="356" t="s">
        <v>1478</v>
      </c>
      <c r="D476" s="60">
        <v>1</v>
      </c>
      <c r="E476" s="60" t="s">
        <v>142</v>
      </c>
      <c r="F476" s="61" t="s">
        <v>122</v>
      </c>
      <c r="G476" s="61"/>
      <c r="H476" s="61"/>
      <c r="I476" s="61"/>
      <c r="J476" s="61"/>
      <c r="K476" s="61"/>
      <c r="L476" s="60"/>
    </row>
    <row r="477" spans="2:12">
      <c r="B477" s="368"/>
      <c r="C477" s="357"/>
      <c r="D477" s="60">
        <v>2</v>
      </c>
      <c r="E477" s="146" t="s">
        <v>1616</v>
      </c>
      <c r="F477" s="61" t="s">
        <v>87</v>
      </c>
      <c r="G477" s="61" t="s">
        <v>1617</v>
      </c>
      <c r="H477" s="61"/>
      <c r="I477" s="61"/>
      <c r="J477" s="61"/>
      <c r="K477" s="61"/>
      <c r="L477" s="60"/>
    </row>
    <row r="478" spans="2:12">
      <c r="B478" s="368"/>
      <c r="C478" s="357"/>
      <c r="D478" s="146">
        <v>3</v>
      </c>
      <c r="E478" s="60"/>
      <c r="F478" s="61" t="s">
        <v>130</v>
      </c>
      <c r="G478" s="61" t="s">
        <v>162</v>
      </c>
      <c r="H478" s="61">
        <v>1</v>
      </c>
      <c r="I478" s="61"/>
      <c r="J478" s="61"/>
      <c r="K478" s="61"/>
      <c r="L478" s="60"/>
    </row>
    <row r="479" spans="2:12">
      <c r="B479" s="368"/>
      <c r="C479" s="357"/>
      <c r="D479" s="171">
        <v>4</v>
      </c>
      <c r="E479" s="60" t="s">
        <v>36</v>
      </c>
      <c r="F479" s="61" t="s">
        <v>126</v>
      </c>
      <c r="G479" s="61">
        <v>1</v>
      </c>
      <c r="H479" s="61" t="s">
        <v>162</v>
      </c>
      <c r="I479" s="61"/>
      <c r="J479" s="61"/>
      <c r="K479" s="61"/>
      <c r="L479" s="60"/>
    </row>
    <row r="480" spans="2:12">
      <c r="B480" s="368"/>
      <c r="C480" s="357"/>
      <c r="D480" s="171">
        <v>5</v>
      </c>
      <c r="E480" s="60"/>
      <c r="F480" s="61" t="s">
        <v>125</v>
      </c>
      <c r="G480" s="61">
        <v>100</v>
      </c>
      <c r="H480" s="61"/>
      <c r="I480" s="61"/>
      <c r="J480" s="61"/>
      <c r="K480" s="61"/>
      <c r="L480" s="60"/>
    </row>
    <row r="481" spans="2:12">
      <c r="B481" s="368"/>
      <c r="C481" s="357"/>
      <c r="D481" s="171">
        <v>6</v>
      </c>
      <c r="E481" s="60"/>
      <c r="F481" s="61" t="s">
        <v>131</v>
      </c>
      <c r="G481" s="61" t="s">
        <v>162</v>
      </c>
      <c r="H481" s="61">
        <v>1</v>
      </c>
      <c r="I481" s="61"/>
      <c r="J481" s="61"/>
      <c r="K481" s="61"/>
      <c r="L481" s="60"/>
    </row>
    <row r="482" spans="2:12">
      <c r="B482" s="368"/>
      <c r="C482" s="357"/>
      <c r="D482" s="171">
        <v>7</v>
      </c>
      <c r="E482" s="60"/>
      <c r="F482" s="61" t="s">
        <v>135</v>
      </c>
      <c r="G482" s="61">
        <v>4</v>
      </c>
      <c r="H482" s="61" t="s">
        <v>162</v>
      </c>
      <c r="I482" s="61">
        <v>4</v>
      </c>
      <c r="J482" s="61"/>
      <c r="K482" s="61"/>
      <c r="L482" s="60"/>
    </row>
    <row r="483" spans="2:12">
      <c r="B483" s="368"/>
      <c r="C483" s="357"/>
      <c r="D483" s="171">
        <v>8</v>
      </c>
      <c r="E483" s="60"/>
      <c r="F483" s="61" t="s">
        <v>817</v>
      </c>
      <c r="G483" s="61">
        <v>1000</v>
      </c>
      <c r="H483" s="61"/>
      <c r="I483" s="61"/>
      <c r="J483" s="61"/>
      <c r="K483" s="61"/>
      <c r="L483" s="60"/>
    </row>
    <row r="484" spans="2:12">
      <c r="B484" s="368"/>
      <c r="C484" s="357"/>
      <c r="D484" s="171">
        <v>9</v>
      </c>
      <c r="E484" s="60" t="s">
        <v>289</v>
      </c>
      <c r="F484" s="61" t="s">
        <v>87</v>
      </c>
      <c r="G484" s="61" t="s">
        <v>820</v>
      </c>
      <c r="H484" s="61"/>
      <c r="I484" s="61"/>
      <c r="J484" s="61"/>
      <c r="K484" s="61"/>
      <c r="L484" s="60"/>
    </row>
    <row r="485" spans="2:12">
      <c r="B485" s="368"/>
      <c r="C485" s="357"/>
      <c r="D485" s="171">
        <v>10</v>
      </c>
      <c r="E485" s="60" t="s">
        <v>146</v>
      </c>
      <c r="F485" s="61" t="s">
        <v>123</v>
      </c>
      <c r="G485" s="61"/>
      <c r="H485" s="61"/>
      <c r="I485" s="61"/>
      <c r="J485" s="61"/>
      <c r="K485" s="61"/>
      <c r="L485" s="60"/>
    </row>
    <row r="486" spans="2:12">
      <c r="B486" s="369"/>
      <c r="C486" s="358"/>
      <c r="D486" s="60"/>
      <c r="E486" s="60"/>
      <c r="F486" s="61"/>
      <c r="G486" s="61"/>
      <c r="H486" s="61"/>
      <c r="I486" s="61"/>
      <c r="J486" s="61"/>
      <c r="K486" s="61"/>
      <c r="L486" s="60"/>
    </row>
    <row r="487" spans="2:12">
      <c r="F487" s="365" t="s">
        <v>72</v>
      </c>
      <c r="G487" s="365"/>
      <c r="H487" s="365"/>
      <c r="I487" s="365"/>
      <c r="J487" s="365"/>
      <c r="K487" s="365"/>
    </row>
  </sheetData>
  <mergeCells count="110">
    <mergeCell ref="C350:C358"/>
    <mergeCell ref="C359:C367"/>
    <mergeCell ref="C368:C376"/>
    <mergeCell ref="C296:C304"/>
    <mergeCell ref="C305:C313"/>
    <mergeCell ref="C314:C322"/>
    <mergeCell ref="C323:C331"/>
    <mergeCell ref="C332:C340"/>
    <mergeCell ref="C377:C421"/>
    <mergeCell ref="C281:C289"/>
    <mergeCell ref="C290:C295"/>
    <mergeCell ref="C217:C238"/>
    <mergeCell ref="C239:C244"/>
    <mergeCell ref="C245:C250"/>
    <mergeCell ref="C251:C256"/>
    <mergeCell ref="C257:C262"/>
    <mergeCell ref="C341:C349"/>
    <mergeCell ref="C203:C209"/>
    <mergeCell ref="C210:C216"/>
    <mergeCell ref="C141:C148"/>
    <mergeCell ref="C149:C156"/>
    <mergeCell ref="C157:C164"/>
    <mergeCell ref="C165:C172"/>
    <mergeCell ref="C173:C180"/>
    <mergeCell ref="C263:C271"/>
    <mergeCell ref="C272:C280"/>
    <mergeCell ref="C133:C140"/>
    <mergeCell ref="C61:C66"/>
    <mergeCell ref="C67:C74"/>
    <mergeCell ref="C75:C82"/>
    <mergeCell ref="C83:C90"/>
    <mergeCell ref="C91:C99"/>
    <mergeCell ref="C181:C188"/>
    <mergeCell ref="C189:C195"/>
    <mergeCell ref="C196:C202"/>
    <mergeCell ref="C55:C60"/>
    <mergeCell ref="B55:B60"/>
    <mergeCell ref="B5:B6"/>
    <mergeCell ref="D5:E5"/>
    <mergeCell ref="F5:K5"/>
    <mergeCell ref="C100:C108"/>
    <mergeCell ref="C109:C116"/>
    <mergeCell ref="C117:C124"/>
    <mergeCell ref="C125:C132"/>
    <mergeCell ref="L5:L6"/>
    <mergeCell ref="B7:B12"/>
    <mergeCell ref="B13:B18"/>
    <mergeCell ref="B19:B24"/>
    <mergeCell ref="B25:B32"/>
    <mergeCell ref="B33:B40"/>
    <mergeCell ref="B41:B48"/>
    <mergeCell ref="B49:B54"/>
    <mergeCell ref="C5:C6"/>
    <mergeCell ref="C7:C12"/>
    <mergeCell ref="C13:C18"/>
    <mergeCell ref="C19:C24"/>
    <mergeCell ref="C25:C32"/>
    <mergeCell ref="C33:C40"/>
    <mergeCell ref="C41:C48"/>
    <mergeCell ref="C49:C54"/>
    <mergeCell ref="B149:B156"/>
    <mergeCell ref="B61:B66"/>
    <mergeCell ref="B67:B74"/>
    <mergeCell ref="B75:B82"/>
    <mergeCell ref="B83:B90"/>
    <mergeCell ref="B91:B99"/>
    <mergeCell ref="B100:B108"/>
    <mergeCell ref="B109:B116"/>
    <mergeCell ref="B117:B124"/>
    <mergeCell ref="B125:B132"/>
    <mergeCell ref="B133:B140"/>
    <mergeCell ref="B141:B148"/>
    <mergeCell ref="B251:B256"/>
    <mergeCell ref="B157:B164"/>
    <mergeCell ref="B165:B172"/>
    <mergeCell ref="B173:B180"/>
    <mergeCell ref="B181:B188"/>
    <mergeCell ref="B189:B195"/>
    <mergeCell ref="B196:B202"/>
    <mergeCell ref="B203:B209"/>
    <mergeCell ref="B210:B216"/>
    <mergeCell ref="B217:B238"/>
    <mergeCell ref="B239:B244"/>
    <mergeCell ref="B245:B250"/>
    <mergeCell ref="B359:B367"/>
    <mergeCell ref="B257:B262"/>
    <mergeCell ref="B263:B271"/>
    <mergeCell ref="B272:B280"/>
    <mergeCell ref="B281:B289"/>
    <mergeCell ref="B296:B304"/>
    <mergeCell ref="B305:B313"/>
    <mergeCell ref="B314:B322"/>
    <mergeCell ref="B323:B331"/>
    <mergeCell ref="B332:B340"/>
    <mergeCell ref="B341:B349"/>
    <mergeCell ref="B350:B358"/>
    <mergeCell ref="B290:B295"/>
    <mergeCell ref="B476:B486"/>
    <mergeCell ref="F487:K487"/>
    <mergeCell ref="B368:B376"/>
    <mergeCell ref="B451:B455"/>
    <mergeCell ref="B456:B463"/>
    <mergeCell ref="B464:B475"/>
    <mergeCell ref="C451:C455"/>
    <mergeCell ref="C456:C463"/>
    <mergeCell ref="C464:C475"/>
    <mergeCell ref="C476:C486"/>
    <mergeCell ref="B377:B421"/>
    <mergeCell ref="B422:B450"/>
    <mergeCell ref="C422:C450"/>
  </mergeCells>
  <phoneticPr fontId="1"/>
  <pageMargins left="0.70866141732283472" right="0.70866141732283472" top="0.74803149606299213" bottom="0.74803149606299213" header="0.31496062992125984" footer="0.31496062992125984"/>
  <pageSetup paperSize="9" scale="48" orientation="landscape" r:id="rId1"/>
  <headerFooter>
    <oddHeader>&amp;Lメッセージ認証機能評価 単体機能評価仕様書
&amp;A&amp;R【CONFIDENTIAL】
T0100000015687</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L152"/>
  <sheetViews>
    <sheetView view="pageBreakPreview" zoomScaleNormal="100" zoomScaleSheetLayoutView="100" workbookViewId="0">
      <selection activeCell="F2" sqref="F2"/>
    </sheetView>
  </sheetViews>
  <sheetFormatPr defaultRowHeight="15"/>
  <cols>
    <col min="1" max="1" width="4" customWidth="1"/>
    <col min="3" max="3" width="9" style="4"/>
    <col min="5" max="5" width="47.7109375" bestFit="1" customWidth="1"/>
    <col min="6" max="6" width="17.42578125" bestFit="1" customWidth="1"/>
    <col min="7" max="7" width="62.28515625" bestFit="1" customWidth="1"/>
    <col min="8" max="8" width="18.28515625" bestFit="1" customWidth="1"/>
    <col min="9" max="11" width="16" customWidth="1"/>
    <col min="12" max="12" width="5.42578125" bestFit="1" customWidth="1"/>
  </cols>
  <sheetData>
    <row r="1" spans="1:12" s="4" customFormat="1"/>
    <row r="2" spans="1:12" ht="16.5">
      <c r="A2" s="12" t="s">
        <v>159</v>
      </c>
      <c r="B2" s="5"/>
      <c r="C2" s="5"/>
      <c r="D2" s="5"/>
      <c r="E2" s="5"/>
      <c r="F2" s="5"/>
      <c r="G2" s="5"/>
      <c r="H2" s="5"/>
      <c r="I2" s="5"/>
      <c r="J2" s="5"/>
      <c r="K2" s="5"/>
      <c r="L2" s="5"/>
    </row>
    <row r="3" spans="1:12" s="4" customFormat="1" ht="16.5">
      <c r="A3" s="12"/>
      <c r="B3" s="5" t="s">
        <v>1627</v>
      </c>
      <c r="C3" s="5"/>
      <c r="D3" s="5"/>
      <c r="E3" s="5"/>
      <c r="F3" s="5"/>
      <c r="G3" s="5"/>
      <c r="H3" s="5"/>
      <c r="I3" s="5"/>
      <c r="J3" s="5"/>
      <c r="K3" s="5"/>
      <c r="L3" s="5"/>
    </row>
    <row r="4" spans="1:12" ht="15.75">
      <c r="A4" s="5"/>
      <c r="B4" s="5"/>
      <c r="C4" s="5"/>
      <c r="D4" s="5"/>
      <c r="E4" s="5"/>
      <c r="F4" s="5"/>
      <c r="G4" s="5"/>
      <c r="H4" s="5"/>
      <c r="I4" s="5"/>
      <c r="J4" s="5"/>
      <c r="K4" s="5"/>
      <c r="L4" s="5"/>
    </row>
    <row r="5" spans="1:12" ht="15.75">
      <c r="A5" s="5"/>
      <c r="B5" s="362" t="s">
        <v>33</v>
      </c>
      <c r="C5" s="360" t="s">
        <v>1477</v>
      </c>
      <c r="D5" s="363" t="s">
        <v>34</v>
      </c>
      <c r="E5" s="363"/>
      <c r="F5" s="364" t="s">
        <v>69</v>
      </c>
      <c r="G5" s="364"/>
      <c r="H5" s="364"/>
      <c r="I5" s="364"/>
      <c r="J5" s="364"/>
      <c r="K5" s="364"/>
      <c r="L5" s="363" t="s">
        <v>5</v>
      </c>
    </row>
    <row r="6" spans="1:12" ht="15.75">
      <c r="A6" s="5"/>
      <c r="B6" s="363"/>
      <c r="C6" s="361"/>
      <c r="D6" s="122" t="s">
        <v>57</v>
      </c>
      <c r="E6" s="122" t="s">
        <v>35</v>
      </c>
      <c r="F6" s="123" t="s">
        <v>75</v>
      </c>
      <c r="G6" s="123" t="s">
        <v>76</v>
      </c>
      <c r="H6" s="123" t="s">
        <v>77</v>
      </c>
      <c r="I6" s="123" t="s">
        <v>78</v>
      </c>
      <c r="J6" s="123" t="s">
        <v>79</v>
      </c>
      <c r="K6" s="123" t="s">
        <v>84</v>
      </c>
      <c r="L6" s="363"/>
    </row>
    <row r="7" spans="1:12" s="5" customFormat="1" ht="15.75">
      <c r="B7" s="359" t="s">
        <v>1713</v>
      </c>
      <c r="C7" s="356" t="s">
        <v>1476</v>
      </c>
      <c r="D7" s="130">
        <v>1</v>
      </c>
      <c r="E7" s="130" t="s">
        <v>1614</v>
      </c>
      <c r="F7" s="61" t="s">
        <v>1581</v>
      </c>
      <c r="G7" s="61"/>
      <c r="H7" s="61"/>
      <c r="I7" s="61"/>
      <c r="J7" s="61"/>
      <c r="K7" s="61"/>
      <c r="L7" s="130"/>
    </row>
    <row r="8" spans="1:12" s="5" customFormat="1" ht="15.75">
      <c r="B8" s="359"/>
      <c r="C8" s="357"/>
      <c r="D8" s="130">
        <v>2</v>
      </c>
      <c r="E8" s="130" t="s">
        <v>1630</v>
      </c>
      <c r="F8" s="61" t="s">
        <v>87</v>
      </c>
      <c r="G8" s="61" t="s">
        <v>1631</v>
      </c>
      <c r="H8" s="61"/>
      <c r="I8" s="61"/>
      <c r="J8" s="61"/>
      <c r="K8" s="61"/>
      <c r="L8" s="130"/>
    </row>
    <row r="9" spans="1:12" s="5" customFormat="1" ht="15.75">
      <c r="B9" s="359"/>
      <c r="C9" s="357"/>
      <c r="D9" s="130">
        <v>3</v>
      </c>
      <c r="E9" s="130" t="s">
        <v>142</v>
      </c>
      <c r="F9" s="61" t="s">
        <v>122</v>
      </c>
      <c r="G9" s="61">
        <v>60000</v>
      </c>
      <c r="H9" s="61"/>
      <c r="I9" s="61"/>
      <c r="J9" s="61"/>
      <c r="K9" s="61"/>
      <c r="L9" s="130"/>
    </row>
    <row r="10" spans="1:12" s="5" customFormat="1" ht="15.75">
      <c r="B10" s="359"/>
      <c r="C10" s="357"/>
      <c r="D10" s="130">
        <v>4</v>
      </c>
      <c r="E10" s="130" t="s">
        <v>67</v>
      </c>
      <c r="F10" s="61" t="s">
        <v>123</v>
      </c>
      <c r="G10" s="61"/>
      <c r="H10" s="61"/>
      <c r="I10" s="61"/>
      <c r="J10" s="61"/>
      <c r="K10" s="61"/>
      <c r="L10" s="130"/>
    </row>
    <row r="11" spans="1:12" s="5" customFormat="1" ht="15.75">
      <c r="B11" s="359"/>
      <c r="C11" s="358"/>
      <c r="D11" s="130"/>
      <c r="E11" s="130"/>
      <c r="F11" s="61"/>
      <c r="G11" s="61"/>
      <c r="H11" s="61"/>
      <c r="I11" s="61"/>
      <c r="J11" s="61"/>
      <c r="K11" s="61"/>
      <c r="L11" s="130"/>
    </row>
    <row r="12" spans="1:12" s="5" customFormat="1" ht="15.75">
      <c r="B12" s="359" t="s">
        <v>1444</v>
      </c>
      <c r="C12" s="356" t="s">
        <v>1735</v>
      </c>
      <c r="D12" s="130">
        <v>1</v>
      </c>
      <c r="E12" s="130" t="s">
        <v>142</v>
      </c>
      <c r="F12" s="61" t="s">
        <v>122</v>
      </c>
      <c r="G12" s="61"/>
      <c r="H12" s="61"/>
      <c r="I12" s="61"/>
      <c r="J12" s="61"/>
      <c r="K12" s="61"/>
      <c r="L12" s="130"/>
    </row>
    <row r="13" spans="1:12" s="5" customFormat="1" ht="15.75">
      <c r="B13" s="359"/>
      <c r="C13" s="357"/>
      <c r="D13" s="130">
        <v>2</v>
      </c>
      <c r="E13" s="130" t="s">
        <v>1630</v>
      </c>
      <c r="F13" s="61" t="s">
        <v>87</v>
      </c>
      <c r="G13" s="61" t="s">
        <v>1631</v>
      </c>
      <c r="H13" s="61"/>
      <c r="I13" s="61"/>
      <c r="J13" s="61"/>
      <c r="K13" s="61"/>
      <c r="L13" s="130"/>
    </row>
    <row r="14" spans="1:12" s="5" customFormat="1" ht="15.75">
      <c r="B14" s="359"/>
      <c r="C14" s="357"/>
      <c r="D14" s="174">
        <v>3</v>
      </c>
      <c r="E14" s="130" t="s">
        <v>313</v>
      </c>
      <c r="F14" s="61" t="s">
        <v>125</v>
      </c>
      <c r="G14" s="61">
        <v>10000</v>
      </c>
      <c r="H14" s="61"/>
      <c r="I14" s="61"/>
      <c r="J14" s="61"/>
      <c r="K14" s="61"/>
      <c r="L14" s="130"/>
    </row>
    <row r="15" spans="1:12" s="5" customFormat="1" ht="15.75">
      <c r="B15" s="359"/>
      <c r="C15" s="357"/>
      <c r="D15" s="174">
        <v>4</v>
      </c>
      <c r="E15" s="130" t="s">
        <v>146</v>
      </c>
      <c r="F15" s="61" t="s">
        <v>123</v>
      </c>
      <c r="G15" s="61"/>
      <c r="H15" s="61"/>
      <c r="I15" s="61"/>
      <c r="J15" s="61"/>
      <c r="K15" s="61"/>
      <c r="L15" s="130"/>
    </row>
    <row r="16" spans="1:12" s="5" customFormat="1" ht="15.75">
      <c r="B16" s="359"/>
      <c r="C16" s="358"/>
      <c r="D16" s="130"/>
      <c r="E16" s="130"/>
      <c r="F16" s="61"/>
      <c r="G16" s="61"/>
      <c r="H16" s="61"/>
      <c r="I16" s="61"/>
      <c r="J16" s="61"/>
      <c r="K16" s="61"/>
      <c r="L16" s="130"/>
    </row>
    <row r="17" spans="2:12" s="5" customFormat="1" ht="15.75">
      <c r="B17" s="359" t="s">
        <v>1445</v>
      </c>
      <c r="C17" s="356" t="s">
        <v>1735</v>
      </c>
      <c r="D17" s="130">
        <v>1</v>
      </c>
      <c r="E17" s="130" t="s">
        <v>142</v>
      </c>
      <c r="F17" s="61" t="s">
        <v>122</v>
      </c>
      <c r="G17" s="61"/>
      <c r="H17" s="61"/>
      <c r="I17" s="61"/>
      <c r="J17" s="61"/>
      <c r="K17" s="61"/>
      <c r="L17" s="130"/>
    </row>
    <row r="18" spans="2:12" s="5" customFormat="1" ht="15.75">
      <c r="B18" s="359"/>
      <c r="C18" s="357"/>
      <c r="D18" s="130">
        <v>2</v>
      </c>
      <c r="E18" s="130" t="s">
        <v>1630</v>
      </c>
      <c r="F18" s="61" t="s">
        <v>87</v>
      </c>
      <c r="G18" s="61" t="s">
        <v>1631</v>
      </c>
      <c r="H18" s="61"/>
      <c r="I18" s="61"/>
      <c r="J18" s="61"/>
      <c r="K18" s="61"/>
      <c r="L18" s="130"/>
    </row>
    <row r="19" spans="2:12" s="5" customFormat="1" ht="15.75">
      <c r="B19" s="359"/>
      <c r="C19" s="357"/>
      <c r="D19" s="130">
        <v>3</v>
      </c>
      <c r="E19" s="130" t="s">
        <v>313</v>
      </c>
      <c r="F19" s="61" t="s">
        <v>125</v>
      </c>
      <c r="G19" s="61">
        <v>10000</v>
      </c>
      <c r="H19" s="61"/>
      <c r="I19" s="61"/>
      <c r="J19" s="61"/>
      <c r="K19" s="61"/>
      <c r="L19" s="130"/>
    </row>
    <row r="20" spans="2:12" s="5" customFormat="1" ht="15.75">
      <c r="B20" s="359"/>
      <c r="C20" s="357"/>
      <c r="D20" s="130">
        <v>4</v>
      </c>
      <c r="E20" s="130" t="s">
        <v>146</v>
      </c>
      <c r="F20" s="61" t="s">
        <v>123</v>
      </c>
      <c r="G20" s="61"/>
      <c r="H20" s="61"/>
      <c r="I20" s="61"/>
      <c r="J20" s="61"/>
      <c r="K20" s="61"/>
      <c r="L20" s="130"/>
    </row>
    <row r="21" spans="2:12" s="5" customFormat="1" ht="15.75">
      <c r="B21" s="359"/>
      <c r="C21" s="358"/>
      <c r="D21" s="130"/>
      <c r="E21" s="130"/>
      <c r="F21" s="61"/>
      <c r="G21" s="61"/>
      <c r="H21" s="61"/>
      <c r="I21" s="61"/>
      <c r="J21" s="61"/>
      <c r="K21" s="61"/>
      <c r="L21" s="130"/>
    </row>
    <row r="22" spans="2:12" s="5" customFormat="1" ht="15.75">
      <c r="B22" s="359" t="s">
        <v>1446</v>
      </c>
      <c r="C22" s="356" t="s">
        <v>1735</v>
      </c>
      <c r="D22" s="130">
        <v>1</v>
      </c>
      <c r="E22" s="130" t="s">
        <v>142</v>
      </c>
      <c r="F22" s="61" t="s">
        <v>122</v>
      </c>
      <c r="G22" s="61"/>
      <c r="H22" s="61"/>
      <c r="I22" s="61"/>
      <c r="J22" s="61"/>
      <c r="K22" s="61"/>
      <c r="L22" s="130"/>
    </row>
    <row r="23" spans="2:12" s="5" customFormat="1" ht="15.75">
      <c r="B23" s="359"/>
      <c r="C23" s="357"/>
      <c r="D23" s="130">
        <v>2</v>
      </c>
      <c r="E23" s="130" t="s">
        <v>1630</v>
      </c>
      <c r="F23" s="61" t="s">
        <v>87</v>
      </c>
      <c r="G23" s="61" t="s">
        <v>1631</v>
      </c>
      <c r="H23" s="61"/>
      <c r="I23" s="61"/>
      <c r="J23" s="61"/>
      <c r="K23" s="61"/>
      <c r="L23" s="130"/>
    </row>
    <row r="24" spans="2:12" s="5" customFormat="1" ht="15.75">
      <c r="B24" s="359"/>
      <c r="C24" s="357"/>
      <c r="D24" s="130">
        <v>3</v>
      </c>
      <c r="E24" s="130" t="s">
        <v>313</v>
      </c>
      <c r="F24" s="61" t="s">
        <v>125</v>
      </c>
      <c r="G24" s="61">
        <v>10000</v>
      </c>
      <c r="H24" s="61"/>
      <c r="I24" s="61"/>
      <c r="J24" s="61"/>
      <c r="K24" s="61"/>
      <c r="L24" s="130"/>
    </row>
    <row r="25" spans="2:12" s="5" customFormat="1" ht="15.75">
      <c r="B25" s="359"/>
      <c r="C25" s="357"/>
      <c r="D25" s="130">
        <v>4</v>
      </c>
      <c r="E25" s="130" t="s">
        <v>146</v>
      </c>
      <c r="F25" s="61" t="s">
        <v>123</v>
      </c>
      <c r="G25" s="61"/>
      <c r="H25" s="61"/>
      <c r="I25" s="61"/>
      <c r="J25" s="61"/>
      <c r="K25" s="61"/>
      <c r="L25" s="130"/>
    </row>
    <row r="26" spans="2:12" s="5" customFormat="1" ht="15.75">
      <c r="B26" s="359"/>
      <c r="C26" s="358"/>
      <c r="D26" s="130"/>
      <c r="E26" s="130"/>
      <c r="F26" s="61"/>
      <c r="G26" s="61"/>
      <c r="H26" s="61"/>
      <c r="I26" s="61"/>
      <c r="J26" s="61"/>
      <c r="K26" s="61"/>
      <c r="L26" s="130"/>
    </row>
    <row r="27" spans="2:12" s="5" customFormat="1" ht="15.75">
      <c r="B27" s="359" t="s">
        <v>1736</v>
      </c>
      <c r="C27" s="356" t="s">
        <v>1735</v>
      </c>
      <c r="D27" s="130">
        <v>1</v>
      </c>
      <c r="E27" s="130" t="s">
        <v>142</v>
      </c>
      <c r="F27" s="61" t="s">
        <v>122</v>
      </c>
      <c r="G27" s="61"/>
      <c r="H27" s="61"/>
      <c r="I27" s="61"/>
      <c r="J27" s="61"/>
      <c r="K27" s="61"/>
      <c r="L27" s="130"/>
    </row>
    <row r="28" spans="2:12" s="5" customFormat="1" ht="15.75">
      <c r="B28" s="359"/>
      <c r="C28" s="357"/>
      <c r="D28" s="130">
        <v>2</v>
      </c>
      <c r="E28" s="130" t="s">
        <v>1630</v>
      </c>
      <c r="F28" s="61" t="s">
        <v>87</v>
      </c>
      <c r="G28" s="61" t="s">
        <v>1631</v>
      </c>
      <c r="H28" s="61"/>
      <c r="I28" s="61"/>
      <c r="J28" s="61"/>
      <c r="K28" s="61"/>
      <c r="L28" s="130"/>
    </row>
    <row r="29" spans="2:12" s="5" customFormat="1" ht="15.75">
      <c r="B29" s="359"/>
      <c r="C29" s="357"/>
      <c r="D29" s="130">
        <v>3</v>
      </c>
      <c r="E29" s="130" t="s">
        <v>313</v>
      </c>
      <c r="F29" s="61" t="s">
        <v>125</v>
      </c>
      <c r="G29" s="61">
        <v>10000</v>
      </c>
      <c r="H29" s="61"/>
      <c r="I29" s="61"/>
      <c r="J29" s="61"/>
      <c r="K29" s="61"/>
      <c r="L29" s="130"/>
    </row>
    <row r="30" spans="2:12" s="5" customFormat="1" ht="15.75">
      <c r="B30" s="359"/>
      <c r="C30" s="357"/>
      <c r="D30" s="130">
        <v>4</v>
      </c>
      <c r="E30" s="130" t="s">
        <v>146</v>
      </c>
      <c r="F30" s="61" t="s">
        <v>123</v>
      </c>
      <c r="G30" s="61"/>
      <c r="H30" s="61"/>
      <c r="I30" s="61"/>
      <c r="J30" s="61"/>
      <c r="K30" s="61"/>
      <c r="L30" s="130"/>
    </row>
    <row r="31" spans="2:12" s="5" customFormat="1" ht="15.75">
      <c r="B31" s="359"/>
      <c r="C31" s="358"/>
      <c r="D31" s="130"/>
      <c r="E31" s="130"/>
      <c r="F31" s="61"/>
      <c r="G31" s="61"/>
      <c r="H31" s="61"/>
      <c r="I31" s="61"/>
      <c r="J31" s="61"/>
      <c r="K31" s="61"/>
      <c r="L31" s="130"/>
    </row>
    <row r="32" spans="2:12" s="5" customFormat="1" ht="15.75">
      <c r="B32" s="359" t="s">
        <v>1447</v>
      </c>
      <c r="C32" s="356" t="s">
        <v>1735</v>
      </c>
      <c r="D32" s="130">
        <v>1</v>
      </c>
      <c r="E32" s="130" t="s">
        <v>142</v>
      </c>
      <c r="F32" s="61" t="s">
        <v>122</v>
      </c>
      <c r="G32" s="61"/>
      <c r="H32" s="61"/>
      <c r="I32" s="61"/>
      <c r="J32" s="61"/>
      <c r="K32" s="61"/>
      <c r="L32" s="130"/>
    </row>
    <row r="33" spans="2:12" s="5" customFormat="1" ht="15.75">
      <c r="B33" s="359"/>
      <c r="C33" s="357"/>
      <c r="D33" s="130">
        <v>2</v>
      </c>
      <c r="E33" s="130" t="s">
        <v>1630</v>
      </c>
      <c r="F33" s="61" t="s">
        <v>87</v>
      </c>
      <c r="G33" s="61" t="s">
        <v>1631</v>
      </c>
      <c r="H33" s="61"/>
      <c r="I33" s="61"/>
      <c r="J33" s="61"/>
      <c r="K33" s="61"/>
      <c r="L33" s="130"/>
    </row>
    <row r="34" spans="2:12" s="5" customFormat="1" ht="15.75">
      <c r="B34" s="359"/>
      <c r="C34" s="357"/>
      <c r="D34" s="175">
        <v>3</v>
      </c>
      <c r="E34" s="175"/>
      <c r="F34" s="61" t="s">
        <v>1744</v>
      </c>
      <c r="G34" s="61">
        <v>1000</v>
      </c>
      <c r="H34" s="61"/>
      <c r="I34" s="61"/>
      <c r="J34" s="61"/>
      <c r="K34" s="61"/>
      <c r="L34" s="175"/>
    </row>
    <row r="35" spans="2:12" s="5" customFormat="1" ht="15.75">
      <c r="B35" s="359"/>
      <c r="C35" s="357"/>
      <c r="D35" s="130">
        <v>4</v>
      </c>
      <c r="E35" s="130" t="s">
        <v>1632</v>
      </c>
      <c r="F35" s="61" t="s">
        <v>87</v>
      </c>
      <c r="G35" s="61" t="s">
        <v>1633</v>
      </c>
      <c r="H35" s="61"/>
      <c r="I35" s="61"/>
      <c r="J35" s="61"/>
      <c r="K35" s="61"/>
      <c r="L35" s="130"/>
    </row>
    <row r="36" spans="2:12" s="5" customFormat="1" ht="15.75">
      <c r="B36" s="359"/>
      <c r="C36" s="357"/>
      <c r="D36" s="130">
        <v>5</v>
      </c>
      <c r="E36" s="130" t="s">
        <v>313</v>
      </c>
      <c r="F36" s="61" t="s">
        <v>125</v>
      </c>
      <c r="G36" s="61">
        <v>10000</v>
      </c>
      <c r="H36" s="61"/>
      <c r="I36" s="61"/>
      <c r="J36" s="61"/>
      <c r="K36" s="61"/>
      <c r="L36" s="130"/>
    </row>
    <row r="37" spans="2:12" s="5" customFormat="1" ht="15.75">
      <c r="B37" s="359"/>
      <c r="C37" s="357"/>
      <c r="D37" s="130">
        <v>6</v>
      </c>
      <c r="E37" s="130" t="s">
        <v>146</v>
      </c>
      <c r="F37" s="61" t="s">
        <v>123</v>
      </c>
      <c r="G37" s="61"/>
      <c r="H37" s="61"/>
      <c r="I37" s="61"/>
      <c r="J37" s="61"/>
      <c r="K37" s="61"/>
      <c r="L37" s="130"/>
    </row>
    <row r="38" spans="2:12" s="5" customFormat="1" ht="15.75">
      <c r="B38" s="359"/>
      <c r="C38" s="358"/>
      <c r="D38" s="130"/>
      <c r="E38" s="130"/>
      <c r="F38" s="61"/>
      <c r="G38" s="61"/>
      <c r="H38" s="61"/>
      <c r="I38" s="61"/>
      <c r="J38" s="61"/>
      <c r="K38" s="61"/>
      <c r="L38" s="130"/>
    </row>
    <row r="39" spans="2:12" s="5" customFormat="1" ht="15.75">
      <c r="B39" s="359" t="s">
        <v>1448</v>
      </c>
      <c r="C39" s="356" t="s">
        <v>1735</v>
      </c>
      <c r="D39" s="130">
        <v>1</v>
      </c>
      <c r="E39" s="130" t="s">
        <v>142</v>
      </c>
      <c r="F39" s="61" t="s">
        <v>122</v>
      </c>
      <c r="G39" s="61"/>
      <c r="H39" s="61"/>
      <c r="I39" s="61"/>
      <c r="J39" s="61"/>
      <c r="K39" s="61"/>
      <c r="L39" s="130"/>
    </row>
    <row r="40" spans="2:12" s="5" customFormat="1" ht="15.75">
      <c r="B40" s="359"/>
      <c r="C40" s="357"/>
      <c r="D40" s="130">
        <v>2</v>
      </c>
      <c r="E40" s="130" t="s">
        <v>1630</v>
      </c>
      <c r="F40" s="61" t="s">
        <v>87</v>
      </c>
      <c r="G40" s="61" t="s">
        <v>1631</v>
      </c>
      <c r="H40" s="61"/>
      <c r="I40" s="61"/>
      <c r="J40" s="61"/>
      <c r="K40" s="61"/>
      <c r="L40" s="130"/>
    </row>
    <row r="41" spans="2:12" s="5" customFormat="1" ht="15.75">
      <c r="B41" s="359"/>
      <c r="C41" s="357"/>
      <c r="D41" s="130">
        <v>3</v>
      </c>
      <c r="E41" s="130"/>
      <c r="F41" s="61" t="s">
        <v>125</v>
      </c>
      <c r="G41" s="61">
        <v>1000</v>
      </c>
      <c r="H41" s="61"/>
      <c r="I41" s="61"/>
      <c r="J41" s="61"/>
      <c r="K41" s="61"/>
      <c r="L41" s="130"/>
    </row>
    <row r="42" spans="2:12" s="5" customFormat="1" ht="15.75">
      <c r="B42" s="359"/>
      <c r="C42" s="357"/>
      <c r="D42" s="130">
        <v>4</v>
      </c>
      <c r="E42" s="130" t="s">
        <v>1632</v>
      </c>
      <c r="F42" s="61" t="s">
        <v>87</v>
      </c>
      <c r="G42" s="61" t="s">
        <v>1633</v>
      </c>
      <c r="H42" s="61"/>
      <c r="I42" s="61"/>
      <c r="J42" s="61"/>
      <c r="K42" s="61"/>
      <c r="L42" s="130"/>
    </row>
    <row r="43" spans="2:12" s="5" customFormat="1" ht="15.75">
      <c r="B43" s="359"/>
      <c r="C43" s="357"/>
      <c r="D43" s="130">
        <v>5</v>
      </c>
      <c r="E43" s="130" t="s">
        <v>313</v>
      </c>
      <c r="F43" s="61" t="s">
        <v>125</v>
      </c>
      <c r="G43" s="61">
        <v>10000</v>
      </c>
      <c r="H43" s="61"/>
      <c r="I43" s="61"/>
      <c r="J43" s="61"/>
      <c r="K43" s="61"/>
      <c r="L43" s="130"/>
    </row>
    <row r="44" spans="2:12" s="5" customFormat="1" ht="15.75">
      <c r="B44" s="359"/>
      <c r="C44" s="357"/>
      <c r="D44" s="130">
        <v>6</v>
      </c>
      <c r="E44" s="130" t="s">
        <v>146</v>
      </c>
      <c r="F44" s="61" t="s">
        <v>123</v>
      </c>
      <c r="G44" s="61"/>
      <c r="H44" s="61"/>
      <c r="I44" s="61"/>
      <c r="J44" s="61"/>
      <c r="K44" s="61"/>
      <c r="L44" s="130"/>
    </row>
    <row r="45" spans="2:12" s="5" customFormat="1" ht="15.75">
      <c r="B45" s="359"/>
      <c r="C45" s="358"/>
      <c r="D45" s="130"/>
      <c r="E45" s="130"/>
      <c r="F45" s="61"/>
      <c r="G45" s="61"/>
      <c r="H45" s="61"/>
      <c r="I45" s="61"/>
      <c r="J45" s="61"/>
      <c r="K45" s="61"/>
      <c r="L45" s="130"/>
    </row>
    <row r="46" spans="2:12" s="5" customFormat="1" ht="15.75">
      <c r="B46" s="359" t="s">
        <v>1449</v>
      </c>
      <c r="C46" s="356" t="s">
        <v>1735</v>
      </c>
      <c r="D46" s="130">
        <v>1</v>
      </c>
      <c r="E46" s="130" t="s">
        <v>142</v>
      </c>
      <c r="F46" s="61" t="s">
        <v>122</v>
      </c>
      <c r="G46" s="61"/>
      <c r="H46" s="61"/>
      <c r="I46" s="61"/>
      <c r="J46" s="61"/>
      <c r="K46" s="61"/>
      <c r="L46" s="130"/>
    </row>
    <row r="47" spans="2:12" s="5" customFormat="1" ht="15.75">
      <c r="B47" s="359"/>
      <c r="C47" s="357"/>
      <c r="D47" s="130">
        <v>2</v>
      </c>
      <c r="E47" s="130" t="s">
        <v>1630</v>
      </c>
      <c r="F47" s="61" t="s">
        <v>87</v>
      </c>
      <c r="G47" s="61" t="s">
        <v>1631</v>
      </c>
      <c r="H47" s="61"/>
      <c r="I47" s="61"/>
      <c r="J47" s="61"/>
      <c r="K47" s="61"/>
      <c r="L47" s="130"/>
    </row>
    <row r="48" spans="2:12" s="5" customFormat="1" ht="15.75">
      <c r="B48" s="359"/>
      <c r="C48" s="357"/>
      <c r="D48" s="130">
        <v>3</v>
      </c>
      <c r="E48" s="130"/>
      <c r="F48" s="61" t="s">
        <v>1744</v>
      </c>
      <c r="G48" s="61">
        <v>1000</v>
      </c>
      <c r="H48" s="61"/>
      <c r="I48" s="61"/>
      <c r="J48" s="61"/>
      <c r="K48" s="61"/>
      <c r="L48" s="130"/>
    </row>
    <row r="49" spans="2:12" s="5" customFormat="1" ht="15.75">
      <c r="B49" s="359"/>
      <c r="C49" s="357"/>
      <c r="D49" s="130">
        <v>4</v>
      </c>
      <c r="E49" s="130" t="s">
        <v>1636</v>
      </c>
      <c r="F49" s="61" t="s">
        <v>87</v>
      </c>
      <c r="G49" s="61" t="s">
        <v>1758</v>
      </c>
      <c r="H49" s="61"/>
      <c r="I49" s="61"/>
      <c r="J49" s="61"/>
      <c r="K49" s="61"/>
      <c r="L49" s="130"/>
    </row>
    <row r="50" spans="2:12" s="5" customFormat="1" ht="15.75">
      <c r="B50" s="359"/>
      <c r="C50" s="357"/>
      <c r="D50" s="130">
        <v>5</v>
      </c>
      <c r="E50" s="130" t="s">
        <v>313</v>
      </c>
      <c r="F50" s="61" t="s">
        <v>125</v>
      </c>
      <c r="G50" s="61">
        <v>10000</v>
      </c>
      <c r="H50" s="61"/>
      <c r="I50" s="61"/>
      <c r="J50" s="61"/>
      <c r="K50" s="61"/>
      <c r="L50" s="130"/>
    </row>
    <row r="51" spans="2:12" s="5" customFormat="1" ht="15.75">
      <c r="B51" s="359"/>
      <c r="C51" s="357"/>
      <c r="D51" s="130">
        <v>6</v>
      </c>
      <c r="E51" s="130" t="s">
        <v>146</v>
      </c>
      <c r="F51" s="61" t="s">
        <v>123</v>
      </c>
      <c r="G51" s="61"/>
      <c r="H51" s="61"/>
      <c r="I51" s="61"/>
      <c r="J51" s="61"/>
      <c r="K51" s="61"/>
      <c r="L51" s="130"/>
    </row>
    <row r="52" spans="2:12" s="5" customFormat="1" ht="15.75">
      <c r="B52" s="359"/>
      <c r="C52" s="358"/>
      <c r="D52" s="130"/>
      <c r="E52" s="130"/>
      <c r="F52" s="61"/>
      <c r="G52" s="61"/>
      <c r="H52" s="61"/>
      <c r="I52" s="61"/>
      <c r="J52" s="61"/>
      <c r="K52" s="61"/>
      <c r="L52" s="130"/>
    </row>
    <row r="53" spans="2:12" s="5" customFormat="1" ht="15.75">
      <c r="B53" s="359" t="s">
        <v>1450</v>
      </c>
      <c r="C53" s="356" t="s">
        <v>1735</v>
      </c>
      <c r="D53" s="130">
        <v>1</v>
      </c>
      <c r="E53" s="130" t="s">
        <v>142</v>
      </c>
      <c r="F53" s="61" t="s">
        <v>122</v>
      </c>
      <c r="G53" s="61"/>
      <c r="H53" s="61"/>
      <c r="I53" s="61"/>
      <c r="J53" s="61"/>
      <c r="K53" s="61"/>
      <c r="L53" s="130"/>
    </row>
    <row r="54" spans="2:12" s="5" customFormat="1" ht="15.75">
      <c r="B54" s="359"/>
      <c r="C54" s="357"/>
      <c r="D54" s="130">
        <v>2</v>
      </c>
      <c r="E54" s="130" t="s">
        <v>1630</v>
      </c>
      <c r="F54" s="61" t="s">
        <v>87</v>
      </c>
      <c r="G54" s="61" t="s">
        <v>1631</v>
      </c>
      <c r="H54" s="61"/>
      <c r="I54" s="61"/>
      <c r="J54" s="61"/>
      <c r="K54" s="61"/>
      <c r="L54" s="130"/>
    </row>
    <row r="55" spans="2:12" s="5" customFormat="1" ht="15.75">
      <c r="B55" s="359"/>
      <c r="C55" s="357"/>
      <c r="D55" s="130">
        <v>3</v>
      </c>
      <c r="E55" s="130"/>
      <c r="F55" s="61" t="s">
        <v>1744</v>
      </c>
      <c r="G55" s="61">
        <v>1000</v>
      </c>
      <c r="H55" s="61"/>
      <c r="I55" s="61"/>
      <c r="J55" s="61"/>
      <c r="K55" s="61"/>
      <c r="L55" s="130"/>
    </row>
    <row r="56" spans="2:12" s="5" customFormat="1" ht="15.75">
      <c r="B56" s="359"/>
      <c r="C56" s="357"/>
      <c r="D56" s="130">
        <v>4</v>
      </c>
      <c r="E56" s="130" t="s">
        <v>1636</v>
      </c>
      <c r="F56" s="61" t="s">
        <v>87</v>
      </c>
      <c r="G56" s="61" t="s">
        <v>1758</v>
      </c>
      <c r="H56" s="61"/>
      <c r="I56" s="61"/>
      <c r="J56" s="61"/>
      <c r="K56" s="61"/>
      <c r="L56" s="130"/>
    </row>
    <row r="57" spans="2:12" s="5" customFormat="1" ht="15.75">
      <c r="B57" s="359"/>
      <c r="C57" s="357"/>
      <c r="D57" s="130">
        <v>5</v>
      </c>
      <c r="E57" s="130" t="s">
        <v>313</v>
      </c>
      <c r="F57" s="61" t="s">
        <v>125</v>
      </c>
      <c r="G57" s="61">
        <v>10000</v>
      </c>
      <c r="H57" s="61"/>
      <c r="I57" s="61"/>
      <c r="J57" s="61"/>
      <c r="K57" s="61"/>
      <c r="L57" s="130"/>
    </row>
    <row r="58" spans="2:12" s="5" customFormat="1" ht="15.75">
      <c r="B58" s="359"/>
      <c r="C58" s="357"/>
      <c r="D58" s="130">
        <v>6</v>
      </c>
      <c r="E58" s="130" t="s">
        <v>146</v>
      </c>
      <c r="F58" s="61" t="s">
        <v>123</v>
      </c>
      <c r="G58" s="61"/>
      <c r="H58" s="61"/>
      <c r="I58" s="61"/>
      <c r="J58" s="61"/>
      <c r="K58" s="61"/>
      <c r="L58" s="130"/>
    </row>
    <row r="59" spans="2:12" s="5" customFormat="1" ht="15.75">
      <c r="B59" s="359"/>
      <c r="C59" s="358"/>
      <c r="D59" s="130"/>
      <c r="E59" s="130"/>
      <c r="F59" s="61"/>
      <c r="G59" s="61"/>
      <c r="H59" s="61"/>
      <c r="I59" s="61"/>
      <c r="J59" s="61"/>
      <c r="K59" s="61"/>
      <c r="L59" s="130"/>
    </row>
    <row r="60" spans="2:12" s="5" customFormat="1" ht="15.75">
      <c r="B60" s="359" t="s">
        <v>1451</v>
      </c>
      <c r="C60" s="356" t="s">
        <v>1735</v>
      </c>
      <c r="D60" s="130">
        <v>1</v>
      </c>
      <c r="E60" s="130" t="s">
        <v>142</v>
      </c>
      <c r="F60" s="61" t="s">
        <v>122</v>
      </c>
      <c r="G60" s="61"/>
      <c r="H60" s="61"/>
      <c r="I60" s="61"/>
      <c r="J60" s="61"/>
      <c r="K60" s="61"/>
      <c r="L60" s="130"/>
    </row>
    <row r="61" spans="2:12" s="5" customFormat="1" ht="15.75">
      <c r="B61" s="359"/>
      <c r="C61" s="357"/>
      <c r="D61" s="130">
        <v>2</v>
      </c>
      <c r="E61" s="130" t="s">
        <v>1630</v>
      </c>
      <c r="F61" s="61" t="s">
        <v>87</v>
      </c>
      <c r="G61" s="61" t="s">
        <v>1631</v>
      </c>
      <c r="H61" s="61"/>
      <c r="I61" s="61"/>
      <c r="J61" s="61"/>
      <c r="K61" s="61"/>
      <c r="L61" s="130"/>
    </row>
    <row r="62" spans="2:12" s="5" customFormat="1" ht="15.75">
      <c r="B62" s="359"/>
      <c r="C62" s="357"/>
      <c r="D62" s="130">
        <v>3</v>
      </c>
      <c r="E62" s="130"/>
      <c r="F62" s="61" t="s">
        <v>1744</v>
      </c>
      <c r="G62" s="61">
        <v>1000</v>
      </c>
      <c r="H62" s="61"/>
      <c r="I62" s="61"/>
      <c r="J62" s="61"/>
      <c r="K62" s="61"/>
      <c r="L62" s="130"/>
    </row>
    <row r="63" spans="2:12" s="5" customFormat="1" ht="15.75">
      <c r="B63" s="359"/>
      <c r="C63" s="357"/>
      <c r="D63" s="130">
        <v>4</v>
      </c>
      <c r="E63" s="130" t="s">
        <v>1634</v>
      </c>
      <c r="F63" s="61" t="s">
        <v>87</v>
      </c>
      <c r="G63" s="61" t="s">
        <v>1635</v>
      </c>
      <c r="H63" s="61"/>
      <c r="I63" s="61"/>
      <c r="J63" s="61"/>
      <c r="K63" s="61"/>
      <c r="L63" s="130"/>
    </row>
    <row r="64" spans="2:12" s="5" customFormat="1" ht="15.75">
      <c r="B64" s="359"/>
      <c r="C64" s="357"/>
      <c r="D64" s="130">
        <v>5</v>
      </c>
      <c r="E64" s="130" t="s">
        <v>313</v>
      </c>
      <c r="F64" s="61" t="s">
        <v>125</v>
      </c>
      <c r="G64" s="61">
        <v>10000</v>
      </c>
      <c r="H64" s="61"/>
      <c r="I64" s="61"/>
      <c r="J64" s="61"/>
      <c r="K64" s="61"/>
      <c r="L64" s="130"/>
    </row>
    <row r="65" spans="2:12" s="5" customFormat="1" ht="15.75">
      <c r="B65" s="359"/>
      <c r="C65" s="357"/>
      <c r="D65" s="130">
        <v>6</v>
      </c>
      <c r="E65" s="130" t="s">
        <v>146</v>
      </c>
      <c r="F65" s="61" t="s">
        <v>123</v>
      </c>
      <c r="G65" s="61"/>
      <c r="H65" s="61"/>
      <c r="I65" s="61"/>
      <c r="J65" s="61"/>
      <c r="K65" s="61"/>
      <c r="L65" s="130"/>
    </row>
    <row r="66" spans="2:12" s="5" customFormat="1" ht="15.75">
      <c r="B66" s="359"/>
      <c r="C66" s="358"/>
      <c r="D66" s="130"/>
      <c r="E66" s="130"/>
      <c r="F66" s="61"/>
      <c r="G66" s="61"/>
      <c r="H66" s="61"/>
      <c r="I66" s="61"/>
      <c r="J66" s="61"/>
      <c r="K66" s="61"/>
      <c r="L66" s="130"/>
    </row>
    <row r="67" spans="2:12" s="5" customFormat="1" ht="15.75">
      <c r="B67" s="359" t="s">
        <v>1452</v>
      </c>
      <c r="C67" s="356" t="s">
        <v>1735</v>
      </c>
      <c r="D67" s="130">
        <v>1</v>
      </c>
      <c r="E67" s="130" t="s">
        <v>142</v>
      </c>
      <c r="F67" s="61" t="s">
        <v>122</v>
      </c>
      <c r="G67" s="61"/>
      <c r="H67" s="61"/>
      <c r="I67" s="61"/>
      <c r="J67" s="61"/>
      <c r="K67" s="61"/>
      <c r="L67" s="130"/>
    </row>
    <row r="68" spans="2:12" s="5" customFormat="1" ht="15.75">
      <c r="B68" s="359"/>
      <c r="C68" s="357"/>
      <c r="D68" s="130">
        <v>2</v>
      </c>
      <c r="E68" s="130" t="s">
        <v>1630</v>
      </c>
      <c r="F68" s="61" t="s">
        <v>87</v>
      </c>
      <c r="G68" s="61" t="s">
        <v>1631</v>
      </c>
      <c r="H68" s="61"/>
      <c r="I68" s="61"/>
      <c r="J68" s="61"/>
      <c r="K68" s="61"/>
      <c r="L68" s="130"/>
    </row>
    <row r="69" spans="2:12" s="5" customFormat="1" ht="15.75">
      <c r="B69" s="359"/>
      <c r="C69" s="357"/>
      <c r="D69" s="130">
        <v>3</v>
      </c>
      <c r="E69" s="130"/>
      <c r="F69" s="61" t="s">
        <v>1744</v>
      </c>
      <c r="G69" s="61">
        <v>1000</v>
      </c>
      <c r="H69" s="61"/>
      <c r="I69" s="61"/>
      <c r="J69" s="61"/>
      <c r="K69" s="61"/>
      <c r="L69" s="130"/>
    </row>
    <row r="70" spans="2:12" s="5" customFormat="1" ht="15.75">
      <c r="B70" s="359"/>
      <c r="C70" s="357"/>
      <c r="D70" s="130">
        <v>4</v>
      </c>
      <c r="E70" s="130" t="s">
        <v>1634</v>
      </c>
      <c r="F70" s="61" t="s">
        <v>87</v>
      </c>
      <c r="G70" s="61" t="s">
        <v>1635</v>
      </c>
      <c r="H70" s="61"/>
      <c r="I70" s="61"/>
      <c r="J70" s="61"/>
      <c r="K70" s="61"/>
      <c r="L70" s="130"/>
    </row>
    <row r="71" spans="2:12" s="5" customFormat="1" ht="15.75">
      <c r="B71" s="359"/>
      <c r="C71" s="357"/>
      <c r="D71" s="130">
        <v>5</v>
      </c>
      <c r="E71" s="130" t="s">
        <v>313</v>
      </c>
      <c r="F71" s="61" t="s">
        <v>125</v>
      </c>
      <c r="G71" s="61">
        <v>10000</v>
      </c>
      <c r="H71" s="61"/>
      <c r="I71" s="61"/>
      <c r="J71" s="61"/>
      <c r="K71" s="61"/>
      <c r="L71" s="130"/>
    </row>
    <row r="72" spans="2:12" s="5" customFormat="1" ht="15.75">
      <c r="B72" s="359"/>
      <c r="C72" s="357"/>
      <c r="D72" s="130">
        <v>6</v>
      </c>
      <c r="E72" s="130" t="s">
        <v>146</v>
      </c>
      <c r="F72" s="61" t="s">
        <v>123</v>
      </c>
      <c r="G72" s="61"/>
      <c r="H72" s="61"/>
      <c r="I72" s="61"/>
      <c r="J72" s="61"/>
      <c r="K72" s="61"/>
      <c r="L72" s="130"/>
    </row>
    <row r="73" spans="2:12" s="5" customFormat="1" ht="15.75">
      <c r="B73" s="359"/>
      <c r="C73" s="358"/>
      <c r="D73" s="130"/>
      <c r="E73" s="130"/>
      <c r="F73" s="61"/>
      <c r="G73" s="61"/>
      <c r="H73" s="61"/>
      <c r="I73" s="61"/>
      <c r="J73" s="61"/>
      <c r="K73" s="61"/>
      <c r="L73" s="130"/>
    </row>
    <row r="74" spans="2:12" s="5" customFormat="1" ht="15.75">
      <c r="B74" s="359" t="s">
        <v>1428</v>
      </c>
      <c r="C74" s="356" t="s">
        <v>1476</v>
      </c>
      <c r="D74" s="130">
        <v>1</v>
      </c>
      <c r="E74" s="130" t="s">
        <v>1614</v>
      </c>
      <c r="F74" s="61" t="s">
        <v>1581</v>
      </c>
      <c r="G74" s="61"/>
      <c r="H74" s="61"/>
      <c r="I74" s="61"/>
      <c r="J74" s="61"/>
      <c r="K74" s="61"/>
      <c r="L74" s="130"/>
    </row>
    <row r="75" spans="2:12" s="5" customFormat="1" ht="15.75">
      <c r="B75" s="359"/>
      <c r="C75" s="357"/>
      <c r="D75" s="130">
        <v>2</v>
      </c>
      <c r="E75" s="130" t="s">
        <v>1630</v>
      </c>
      <c r="F75" s="61" t="s">
        <v>87</v>
      </c>
      <c r="G75" s="61" t="s">
        <v>1631</v>
      </c>
      <c r="H75" s="61"/>
      <c r="I75" s="61"/>
      <c r="J75" s="61"/>
      <c r="K75" s="61"/>
      <c r="L75" s="130"/>
    </row>
    <row r="76" spans="2:12" s="5" customFormat="1" ht="15.75">
      <c r="B76" s="359"/>
      <c r="C76" s="357"/>
      <c r="D76" s="130">
        <v>3</v>
      </c>
      <c r="E76" s="130" t="s">
        <v>142</v>
      </c>
      <c r="F76" s="61" t="s">
        <v>122</v>
      </c>
      <c r="G76" s="61">
        <v>60000</v>
      </c>
      <c r="H76" s="61"/>
      <c r="I76" s="61"/>
      <c r="J76" s="61"/>
      <c r="K76" s="61"/>
      <c r="L76" s="130"/>
    </row>
    <row r="77" spans="2:12" s="5" customFormat="1" ht="15.75">
      <c r="B77" s="359"/>
      <c r="C77" s="357"/>
      <c r="D77" s="130">
        <v>4</v>
      </c>
      <c r="E77" s="130" t="s">
        <v>67</v>
      </c>
      <c r="F77" s="61" t="s">
        <v>123</v>
      </c>
      <c r="G77" s="61"/>
      <c r="H77" s="61"/>
      <c r="I77" s="61"/>
      <c r="J77" s="61"/>
      <c r="K77" s="61"/>
      <c r="L77" s="130"/>
    </row>
    <row r="78" spans="2:12" s="5" customFormat="1" ht="15.75">
      <c r="B78" s="359"/>
      <c r="C78" s="358"/>
      <c r="D78" s="130"/>
      <c r="E78" s="130"/>
      <c r="F78" s="61"/>
      <c r="G78" s="61"/>
      <c r="H78" s="61"/>
      <c r="I78" s="61"/>
      <c r="J78" s="61"/>
      <c r="K78" s="61"/>
      <c r="L78" s="130"/>
    </row>
    <row r="79" spans="2:12" s="5" customFormat="1" ht="15.75">
      <c r="B79" s="359" t="s">
        <v>1429</v>
      </c>
      <c r="C79" s="356" t="s">
        <v>1735</v>
      </c>
      <c r="D79" s="174">
        <v>1</v>
      </c>
      <c r="E79" s="174" t="s">
        <v>142</v>
      </c>
      <c r="F79" s="61" t="s">
        <v>122</v>
      </c>
      <c r="G79" s="61"/>
      <c r="H79" s="61"/>
      <c r="I79" s="61"/>
      <c r="J79" s="61"/>
      <c r="K79" s="61"/>
      <c r="L79" s="130"/>
    </row>
    <row r="80" spans="2:12" s="5" customFormat="1" ht="15.75">
      <c r="B80" s="359"/>
      <c r="C80" s="357"/>
      <c r="D80" s="130">
        <v>2</v>
      </c>
      <c r="E80" s="130" t="s">
        <v>1630</v>
      </c>
      <c r="F80" s="61" t="s">
        <v>87</v>
      </c>
      <c r="G80" s="61" t="s">
        <v>1631</v>
      </c>
      <c r="H80" s="61"/>
      <c r="I80" s="61"/>
      <c r="J80" s="61"/>
      <c r="K80" s="61"/>
      <c r="L80" s="130"/>
    </row>
    <row r="81" spans="2:12" s="5" customFormat="1" ht="15.75">
      <c r="B81" s="359"/>
      <c r="C81" s="357"/>
      <c r="D81" s="174">
        <v>3</v>
      </c>
      <c r="E81" s="174" t="s">
        <v>313</v>
      </c>
      <c r="F81" s="61" t="s">
        <v>125</v>
      </c>
      <c r="G81" s="61">
        <v>10000</v>
      </c>
      <c r="H81" s="61"/>
      <c r="I81" s="61"/>
      <c r="J81" s="61"/>
      <c r="K81" s="61"/>
      <c r="L81" s="174"/>
    </row>
    <row r="82" spans="2:12" s="5" customFormat="1" ht="15.75">
      <c r="B82" s="359"/>
      <c r="C82" s="357"/>
      <c r="D82" s="130">
        <v>4</v>
      </c>
      <c r="E82" s="130" t="s">
        <v>146</v>
      </c>
      <c r="F82" s="61" t="s">
        <v>123</v>
      </c>
      <c r="G82" s="61"/>
      <c r="H82" s="61"/>
      <c r="I82" s="61"/>
      <c r="J82" s="61"/>
      <c r="K82" s="61"/>
      <c r="L82" s="130"/>
    </row>
    <row r="83" spans="2:12" s="5" customFormat="1" ht="15.75">
      <c r="B83" s="359"/>
      <c r="C83" s="358"/>
      <c r="D83" s="130"/>
      <c r="E83" s="130"/>
      <c r="F83" s="61"/>
      <c r="G83" s="61"/>
      <c r="H83" s="61"/>
      <c r="I83" s="61"/>
      <c r="J83" s="61"/>
      <c r="K83" s="61"/>
      <c r="L83" s="130"/>
    </row>
    <row r="84" spans="2:12" s="5" customFormat="1" ht="15.75">
      <c r="B84" s="359" t="s">
        <v>1453</v>
      </c>
      <c r="C84" s="356" t="s">
        <v>1476</v>
      </c>
      <c r="D84" s="130">
        <v>1</v>
      </c>
      <c r="E84" s="130" t="s">
        <v>1614</v>
      </c>
      <c r="F84" s="61" t="s">
        <v>1581</v>
      </c>
      <c r="G84" s="61"/>
      <c r="H84" s="61"/>
      <c r="I84" s="61"/>
      <c r="J84" s="61"/>
      <c r="K84" s="61"/>
      <c r="L84" s="130"/>
    </row>
    <row r="85" spans="2:12" s="5" customFormat="1" ht="15.75">
      <c r="B85" s="359"/>
      <c r="C85" s="357"/>
      <c r="D85" s="130">
        <v>2</v>
      </c>
      <c r="E85" s="130" t="s">
        <v>1630</v>
      </c>
      <c r="F85" s="61" t="s">
        <v>87</v>
      </c>
      <c r="G85" s="61" t="s">
        <v>1631</v>
      </c>
      <c r="H85" s="61"/>
      <c r="I85" s="61"/>
      <c r="J85" s="61"/>
      <c r="K85" s="61"/>
      <c r="L85" s="130"/>
    </row>
    <row r="86" spans="2:12" s="5" customFormat="1" ht="15.75">
      <c r="B86" s="359"/>
      <c r="C86" s="357"/>
      <c r="D86" s="130">
        <v>3</v>
      </c>
      <c r="E86" s="130" t="s">
        <v>142</v>
      </c>
      <c r="F86" s="61" t="s">
        <v>122</v>
      </c>
      <c r="G86" s="61">
        <v>60000</v>
      </c>
      <c r="H86" s="61"/>
      <c r="I86" s="61"/>
      <c r="J86" s="61"/>
      <c r="K86" s="61"/>
      <c r="L86" s="130"/>
    </row>
    <row r="87" spans="2:12" s="5" customFormat="1" ht="15.75">
      <c r="B87" s="359"/>
      <c r="C87" s="357"/>
      <c r="D87" s="130">
        <v>4</v>
      </c>
      <c r="E87" s="130" t="s">
        <v>1636</v>
      </c>
      <c r="F87" s="61" t="s">
        <v>1430</v>
      </c>
      <c r="G87" s="61" t="s">
        <v>1637</v>
      </c>
      <c r="H87" s="61"/>
      <c r="I87" s="61"/>
      <c r="J87" s="61"/>
      <c r="K87" s="61"/>
      <c r="L87" s="130"/>
    </row>
    <row r="88" spans="2:12" s="5" customFormat="1" ht="15.75">
      <c r="B88" s="359"/>
      <c r="C88" s="357"/>
      <c r="D88" s="130">
        <v>5</v>
      </c>
      <c r="E88" s="130" t="s">
        <v>67</v>
      </c>
      <c r="F88" s="61" t="s">
        <v>123</v>
      </c>
      <c r="G88" s="61"/>
      <c r="H88" s="61"/>
      <c r="I88" s="61"/>
      <c r="J88" s="61"/>
      <c r="K88" s="61"/>
      <c r="L88" s="130"/>
    </row>
    <row r="89" spans="2:12" s="5" customFormat="1" ht="15.75">
      <c r="B89" s="359"/>
      <c r="C89" s="358"/>
      <c r="D89" s="130"/>
      <c r="E89" s="130"/>
      <c r="F89" s="61"/>
      <c r="G89" s="61"/>
      <c r="H89" s="61"/>
      <c r="I89" s="61"/>
      <c r="J89" s="61"/>
      <c r="K89" s="61"/>
      <c r="L89" s="130"/>
    </row>
    <row r="90" spans="2:12" s="5" customFormat="1" ht="15.75">
      <c r="B90" s="359" t="s">
        <v>1454</v>
      </c>
      <c r="C90" s="356" t="s">
        <v>1476</v>
      </c>
      <c r="D90" s="130">
        <v>1</v>
      </c>
      <c r="E90" s="130" t="s">
        <v>1614</v>
      </c>
      <c r="F90" s="61" t="s">
        <v>1581</v>
      </c>
      <c r="G90" s="61"/>
      <c r="H90" s="61"/>
      <c r="I90" s="61"/>
      <c r="J90" s="61"/>
      <c r="K90" s="61"/>
      <c r="L90" s="130"/>
    </row>
    <row r="91" spans="2:12" s="5" customFormat="1" ht="15.75">
      <c r="B91" s="359"/>
      <c r="C91" s="357"/>
      <c r="D91" s="130">
        <v>2</v>
      </c>
      <c r="E91" s="130" t="s">
        <v>1630</v>
      </c>
      <c r="F91" s="61" t="s">
        <v>87</v>
      </c>
      <c r="G91" s="61" t="s">
        <v>1631</v>
      </c>
      <c r="H91" s="61"/>
      <c r="I91" s="61"/>
      <c r="J91" s="61"/>
      <c r="K91" s="61"/>
      <c r="L91" s="130"/>
    </row>
    <row r="92" spans="2:12" s="5" customFormat="1" ht="15.75">
      <c r="B92" s="359"/>
      <c r="C92" s="357"/>
      <c r="D92" s="130">
        <v>3</v>
      </c>
      <c r="E92" s="130" t="s">
        <v>142</v>
      </c>
      <c r="F92" s="61" t="s">
        <v>122</v>
      </c>
      <c r="G92" s="61">
        <v>60000</v>
      </c>
      <c r="H92" s="61"/>
      <c r="I92" s="61"/>
      <c r="J92" s="61"/>
      <c r="K92" s="61"/>
      <c r="L92" s="130"/>
    </row>
    <row r="93" spans="2:12" s="5" customFormat="1" ht="15.75">
      <c r="B93" s="359"/>
      <c r="C93" s="357"/>
      <c r="D93" s="130">
        <v>4</v>
      </c>
      <c r="E93" s="130" t="s">
        <v>1636</v>
      </c>
      <c r="F93" s="61" t="s">
        <v>1430</v>
      </c>
      <c r="G93" s="61" t="s">
        <v>1637</v>
      </c>
      <c r="H93" s="61"/>
      <c r="I93" s="61"/>
      <c r="J93" s="61"/>
      <c r="K93" s="61"/>
      <c r="L93" s="130"/>
    </row>
    <row r="94" spans="2:12" s="5" customFormat="1" ht="15.75">
      <c r="B94" s="359"/>
      <c r="C94" s="357"/>
      <c r="D94" s="130">
        <v>5</v>
      </c>
      <c r="E94" s="130" t="s">
        <v>67</v>
      </c>
      <c r="F94" s="61" t="s">
        <v>123</v>
      </c>
      <c r="G94" s="61"/>
      <c r="H94" s="61"/>
      <c r="I94" s="61"/>
      <c r="J94" s="61"/>
      <c r="K94" s="61"/>
      <c r="L94" s="130"/>
    </row>
    <row r="95" spans="2:12" s="5" customFormat="1" ht="15.75">
      <c r="B95" s="359"/>
      <c r="C95" s="358"/>
      <c r="D95" s="130"/>
      <c r="E95" s="130"/>
      <c r="F95" s="61"/>
      <c r="G95" s="61"/>
      <c r="H95" s="61"/>
      <c r="I95" s="61"/>
      <c r="J95" s="61"/>
      <c r="K95" s="61"/>
      <c r="L95" s="130"/>
    </row>
    <row r="96" spans="2:12" s="5" customFormat="1" ht="15.75">
      <c r="B96" s="359" t="s">
        <v>1455</v>
      </c>
      <c r="C96" s="356" t="s">
        <v>1476</v>
      </c>
      <c r="D96" s="130">
        <v>1</v>
      </c>
      <c r="E96" s="130" t="s">
        <v>1614</v>
      </c>
      <c r="F96" s="61" t="s">
        <v>1581</v>
      </c>
      <c r="G96" s="61"/>
      <c r="H96" s="61"/>
      <c r="I96" s="61"/>
      <c r="J96" s="61"/>
      <c r="K96" s="61"/>
      <c r="L96" s="130"/>
    </row>
    <row r="97" spans="2:12" s="5" customFormat="1" ht="15.75">
      <c r="B97" s="359"/>
      <c r="C97" s="357"/>
      <c r="D97" s="130">
        <v>2</v>
      </c>
      <c r="E97" s="130" t="s">
        <v>1630</v>
      </c>
      <c r="F97" s="61" t="s">
        <v>87</v>
      </c>
      <c r="G97" s="61" t="s">
        <v>1631</v>
      </c>
      <c r="H97" s="61"/>
      <c r="I97" s="61"/>
      <c r="J97" s="61"/>
      <c r="K97" s="61"/>
      <c r="L97" s="130"/>
    </row>
    <row r="98" spans="2:12" s="5" customFormat="1" ht="15.75">
      <c r="B98" s="359"/>
      <c r="C98" s="357"/>
      <c r="D98" s="130">
        <v>3</v>
      </c>
      <c r="E98" s="130" t="s">
        <v>142</v>
      </c>
      <c r="F98" s="61" t="s">
        <v>122</v>
      </c>
      <c r="G98" s="61">
        <v>60000</v>
      </c>
      <c r="H98" s="61"/>
      <c r="I98" s="61"/>
      <c r="J98" s="61"/>
      <c r="K98" s="61"/>
      <c r="L98" s="130"/>
    </row>
    <row r="99" spans="2:12" s="5" customFormat="1" ht="15.75">
      <c r="B99" s="359"/>
      <c r="C99" s="357"/>
      <c r="D99" s="130">
        <v>4</v>
      </c>
      <c r="E99" s="130" t="s">
        <v>67</v>
      </c>
      <c r="F99" s="61" t="s">
        <v>123</v>
      </c>
      <c r="G99" s="61"/>
      <c r="H99" s="61"/>
      <c r="I99" s="61"/>
      <c r="J99" s="61"/>
      <c r="K99" s="61"/>
      <c r="L99" s="130"/>
    </row>
    <row r="100" spans="2:12" s="5" customFormat="1" ht="15.75">
      <c r="B100" s="359"/>
      <c r="C100" s="358"/>
      <c r="D100" s="130"/>
      <c r="E100" s="130"/>
      <c r="F100" s="61"/>
      <c r="G100" s="61"/>
      <c r="H100" s="61"/>
      <c r="I100" s="61"/>
      <c r="J100" s="61"/>
      <c r="K100" s="61"/>
      <c r="L100" s="130"/>
    </row>
    <row r="101" spans="2:12" s="5" customFormat="1" ht="15.75">
      <c r="B101" s="359" t="s">
        <v>1456</v>
      </c>
      <c r="C101" s="356" t="s">
        <v>1476</v>
      </c>
      <c r="D101" s="130">
        <v>1</v>
      </c>
      <c r="E101" s="130" t="s">
        <v>1614</v>
      </c>
      <c r="F101" s="61" t="s">
        <v>1581</v>
      </c>
      <c r="G101" s="61"/>
      <c r="H101" s="61"/>
      <c r="I101" s="61"/>
      <c r="J101" s="61"/>
      <c r="K101" s="61"/>
      <c r="L101" s="130"/>
    </row>
    <row r="102" spans="2:12" s="5" customFormat="1" ht="15.75">
      <c r="B102" s="359"/>
      <c r="C102" s="357"/>
      <c r="D102" s="130">
        <v>2</v>
      </c>
      <c r="E102" s="130" t="s">
        <v>1630</v>
      </c>
      <c r="F102" s="61" t="s">
        <v>87</v>
      </c>
      <c r="G102" s="61" t="s">
        <v>1631</v>
      </c>
      <c r="H102" s="61"/>
      <c r="I102" s="61"/>
      <c r="J102" s="61"/>
      <c r="K102" s="61"/>
      <c r="L102" s="130"/>
    </row>
    <row r="103" spans="2:12" s="5" customFormat="1" ht="15.75">
      <c r="B103" s="359"/>
      <c r="C103" s="357"/>
      <c r="D103" s="130">
        <v>3</v>
      </c>
      <c r="E103" s="130" t="s">
        <v>142</v>
      </c>
      <c r="F103" s="61" t="s">
        <v>122</v>
      </c>
      <c r="G103" s="61">
        <v>60000</v>
      </c>
      <c r="H103" s="61"/>
      <c r="I103" s="61"/>
      <c r="J103" s="61"/>
      <c r="K103" s="61"/>
      <c r="L103" s="130"/>
    </row>
    <row r="104" spans="2:12" s="5" customFormat="1" ht="15.75">
      <c r="B104" s="359"/>
      <c r="C104" s="357"/>
      <c r="D104" s="130">
        <v>4</v>
      </c>
      <c r="E104" s="130" t="s">
        <v>67</v>
      </c>
      <c r="F104" s="61" t="s">
        <v>123</v>
      </c>
      <c r="G104" s="61"/>
      <c r="H104" s="61"/>
      <c r="I104" s="61"/>
      <c r="J104" s="61"/>
      <c r="K104" s="61"/>
      <c r="L104" s="130"/>
    </row>
    <row r="105" spans="2:12" s="5" customFormat="1" ht="15.75">
      <c r="B105" s="359"/>
      <c r="C105" s="358"/>
      <c r="D105" s="130"/>
      <c r="E105" s="130"/>
      <c r="F105" s="61"/>
      <c r="G105" s="61"/>
      <c r="H105" s="61"/>
      <c r="I105" s="61"/>
      <c r="J105" s="61"/>
      <c r="K105" s="61"/>
      <c r="L105" s="130"/>
    </row>
    <row r="106" spans="2:12" s="5" customFormat="1" ht="15.75">
      <c r="B106" s="359" t="s">
        <v>1457</v>
      </c>
      <c r="C106" s="356" t="s">
        <v>1476</v>
      </c>
      <c r="D106" s="130">
        <v>1</v>
      </c>
      <c r="E106" s="130" t="s">
        <v>1614</v>
      </c>
      <c r="F106" s="61" t="s">
        <v>1581</v>
      </c>
      <c r="G106" s="61"/>
      <c r="H106" s="61"/>
      <c r="I106" s="61"/>
      <c r="J106" s="61"/>
      <c r="K106" s="61"/>
      <c r="L106" s="130"/>
    </row>
    <row r="107" spans="2:12" s="5" customFormat="1" ht="15.75">
      <c r="B107" s="359"/>
      <c r="C107" s="357"/>
      <c r="D107" s="130">
        <v>2</v>
      </c>
      <c r="E107" s="130" t="s">
        <v>1630</v>
      </c>
      <c r="F107" s="61" t="s">
        <v>87</v>
      </c>
      <c r="G107" s="61" t="s">
        <v>1631</v>
      </c>
      <c r="H107" s="61"/>
      <c r="I107" s="61"/>
      <c r="J107" s="61"/>
      <c r="K107" s="61"/>
      <c r="L107" s="130"/>
    </row>
    <row r="108" spans="2:12" s="5" customFormat="1" ht="15.75">
      <c r="B108" s="359"/>
      <c r="C108" s="357"/>
      <c r="D108" s="130">
        <v>3</v>
      </c>
      <c r="E108" s="130" t="s">
        <v>142</v>
      </c>
      <c r="F108" s="61" t="s">
        <v>122</v>
      </c>
      <c r="G108" s="61">
        <v>60000</v>
      </c>
      <c r="H108" s="61"/>
      <c r="I108" s="61"/>
      <c r="J108" s="61"/>
      <c r="K108" s="61"/>
      <c r="L108" s="130"/>
    </row>
    <row r="109" spans="2:12" s="5" customFormat="1" ht="15.75">
      <c r="B109" s="359"/>
      <c r="C109" s="357"/>
      <c r="D109" s="130">
        <v>4</v>
      </c>
      <c r="E109" s="130" t="s">
        <v>67</v>
      </c>
      <c r="F109" s="61" t="s">
        <v>123</v>
      </c>
      <c r="G109" s="61"/>
      <c r="H109" s="61"/>
      <c r="I109" s="61"/>
      <c r="J109" s="61"/>
      <c r="K109" s="61"/>
      <c r="L109" s="130"/>
    </row>
    <row r="110" spans="2:12" s="5" customFormat="1" ht="15.75">
      <c r="B110" s="359"/>
      <c r="C110" s="358"/>
      <c r="D110" s="130"/>
      <c r="E110" s="130"/>
      <c r="F110" s="61"/>
      <c r="G110" s="61"/>
      <c r="H110" s="61"/>
      <c r="I110" s="61"/>
      <c r="J110" s="61"/>
      <c r="K110" s="61"/>
      <c r="L110" s="130"/>
    </row>
    <row r="111" spans="2:12" s="5" customFormat="1" ht="15.75">
      <c r="B111" s="359" t="s">
        <v>1458</v>
      </c>
      <c r="C111" s="356" t="s">
        <v>1476</v>
      </c>
      <c r="D111" s="130">
        <v>1</v>
      </c>
      <c r="E111" s="130" t="s">
        <v>1614</v>
      </c>
      <c r="F111" s="61" t="s">
        <v>1581</v>
      </c>
      <c r="G111" s="61"/>
      <c r="H111" s="61"/>
      <c r="I111" s="61"/>
      <c r="J111" s="61"/>
      <c r="K111" s="61"/>
      <c r="L111" s="130"/>
    </row>
    <row r="112" spans="2:12" s="5" customFormat="1" ht="15.75">
      <c r="B112" s="359"/>
      <c r="C112" s="357"/>
      <c r="D112" s="130">
        <v>2</v>
      </c>
      <c r="E112" s="130" t="s">
        <v>1630</v>
      </c>
      <c r="F112" s="61" t="s">
        <v>87</v>
      </c>
      <c r="G112" s="61" t="s">
        <v>1631</v>
      </c>
      <c r="H112" s="61"/>
      <c r="I112" s="61"/>
      <c r="J112" s="61"/>
      <c r="K112" s="61"/>
      <c r="L112" s="130"/>
    </row>
    <row r="113" spans="2:12" s="5" customFormat="1" ht="15.75">
      <c r="B113" s="359"/>
      <c r="C113" s="357"/>
      <c r="D113" s="130">
        <v>3</v>
      </c>
      <c r="E113" s="130" t="s">
        <v>142</v>
      </c>
      <c r="F113" s="61" t="s">
        <v>122</v>
      </c>
      <c r="G113" s="61">
        <v>60000</v>
      </c>
      <c r="H113" s="61"/>
      <c r="I113" s="61"/>
      <c r="J113" s="61"/>
      <c r="K113" s="61"/>
      <c r="L113" s="130"/>
    </row>
    <row r="114" spans="2:12" s="5" customFormat="1" ht="15.75">
      <c r="B114" s="359"/>
      <c r="C114" s="357"/>
      <c r="D114" s="130">
        <v>4</v>
      </c>
      <c r="E114" s="130" t="s">
        <v>67</v>
      </c>
      <c r="F114" s="61" t="s">
        <v>123</v>
      </c>
      <c r="G114" s="61"/>
      <c r="H114" s="61"/>
      <c r="I114" s="61"/>
      <c r="J114" s="61"/>
      <c r="K114" s="61"/>
      <c r="L114" s="130"/>
    </row>
    <row r="115" spans="2:12" s="5" customFormat="1" ht="15.75">
      <c r="B115" s="359"/>
      <c r="C115" s="358"/>
      <c r="D115" s="130"/>
      <c r="E115" s="130"/>
      <c r="F115" s="61"/>
      <c r="G115" s="61"/>
      <c r="H115" s="61"/>
      <c r="I115" s="61"/>
      <c r="J115" s="61"/>
      <c r="K115" s="61"/>
      <c r="L115" s="130"/>
    </row>
    <row r="116" spans="2:12" s="5" customFormat="1" ht="15.75">
      <c r="B116" s="359" t="s">
        <v>1459</v>
      </c>
      <c r="C116" s="356" t="s">
        <v>1476</v>
      </c>
      <c r="D116" s="130">
        <v>1</v>
      </c>
      <c r="E116" s="130" t="s">
        <v>1614</v>
      </c>
      <c r="F116" s="61" t="s">
        <v>1581</v>
      </c>
      <c r="G116" s="61"/>
      <c r="H116" s="61"/>
      <c r="I116" s="61"/>
      <c r="J116" s="61"/>
      <c r="K116" s="61"/>
      <c r="L116" s="130"/>
    </row>
    <row r="117" spans="2:12" s="5" customFormat="1" ht="15.75">
      <c r="B117" s="359"/>
      <c r="C117" s="357"/>
      <c r="D117" s="130">
        <v>2</v>
      </c>
      <c r="E117" s="130" t="s">
        <v>1630</v>
      </c>
      <c r="F117" s="61" t="s">
        <v>87</v>
      </c>
      <c r="G117" s="61" t="s">
        <v>1631</v>
      </c>
      <c r="H117" s="61"/>
      <c r="I117" s="61"/>
      <c r="J117" s="61"/>
      <c r="K117" s="61"/>
      <c r="L117" s="130"/>
    </row>
    <row r="118" spans="2:12" s="5" customFormat="1" ht="15.75">
      <c r="B118" s="359"/>
      <c r="C118" s="357"/>
      <c r="D118" s="130">
        <v>3</v>
      </c>
      <c r="E118" s="130" t="s">
        <v>142</v>
      </c>
      <c r="F118" s="61" t="s">
        <v>122</v>
      </c>
      <c r="G118" s="61">
        <v>60000</v>
      </c>
      <c r="H118" s="61"/>
      <c r="I118" s="61"/>
      <c r="J118" s="61"/>
      <c r="K118" s="61"/>
      <c r="L118" s="130"/>
    </row>
    <row r="119" spans="2:12" s="5" customFormat="1" ht="15.75">
      <c r="B119" s="359"/>
      <c r="C119" s="357"/>
      <c r="D119" s="130">
        <v>4</v>
      </c>
      <c r="E119" s="130" t="s">
        <v>67</v>
      </c>
      <c r="F119" s="61" t="s">
        <v>123</v>
      </c>
      <c r="G119" s="61"/>
      <c r="H119" s="61"/>
      <c r="I119" s="61"/>
      <c r="J119" s="61"/>
      <c r="K119" s="61"/>
      <c r="L119" s="130"/>
    </row>
    <row r="120" spans="2:12" s="5" customFormat="1" ht="15.75">
      <c r="B120" s="359"/>
      <c r="C120" s="358"/>
      <c r="D120" s="130"/>
      <c r="E120" s="130"/>
      <c r="F120" s="61"/>
      <c r="G120" s="61"/>
      <c r="H120" s="61"/>
      <c r="I120" s="61"/>
      <c r="J120" s="61"/>
      <c r="K120" s="61"/>
      <c r="L120" s="130"/>
    </row>
    <row r="121" spans="2:12" s="5" customFormat="1" ht="15.75">
      <c r="B121" s="359" t="s">
        <v>1460</v>
      </c>
      <c r="C121" s="356" t="s">
        <v>1476</v>
      </c>
      <c r="D121" s="130">
        <v>1</v>
      </c>
      <c r="E121" s="130" t="s">
        <v>1614</v>
      </c>
      <c r="F121" s="61" t="s">
        <v>1581</v>
      </c>
      <c r="G121" s="61"/>
      <c r="H121" s="61"/>
      <c r="I121" s="61"/>
      <c r="J121" s="61"/>
      <c r="K121" s="61"/>
      <c r="L121" s="130"/>
    </row>
    <row r="122" spans="2:12" s="5" customFormat="1" ht="15.75">
      <c r="B122" s="359"/>
      <c r="C122" s="357"/>
      <c r="D122" s="130">
        <v>2</v>
      </c>
      <c r="E122" s="130" t="s">
        <v>1630</v>
      </c>
      <c r="F122" s="61" t="s">
        <v>87</v>
      </c>
      <c r="G122" s="61" t="s">
        <v>1631</v>
      </c>
      <c r="H122" s="61"/>
      <c r="I122" s="61"/>
      <c r="J122" s="61"/>
      <c r="K122" s="61"/>
      <c r="L122" s="130"/>
    </row>
    <row r="123" spans="2:12" s="5" customFormat="1" ht="15.75">
      <c r="B123" s="359"/>
      <c r="C123" s="357"/>
      <c r="D123" s="130">
        <v>3</v>
      </c>
      <c r="E123" s="130" t="s">
        <v>142</v>
      </c>
      <c r="F123" s="61" t="s">
        <v>122</v>
      </c>
      <c r="G123" s="61">
        <v>60000</v>
      </c>
      <c r="H123" s="61"/>
      <c r="I123" s="61"/>
      <c r="J123" s="61"/>
      <c r="K123" s="61"/>
      <c r="L123" s="130"/>
    </row>
    <row r="124" spans="2:12" s="5" customFormat="1" ht="15.75">
      <c r="B124" s="359"/>
      <c r="C124" s="357"/>
      <c r="D124" s="130">
        <v>4</v>
      </c>
      <c r="E124" s="130" t="s">
        <v>67</v>
      </c>
      <c r="F124" s="61" t="s">
        <v>123</v>
      </c>
      <c r="G124" s="61"/>
      <c r="H124" s="61"/>
      <c r="I124" s="61"/>
      <c r="J124" s="61"/>
      <c r="K124" s="61"/>
      <c r="L124" s="130"/>
    </row>
    <row r="125" spans="2:12" s="5" customFormat="1" ht="15.75">
      <c r="B125" s="359"/>
      <c r="C125" s="358"/>
      <c r="D125" s="130"/>
      <c r="E125" s="130"/>
      <c r="F125" s="61"/>
      <c r="G125" s="61"/>
      <c r="H125" s="61"/>
      <c r="I125" s="61"/>
      <c r="J125" s="61"/>
      <c r="K125" s="61"/>
      <c r="L125" s="130"/>
    </row>
    <row r="126" spans="2:12" s="5" customFormat="1" ht="15.75">
      <c r="B126" s="359" t="s">
        <v>1461</v>
      </c>
      <c r="C126" s="356" t="s">
        <v>1476</v>
      </c>
      <c r="D126" s="130">
        <v>1</v>
      </c>
      <c r="E126" s="130" t="s">
        <v>1614</v>
      </c>
      <c r="F126" s="61" t="s">
        <v>1581</v>
      </c>
      <c r="G126" s="61"/>
      <c r="H126" s="61"/>
      <c r="I126" s="61"/>
      <c r="J126" s="61"/>
      <c r="K126" s="61"/>
      <c r="L126" s="130"/>
    </row>
    <row r="127" spans="2:12" s="5" customFormat="1" ht="15.75">
      <c r="B127" s="359"/>
      <c r="C127" s="357"/>
      <c r="D127" s="130">
        <v>2</v>
      </c>
      <c r="E127" s="130" t="s">
        <v>1630</v>
      </c>
      <c r="F127" s="61" t="s">
        <v>87</v>
      </c>
      <c r="G127" s="61" t="s">
        <v>1631</v>
      </c>
      <c r="H127" s="61"/>
      <c r="I127" s="61"/>
      <c r="J127" s="61"/>
      <c r="K127" s="61"/>
      <c r="L127" s="130"/>
    </row>
    <row r="128" spans="2:12" s="5" customFormat="1" ht="15.75">
      <c r="B128" s="359"/>
      <c r="C128" s="357"/>
      <c r="D128" s="130">
        <v>3</v>
      </c>
      <c r="E128" s="130" t="s">
        <v>142</v>
      </c>
      <c r="F128" s="61" t="s">
        <v>122</v>
      </c>
      <c r="G128" s="61">
        <v>60000</v>
      </c>
      <c r="H128" s="61"/>
      <c r="I128" s="61"/>
      <c r="J128" s="61"/>
      <c r="K128" s="61"/>
      <c r="L128" s="130"/>
    </row>
    <row r="129" spans="2:12" s="5" customFormat="1" ht="15.75">
      <c r="B129" s="359"/>
      <c r="C129" s="357"/>
      <c r="D129" s="130">
        <v>4</v>
      </c>
      <c r="E129" s="130" t="s">
        <v>67</v>
      </c>
      <c r="F129" s="61" t="s">
        <v>123</v>
      </c>
      <c r="G129" s="61"/>
      <c r="H129" s="61"/>
      <c r="I129" s="61"/>
      <c r="J129" s="61"/>
      <c r="K129" s="61"/>
      <c r="L129" s="130"/>
    </row>
    <row r="130" spans="2:12" s="5" customFormat="1" ht="15.75">
      <c r="B130" s="359"/>
      <c r="C130" s="358"/>
      <c r="D130" s="130"/>
      <c r="E130" s="130"/>
      <c r="F130" s="61"/>
      <c r="G130" s="61"/>
      <c r="H130" s="61"/>
      <c r="I130" s="61"/>
      <c r="J130" s="61"/>
      <c r="K130" s="61"/>
      <c r="L130" s="130"/>
    </row>
    <row r="131" spans="2:12" s="5" customFormat="1" ht="15.75">
      <c r="B131" s="359" t="s">
        <v>1462</v>
      </c>
      <c r="C131" s="356" t="s">
        <v>1476</v>
      </c>
      <c r="D131" s="130">
        <v>1</v>
      </c>
      <c r="E131" s="130" t="s">
        <v>1614</v>
      </c>
      <c r="F131" s="61" t="s">
        <v>1581</v>
      </c>
      <c r="G131" s="61"/>
      <c r="H131" s="61"/>
      <c r="I131" s="61"/>
      <c r="J131" s="61"/>
      <c r="K131" s="61"/>
      <c r="L131" s="130"/>
    </row>
    <row r="132" spans="2:12" s="5" customFormat="1" ht="15.75">
      <c r="B132" s="359"/>
      <c r="C132" s="357"/>
      <c r="D132" s="130">
        <v>2</v>
      </c>
      <c r="E132" s="130" t="s">
        <v>1630</v>
      </c>
      <c r="F132" s="61" t="s">
        <v>87</v>
      </c>
      <c r="G132" s="61" t="s">
        <v>1631</v>
      </c>
      <c r="H132" s="61"/>
      <c r="I132" s="61"/>
      <c r="J132" s="61"/>
      <c r="K132" s="61"/>
      <c r="L132" s="130"/>
    </row>
    <row r="133" spans="2:12" s="5" customFormat="1" ht="15.75">
      <c r="B133" s="359"/>
      <c r="C133" s="357"/>
      <c r="D133" s="130">
        <v>3</v>
      </c>
      <c r="E133" s="130" t="s">
        <v>142</v>
      </c>
      <c r="F133" s="61" t="s">
        <v>122</v>
      </c>
      <c r="G133" s="61">
        <v>60000</v>
      </c>
      <c r="H133" s="61"/>
      <c r="I133" s="61"/>
      <c r="J133" s="61"/>
      <c r="K133" s="61"/>
      <c r="L133" s="130"/>
    </row>
    <row r="134" spans="2:12" s="5" customFormat="1" ht="15.75">
      <c r="B134" s="359"/>
      <c r="C134" s="357"/>
      <c r="D134" s="130">
        <v>4</v>
      </c>
      <c r="E134" s="130" t="s">
        <v>67</v>
      </c>
      <c r="F134" s="61" t="s">
        <v>123</v>
      </c>
      <c r="G134" s="61"/>
      <c r="H134" s="61"/>
      <c r="I134" s="61"/>
      <c r="J134" s="61"/>
      <c r="K134" s="61"/>
      <c r="L134" s="130"/>
    </row>
    <row r="135" spans="2:12" s="5" customFormat="1" ht="15.75">
      <c r="B135" s="359"/>
      <c r="C135" s="358"/>
      <c r="D135" s="130"/>
      <c r="E135" s="130"/>
      <c r="F135" s="61"/>
      <c r="G135" s="61"/>
      <c r="H135" s="61"/>
      <c r="I135" s="61"/>
      <c r="J135" s="61"/>
      <c r="K135" s="61"/>
      <c r="L135" s="130"/>
    </row>
    <row r="136" spans="2:12" s="5" customFormat="1" ht="15.75">
      <c r="B136" s="359" t="s">
        <v>1463</v>
      </c>
      <c r="C136" s="356" t="s">
        <v>1476</v>
      </c>
      <c r="D136" s="130">
        <v>1</v>
      </c>
      <c r="E136" s="130" t="s">
        <v>1614</v>
      </c>
      <c r="F136" s="61" t="s">
        <v>1581</v>
      </c>
      <c r="G136" s="61"/>
      <c r="H136" s="61"/>
      <c r="I136" s="61"/>
      <c r="J136" s="61"/>
      <c r="K136" s="61"/>
      <c r="L136" s="130"/>
    </row>
    <row r="137" spans="2:12" s="5" customFormat="1" ht="15.75">
      <c r="B137" s="359"/>
      <c r="C137" s="357"/>
      <c r="D137" s="130">
        <v>2</v>
      </c>
      <c r="E137" s="130" t="s">
        <v>1630</v>
      </c>
      <c r="F137" s="61" t="s">
        <v>87</v>
      </c>
      <c r="G137" s="61" t="s">
        <v>1631</v>
      </c>
      <c r="H137" s="61"/>
      <c r="I137" s="61"/>
      <c r="J137" s="61"/>
      <c r="K137" s="61"/>
      <c r="L137" s="130"/>
    </row>
    <row r="138" spans="2:12" s="5" customFormat="1" ht="15.75">
      <c r="B138" s="359"/>
      <c r="C138" s="357"/>
      <c r="D138" s="130">
        <v>3</v>
      </c>
      <c r="E138" s="130" t="s">
        <v>142</v>
      </c>
      <c r="F138" s="61" t="s">
        <v>122</v>
      </c>
      <c r="G138" s="61">
        <v>60000</v>
      </c>
      <c r="H138" s="61"/>
      <c r="I138" s="61"/>
      <c r="J138" s="61"/>
      <c r="K138" s="61"/>
      <c r="L138" s="130"/>
    </row>
    <row r="139" spans="2:12" s="5" customFormat="1" ht="15.75">
      <c r="B139" s="359"/>
      <c r="C139" s="357"/>
      <c r="D139" s="130">
        <v>4</v>
      </c>
      <c r="E139" s="130"/>
      <c r="F139" s="61" t="s">
        <v>1431</v>
      </c>
      <c r="G139" s="61" t="s">
        <v>1638</v>
      </c>
      <c r="H139" s="61"/>
      <c r="I139" s="61"/>
      <c r="J139" s="61"/>
      <c r="K139" s="61"/>
      <c r="L139" s="130"/>
    </row>
    <row r="140" spans="2:12" s="5" customFormat="1" ht="15.75">
      <c r="B140" s="359"/>
      <c r="C140" s="357"/>
      <c r="D140" s="182">
        <v>5</v>
      </c>
      <c r="E140" s="182"/>
      <c r="F140" s="61" t="s">
        <v>1936</v>
      </c>
      <c r="G140" s="61">
        <v>5000</v>
      </c>
      <c r="H140" s="61"/>
      <c r="I140" s="61"/>
      <c r="J140" s="61"/>
      <c r="K140" s="61"/>
      <c r="L140" s="182"/>
    </row>
    <row r="141" spans="2:12" s="5" customFormat="1" ht="15.75">
      <c r="B141" s="359"/>
      <c r="C141" s="357"/>
      <c r="D141" s="182">
        <v>6</v>
      </c>
      <c r="E141" s="130"/>
      <c r="F141" s="61" t="s">
        <v>1432</v>
      </c>
      <c r="G141" s="61">
        <v>5</v>
      </c>
      <c r="H141" s="61" t="s">
        <v>1427</v>
      </c>
      <c r="I141" s="61" t="s">
        <v>1433</v>
      </c>
      <c r="J141" s="61"/>
      <c r="K141" s="61"/>
      <c r="L141" s="130"/>
    </row>
    <row r="142" spans="2:12" s="5" customFormat="1" ht="15.75">
      <c r="B142" s="359"/>
      <c r="C142" s="357"/>
      <c r="D142" s="182">
        <v>7</v>
      </c>
      <c r="E142" s="130" t="s">
        <v>1737</v>
      </c>
      <c r="F142" s="61" t="s">
        <v>123</v>
      </c>
      <c r="G142" s="61"/>
      <c r="H142" s="61"/>
      <c r="I142" s="61"/>
      <c r="J142" s="61"/>
      <c r="K142" s="61"/>
      <c r="L142" s="130"/>
    </row>
    <row r="143" spans="2:12" s="5" customFormat="1" ht="15.75">
      <c r="B143" s="359"/>
      <c r="C143" s="358"/>
      <c r="D143" s="130"/>
      <c r="E143" s="130"/>
      <c r="F143" s="61"/>
      <c r="G143" s="61"/>
      <c r="H143" s="61"/>
      <c r="I143" s="61"/>
      <c r="J143" s="61"/>
      <c r="K143" s="61"/>
      <c r="L143" s="130"/>
    </row>
    <row r="144" spans="2:12" s="5" customFormat="1" ht="15.75">
      <c r="B144" s="359" t="s">
        <v>1464</v>
      </c>
      <c r="C144" s="356" t="s">
        <v>1476</v>
      </c>
      <c r="D144" s="130">
        <v>1</v>
      </c>
      <c r="E144" s="130" t="s">
        <v>1614</v>
      </c>
      <c r="F144" s="61" t="s">
        <v>1581</v>
      </c>
      <c r="G144" s="61"/>
      <c r="H144" s="61"/>
      <c r="I144" s="61"/>
      <c r="J144" s="61"/>
      <c r="K144" s="61"/>
      <c r="L144" s="130"/>
    </row>
    <row r="145" spans="2:12" s="5" customFormat="1" ht="15.75">
      <c r="B145" s="359"/>
      <c r="C145" s="357"/>
      <c r="D145" s="130">
        <v>2</v>
      </c>
      <c r="E145" s="130" t="s">
        <v>1630</v>
      </c>
      <c r="F145" s="61" t="s">
        <v>87</v>
      </c>
      <c r="G145" s="61" t="s">
        <v>1631</v>
      </c>
      <c r="H145" s="61"/>
      <c r="I145" s="61"/>
      <c r="J145" s="61"/>
      <c r="K145" s="61"/>
      <c r="L145" s="130"/>
    </row>
    <row r="146" spans="2:12" s="5" customFormat="1" ht="15.75">
      <c r="B146" s="359"/>
      <c r="C146" s="357"/>
      <c r="D146" s="130">
        <v>3</v>
      </c>
      <c r="E146" s="130" t="s">
        <v>142</v>
      </c>
      <c r="F146" s="61" t="s">
        <v>122</v>
      </c>
      <c r="G146" s="61">
        <v>60000</v>
      </c>
      <c r="H146" s="61"/>
      <c r="I146" s="61"/>
      <c r="J146" s="61"/>
      <c r="K146" s="61"/>
      <c r="L146" s="130"/>
    </row>
    <row r="147" spans="2:12" s="5" customFormat="1" ht="15.75">
      <c r="B147" s="359"/>
      <c r="C147" s="357"/>
      <c r="D147" s="130">
        <v>4</v>
      </c>
      <c r="E147" s="130"/>
      <c r="F147" s="61" t="s">
        <v>1431</v>
      </c>
      <c r="G147" s="61" t="s">
        <v>1638</v>
      </c>
      <c r="H147" s="61"/>
      <c r="I147" s="61"/>
      <c r="J147" s="61"/>
      <c r="K147" s="61"/>
      <c r="L147" s="130"/>
    </row>
    <row r="148" spans="2:12" s="5" customFormat="1" ht="15.75">
      <c r="B148" s="359"/>
      <c r="C148" s="357"/>
      <c r="D148" s="182">
        <v>5</v>
      </c>
      <c r="E148" s="182"/>
      <c r="F148" s="61" t="s">
        <v>1936</v>
      </c>
      <c r="G148" s="61">
        <v>5000</v>
      </c>
      <c r="H148" s="61"/>
      <c r="I148" s="61"/>
      <c r="J148" s="61"/>
      <c r="K148" s="61"/>
      <c r="L148" s="182"/>
    </row>
    <row r="149" spans="2:12" s="5" customFormat="1" ht="15.75">
      <c r="B149" s="359"/>
      <c r="C149" s="357"/>
      <c r="D149" s="182">
        <v>6</v>
      </c>
      <c r="E149" s="130"/>
      <c r="F149" s="61" t="s">
        <v>1432</v>
      </c>
      <c r="G149" s="61">
        <v>5</v>
      </c>
      <c r="H149" s="61" t="s">
        <v>1427</v>
      </c>
      <c r="I149" s="61" t="s">
        <v>1433</v>
      </c>
      <c r="J149" s="61"/>
      <c r="K149" s="61"/>
      <c r="L149" s="130"/>
    </row>
    <row r="150" spans="2:12" s="5" customFormat="1" ht="15.75">
      <c r="B150" s="359"/>
      <c r="C150" s="357"/>
      <c r="D150" s="182">
        <v>7</v>
      </c>
      <c r="E150" s="130" t="s">
        <v>1737</v>
      </c>
      <c r="F150" s="61" t="s">
        <v>123</v>
      </c>
      <c r="G150" s="61"/>
      <c r="H150" s="61"/>
      <c r="I150" s="61"/>
      <c r="J150" s="61"/>
      <c r="K150" s="61"/>
      <c r="L150" s="130"/>
    </row>
    <row r="151" spans="2:12" s="5" customFormat="1" ht="15.75">
      <c r="B151" s="359"/>
      <c r="C151" s="358"/>
      <c r="D151" s="130"/>
      <c r="E151" s="130"/>
      <c r="F151" s="61"/>
      <c r="G151" s="61"/>
      <c r="H151" s="61"/>
      <c r="I151" s="61"/>
      <c r="J151" s="61"/>
      <c r="K151" s="61"/>
      <c r="L151" s="130"/>
    </row>
    <row r="152" spans="2:12" ht="15.75">
      <c r="F152" s="133" t="s">
        <v>1465</v>
      </c>
      <c r="G152" s="134"/>
      <c r="H152" s="134"/>
      <c r="I152" s="134"/>
      <c r="J152" s="134"/>
      <c r="K152" s="134"/>
    </row>
  </sheetData>
  <mergeCells count="55">
    <mergeCell ref="C136:C143"/>
    <mergeCell ref="C144:C151"/>
    <mergeCell ref="C116:C120"/>
    <mergeCell ref="C121:C125"/>
    <mergeCell ref="C126:C130"/>
    <mergeCell ref="C131:C135"/>
    <mergeCell ref="C90:C95"/>
    <mergeCell ref="C96:C100"/>
    <mergeCell ref="C101:C105"/>
    <mergeCell ref="C106:C110"/>
    <mergeCell ref="C111:C115"/>
    <mergeCell ref="C74:C78"/>
    <mergeCell ref="C79:C83"/>
    <mergeCell ref="C84:C89"/>
    <mergeCell ref="C46:C52"/>
    <mergeCell ref="C53:C59"/>
    <mergeCell ref="C60:C66"/>
    <mergeCell ref="C67:C73"/>
    <mergeCell ref="B60:B66"/>
    <mergeCell ref="B5:B6"/>
    <mergeCell ref="D5:E5"/>
    <mergeCell ref="F5:K5"/>
    <mergeCell ref="L5:L6"/>
    <mergeCell ref="B7:B11"/>
    <mergeCell ref="C5:C6"/>
    <mergeCell ref="C7:C11"/>
    <mergeCell ref="C12:C16"/>
    <mergeCell ref="C17:C21"/>
    <mergeCell ref="C22:C26"/>
    <mergeCell ref="C27:C31"/>
    <mergeCell ref="C32:C38"/>
    <mergeCell ref="C39:C45"/>
    <mergeCell ref="B17:B21"/>
    <mergeCell ref="B27:B31"/>
    <mergeCell ref="B116:B120"/>
    <mergeCell ref="B126:B130"/>
    <mergeCell ref="B144:B151"/>
    <mergeCell ref="B136:B143"/>
    <mergeCell ref="B121:B125"/>
    <mergeCell ref="B131:B135"/>
    <mergeCell ref="B39:B45"/>
    <mergeCell ref="B53:B59"/>
    <mergeCell ref="B12:B16"/>
    <mergeCell ref="B22:B26"/>
    <mergeCell ref="B32:B38"/>
    <mergeCell ref="B46:B52"/>
    <mergeCell ref="B67:B73"/>
    <mergeCell ref="B90:B95"/>
    <mergeCell ref="B101:B105"/>
    <mergeCell ref="B111:B115"/>
    <mergeCell ref="B96:B100"/>
    <mergeCell ref="B106:B110"/>
    <mergeCell ref="B74:B78"/>
    <mergeCell ref="B79:B83"/>
    <mergeCell ref="B84:B89"/>
  </mergeCells>
  <phoneticPr fontId="1"/>
  <pageMargins left="0.70866141732283472" right="0.70866141732283472" top="0.74803149606299213" bottom="0.74803149606299213" header="0.31496062992125984" footer="0.31496062992125984"/>
  <pageSetup paperSize="9" scale="55" orientation="landscape" r:id="rId1"/>
  <headerFooter>
    <oddHeader>&amp;Lメッセージ認証機能評価 単体機能評価仕様書
&amp;A&amp;R【CONFIDENTIAL】
T0100000015687</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2:L1308"/>
  <sheetViews>
    <sheetView view="pageBreakPreview" zoomScaleNormal="100" zoomScaleSheetLayoutView="100" workbookViewId="0">
      <selection activeCell="F2" sqref="F2"/>
    </sheetView>
  </sheetViews>
  <sheetFormatPr defaultColWidth="9" defaultRowHeight="15"/>
  <cols>
    <col min="1" max="1" width="4" style="4" customWidth="1"/>
    <col min="2" max="4" width="9" style="4"/>
    <col min="5" max="5" width="61" style="4" bestFit="1" customWidth="1"/>
    <col min="6" max="6" width="26.7109375" style="4" bestFit="1" customWidth="1"/>
    <col min="7" max="7" width="78.28515625" style="4" bestFit="1" customWidth="1"/>
    <col min="8" max="9" width="18.28515625" style="4" bestFit="1" customWidth="1"/>
    <col min="10" max="11" width="16" style="4" customWidth="1"/>
    <col min="12" max="12" width="5.42578125" style="4" bestFit="1" customWidth="1"/>
    <col min="13" max="16384" width="9" style="4"/>
  </cols>
  <sheetData>
    <row r="2" spans="1:12" ht="16.5">
      <c r="A2" s="12" t="s">
        <v>159</v>
      </c>
      <c r="B2" s="5"/>
      <c r="C2" s="5"/>
      <c r="D2" s="5"/>
      <c r="E2" s="5"/>
      <c r="F2" s="5"/>
      <c r="G2" s="5"/>
      <c r="H2" s="5"/>
      <c r="I2" s="5"/>
      <c r="J2" s="5"/>
      <c r="K2" s="5"/>
      <c r="L2" s="5"/>
    </row>
    <row r="3" spans="1:12" ht="16.5">
      <c r="A3" s="12"/>
      <c r="B3" s="5" t="s">
        <v>1628</v>
      </c>
      <c r="C3" s="5"/>
      <c r="D3" s="5"/>
      <c r="E3" s="5"/>
      <c r="F3" s="5"/>
      <c r="G3" s="5"/>
      <c r="H3" s="5"/>
      <c r="I3" s="5"/>
      <c r="J3" s="5"/>
      <c r="K3" s="5"/>
      <c r="L3" s="5"/>
    </row>
    <row r="4" spans="1:12" ht="15.75">
      <c r="A4" s="5"/>
      <c r="B4" s="5"/>
      <c r="C4" s="5"/>
      <c r="D4" s="5"/>
      <c r="E4" s="5"/>
      <c r="F4" s="5"/>
      <c r="G4" s="5"/>
      <c r="H4" s="5"/>
      <c r="I4" s="5"/>
      <c r="J4" s="5"/>
      <c r="K4" s="5"/>
      <c r="L4" s="5"/>
    </row>
    <row r="5" spans="1:12" ht="15.75">
      <c r="A5" s="5"/>
      <c r="B5" s="362" t="s">
        <v>33</v>
      </c>
      <c r="C5" s="360" t="s">
        <v>1477</v>
      </c>
      <c r="D5" s="363" t="s">
        <v>34</v>
      </c>
      <c r="E5" s="363"/>
      <c r="F5" s="364" t="s">
        <v>69</v>
      </c>
      <c r="G5" s="364"/>
      <c r="H5" s="364"/>
      <c r="I5" s="364"/>
      <c r="J5" s="364"/>
      <c r="K5" s="364"/>
      <c r="L5" s="363" t="s">
        <v>5</v>
      </c>
    </row>
    <row r="6" spans="1:12" ht="15.75">
      <c r="A6" s="5"/>
      <c r="B6" s="363"/>
      <c r="C6" s="361"/>
      <c r="D6" s="122" t="s">
        <v>57</v>
      </c>
      <c r="E6" s="122" t="s">
        <v>35</v>
      </c>
      <c r="F6" s="123" t="s">
        <v>75</v>
      </c>
      <c r="G6" s="123" t="s">
        <v>76</v>
      </c>
      <c r="H6" s="123" t="s">
        <v>77</v>
      </c>
      <c r="I6" s="123" t="s">
        <v>78</v>
      </c>
      <c r="J6" s="123" t="s">
        <v>79</v>
      </c>
      <c r="K6" s="123" t="s">
        <v>84</v>
      </c>
      <c r="L6" s="363"/>
    </row>
    <row r="7" spans="1:12" ht="15.75">
      <c r="A7" s="5"/>
      <c r="B7" s="367" t="s">
        <v>1296</v>
      </c>
      <c r="C7" s="356" t="s">
        <v>1728</v>
      </c>
      <c r="D7" s="121">
        <v>1</v>
      </c>
      <c r="E7" s="121" t="s">
        <v>1639</v>
      </c>
      <c r="F7" s="61" t="s">
        <v>87</v>
      </c>
      <c r="G7" s="61" t="s">
        <v>1640</v>
      </c>
      <c r="H7" s="61"/>
      <c r="I7" s="61"/>
      <c r="J7" s="61"/>
      <c r="K7" s="61"/>
      <c r="L7" s="121"/>
    </row>
    <row r="8" spans="1:12" ht="15.75">
      <c r="A8" s="5"/>
      <c r="B8" s="368"/>
      <c r="C8" s="357"/>
      <c r="D8" s="121">
        <v>2</v>
      </c>
      <c r="E8" s="121" t="s">
        <v>142</v>
      </c>
      <c r="F8" s="61" t="s">
        <v>122</v>
      </c>
      <c r="G8" s="61"/>
      <c r="H8" s="61"/>
      <c r="I8" s="61"/>
      <c r="J8" s="61"/>
      <c r="K8" s="61"/>
      <c r="L8" s="121"/>
    </row>
    <row r="9" spans="1:12" ht="15.75">
      <c r="A9" s="5"/>
      <c r="B9" s="368"/>
      <c r="C9" s="357"/>
      <c r="D9" s="180">
        <v>3</v>
      </c>
      <c r="E9" s="121"/>
      <c r="F9" s="61" t="s">
        <v>125</v>
      </c>
      <c r="G9" s="61">
        <v>100</v>
      </c>
      <c r="H9" s="61"/>
      <c r="I9" s="61"/>
      <c r="J9" s="61"/>
      <c r="K9" s="61"/>
      <c r="L9" s="121"/>
    </row>
    <row r="10" spans="1:12" ht="15.75">
      <c r="A10" s="5"/>
      <c r="B10" s="368"/>
      <c r="C10" s="357"/>
      <c r="D10" s="180">
        <v>4</v>
      </c>
      <c r="E10" s="121" t="s">
        <v>1295</v>
      </c>
      <c r="F10" s="61" t="s">
        <v>130</v>
      </c>
      <c r="G10" s="61" t="s">
        <v>162</v>
      </c>
      <c r="H10" s="61" t="s">
        <v>1294</v>
      </c>
      <c r="I10" s="61"/>
      <c r="J10" s="61"/>
      <c r="K10" s="61"/>
      <c r="L10" s="121"/>
    </row>
    <row r="11" spans="1:12" ht="15.75">
      <c r="A11" s="5"/>
      <c r="B11" s="368"/>
      <c r="C11" s="357"/>
      <c r="D11" s="180">
        <v>5</v>
      </c>
      <c r="E11" s="121"/>
      <c r="F11" s="61" t="s">
        <v>131</v>
      </c>
      <c r="G11" s="61" t="s">
        <v>162</v>
      </c>
      <c r="H11" s="61">
        <v>2</v>
      </c>
      <c r="I11" s="61"/>
      <c r="J11" s="61"/>
      <c r="K11" s="61"/>
      <c r="L11" s="121"/>
    </row>
    <row r="12" spans="1:12" ht="15.75">
      <c r="A12" s="5"/>
      <c r="B12" s="368"/>
      <c r="C12" s="357"/>
      <c r="D12" s="180">
        <v>6</v>
      </c>
      <c r="E12" s="180"/>
      <c r="F12" s="61" t="s">
        <v>1933</v>
      </c>
      <c r="G12" s="61">
        <v>100</v>
      </c>
      <c r="H12" s="61"/>
      <c r="I12" s="61"/>
      <c r="J12" s="61"/>
      <c r="K12" s="61"/>
      <c r="L12" s="180"/>
    </row>
    <row r="13" spans="1:12" ht="15.75">
      <c r="A13" s="5"/>
      <c r="B13" s="368"/>
      <c r="C13" s="357"/>
      <c r="D13" s="180">
        <v>7</v>
      </c>
      <c r="E13" s="121"/>
      <c r="F13" s="61" t="s">
        <v>135</v>
      </c>
      <c r="G13" s="61">
        <v>6</v>
      </c>
      <c r="H13" s="61" t="s">
        <v>1294</v>
      </c>
      <c r="I13" s="61" t="s">
        <v>162</v>
      </c>
      <c r="J13" s="61"/>
      <c r="K13" s="61"/>
      <c r="L13" s="121"/>
    </row>
    <row r="14" spans="1:12" ht="15.75">
      <c r="A14" s="5"/>
      <c r="B14" s="368"/>
      <c r="C14" s="357"/>
      <c r="D14" s="180">
        <v>8</v>
      </c>
      <c r="E14" s="121" t="s">
        <v>166</v>
      </c>
      <c r="F14" s="61" t="s">
        <v>127</v>
      </c>
      <c r="G14" s="61" t="s">
        <v>1331</v>
      </c>
      <c r="H14" s="61" t="s">
        <v>162</v>
      </c>
      <c r="I14" s="61">
        <v>1</v>
      </c>
      <c r="J14" s="61"/>
      <c r="K14" s="61"/>
      <c r="L14" s="121"/>
    </row>
    <row r="15" spans="1:12" ht="15.75">
      <c r="A15" s="5"/>
      <c r="B15" s="368"/>
      <c r="C15" s="357"/>
      <c r="D15" s="180">
        <v>9</v>
      </c>
      <c r="E15" s="121"/>
      <c r="F15" s="61" t="s">
        <v>125</v>
      </c>
      <c r="G15" s="61">
        <v>10</v>
      </c>
      <c r="H15" s="61"/>
      <c r="I15" s="61"/>
      <c r="J15" s="61"/>
      <c r="K15" s="61"/>
      <c r="L15" s="121"/>
    </row>
    <row r="16" spans="1:12" ht="15.75">
      <c r="A16" s="5"/>
      <c r="B16" s="368"/>
      <c r="C16" s="357"/>
      <c r="D16" s="180">
        <v>10</v>
      </c>
      <c r="E16" s="180" t="s">
        <v>1524</v>
      </c>
      <c r="F16" s="61" t="s">
        <v>81</v>
      </c>
      <c r="G16" s="61" t="s">
        <v>1517</v>
      </c>
      <c r="H16" s="61"/>
      <c r="I16" s="61"/>
      <c r="J16" s="61"/>
      <c r="K16" s="61"/>
      <c r="L16" s="180"/>
    </row>
    <row r="17" spans="1:12" ht="15.75">
      <c r="A17" s="5"/>
      <c r="B17" s="368"/>
      <c r="C17" s="357"/>
      <c r="D17" s="180">
        <v>11</v>
      </c>
      <c r="E17" s="121" t="s">
        <v>163</v>
      </c>
      <c r="F17" s="61" t="s">
        <v>164</v>
      </c>
      <c r="G17" s="61">
        <v>1</v>
      </c>
      <c r="H17" s="61">
        <v>4</v>
      </c>
      <c r="I17" s="61" t="s">
        <v>165</v>
      </c>
      <c r="J17" s="61"/>
      <c r="K17" s="61"/>
      <c r="L17" s="121"/>
    </row>
    <row r="18" spans="1:12" ht="15.75">
      <c r="A18" s="5"/>
      <c r="B18" s="368"/>
      <c r="C18" s="357"/>
      <c r="D18" s="180">
        <v>12</v>
      </c>
      <c r="E18" s="121" t="s">
        <v>166</v>
      </c>
      <c r="F18" s="61" t="s">
        <v>127</v>
      </c>
      <c r="G18" s="61" t="s">
        <v>1331</v>
      </c>
      <c r="H18" s="61" t="s">
        <v>162</v>
      </c>
      <c r="I18" s="61">
        <v>3</v>
      </c>
      <c r="J18" s="61"/>
      <c r="K18" s="61"/>
      <c r="L18" s="121"/>
    </row>
    <row r="19" spans="1:12" ht="15.75">
      <c r="A19" s="5"/>
      <c r="B19" s="368"/>
      <c r="C19" s="357"/>
      <c r="D19" s="180">
        <v>13</v>
      </c>
      <c r="E19" s="121" t="s">
        <v>194</v>
      </c>
      <c r="F19" s="61" t="s">
        <v>125</v>
      </c>
      <c r="G19" s="61" t="s">
        <v>1546</v>
      </c>
      <c r="H19" s="61"/>
      <c r="I19" s="61"/>
      <c r="J19" s="61"/>
      <c r="K19" s="61"/>
      <c r="L19" s="121"/>
    </row>
    <row r="20" spans="1:12" ht="15.75">
      <c r="A20" s="5"/>
      <c r="B20" s="368"/>
      <c r="C20" s="357"/>
      <c r="D20" s="180">
        <v>14</v>
      </c>
      <c r="E20" s="180" t="s">
        <v>1525</v>
      </c>
      <c r="F20" s="61" t="s">
        <v>81</v>
      </c>
      <c r="G20" s="61" t="s">
        <v>196</v>
      </c>
      <c r="H20" s="61" t="s">
        <v>197</v>
      </c>
      <c r="I20" s="61" t="s">
        <v>197</v>
      </c>
      <c r="J20" s="61"/>
      <c r="K20" s="61"/>
      <c r="L20" s="180"/>
    </row>
    <row r="21" spans="1:12" ht="15.75">
      <c r="A21" s="5"/>
      <c r="B21" s="368"/>
      <c r="C21" s="357"/>
      <c r="D21" s="180">
        <v>15</v>
      </c>
      <c r="E21" s="180"/>
      <c r="F21" s="61" t="s">
        <v>81</v>
      </c>
      <c r="G21" s="61" t="s">
        <v>198</v>
      </c>
      <c r="H21" s="61" t="s">
        <v>199</v>
      </c>
      <c r="I21" s="61" t="s">
        <v>197</v>
      </c>
      <c r="J21" s="61" t="s">
        <v>197</v>
      </c>
      <c r="K21" s="61">
        <v>1</v>
      </c>
      <c r="L21" s="180"/>
    </row>
    <row r="22" spans="1:12" ht="15.75">
      <c r="A22" s="5"/>
      <c r="B22" s="368"/>
      <c r="C22" s="357"/>
      <c r="D22" s="180">
        <v>16</v>
      </c>
      <c r="E22" s="121" t="s">
        <v>146</v>
      </c>
      <c r="F22" s="61" t="s">
        <v>123</v>
      </c>
      <c r="G22" s="61"/>
      <c r="H22" s="61"/>
      <c r="I22" s="61"/>
      <c r="J22" s="61"/>
      <c r="K22" s="61"/>
      <c r="L22" s="121"/>
    </row>
    <row r="23" spans="1:12" ht="15.75">
      <c r="A23" s="5"/>
      <c r="B23" s="368"/>
      <c r="C23" s="358"/>
      <c r="D23" s="121"/>
      <c r="E23" s="121"/>
      <c r="F23" s="61"/>
      <c r="G23" s="61"/>
      <c r="H23" s="61"/>
      <c r="I23" s="61"/>
      <c r="J23" s="61"/>
      <c r="K23" s="61"/>
      <c r="L23" s="121"/>
    </row>
    <row r="24" spans="1:12" ht="15.75">
      <c r="A24" s="5"/>
      <c r="B24" s="367" t="s">
        <v>1297</v>
      </c>
      <c r="C24" s="356" t="s">
        <v>1728</v>
      </c>
      <c r="D24" s="121">
        <v>1</v>
      </c>
      <c r="E24" s="121" t="s">
        <v>1641</v>
      </c>
      <c r="F24" s="61" t="s">
        <v>87</v>
      </c>
      <c r="G24" s="61" t="s">
        <v>1642</v>
      </c>
      <c r="H24" s="61"/>
      <c r="I24" s="61"/>
      <c r="J24" s="61"/>
      <c r="K24" s="61"/>
      <c r="L24" s="121"/>
    </row>
    <row r="25" spans="1:12" ht="15.75">
      <c r="A25" s="5"/>
      <c r="B25" s="368"/>
      <c r="C25" s="357"/>
      <c r="D25" s="121">
        <v>2</v>
      </c>
      <c r="E25" s="121" t="s">
        <v>142</v>
      </c>
      <c r="F25" s="61" t="s">
        <v>122</v>
      </c>
      <c r="G25" s="61"/>
      <c r="H25" s="61"/>
      <c r="I25" s="61"/>
      <c r="J25" s="61"/>
      <c r="K25" s="61"/>
      <c r="L25" s="121"/>
    </row>
    <row r="26" spans="1:12" ht="15.75">
      <c r="A26" s="5"/>
      <c r="B26" s="368"/>
      <c r="C26" s="357"/>
      <c r="D26" s="128">
        <v>3</v>
      </c>
      <c r="E26" s="121"/>
      <c r="F26" s="61" t="s">
        <v>125</v>
      </c>
      <c r="G26" s="61">
        <v>100</v>
      </c>
      <c r="H26" s="61"/>
      <c r="I26" s="61"/>
      <c r="J26" s="61"/>
      <c r="K26" s="61"/>
      <c r="L26" s="121"/>
    </row>
    <row r="27" spans="1:12" ht="15.75">
      <c r="A27" s="5"/>
      <c r="B27" s="368"/>
      <c r="C27" s="357"/>
      <c r="D27" s="128">
        <v>4</v>
      </c>
      <c r="E27" s="121" t="s">
        <v>1295</v>
      </c>
      <c r="F27" s="61" t="s">
        <v>130</v>
      </c>
      <c r="G27" s="61" t="s">
        <v>162</v>
      </c>
      <c r="H27" s="61" t="s">
        <v>1294</v>
      </c>
      <c r="I27" s="61"/>
      <c r="J27" s="61"/>
      <c r="K27" s="61"/>
      <c r="L27" s="121"/>
    </row>
    <row r="28" spans="1:12" ht="15.75">
      <c r="A28" s="5"/>
      <c r="B28" s="368"/>
      <c r="C28" s="357"/>
      <c r="D28" s="128">
        <v>5</v>
      </c>
      <c r="E28" s="121"/>
      <c r="F28" s="61" t="s">
        <v>131</v>
      </c>
      <c r="G28" s="61" t="s">
        <v>162</v>
      </c>
      <c r="H28" s="61">
        <v>2</v>
      </c>
      <c r="I28" s="61"/>
      <c r="J28" s="61"/>
      <c r="K28" s="61"/>
      <c r="L28" s="121"/>
    </row>
    <row r="29" spans="1:12" ht="15.75">
      <c r="A29" s="5"/>
      <c r="B29" s="368"/>
      <c r="C29" s="357"/>
      <c r="D29" s="180">
        <v>6</v>
      </c>
      <c r="E29" s="180"/>
      <c r="F29" s="61" t="s">
        <v>1933</v>
      </c>
      <c r="G29" s="61">
        <v>100</v>
      </c>
      <c r="H29" s="61"/>
      <c r="I29" s="61"/>
      <c r="J29" s="61"/>
      <c r="K29" s="61"/>
      <c r="L29" s="180"/>
    </row>
    <row r="30" spans="1:12" ht="15.75">
      <c r="A30" s="5"/>
      <c r="B30" s="368"/>
      <c r="C30" s="357"/>
      <c r="D30" s="180">
        <v>7</v>
      </c>
      <c r="E30" s="121"/>
      <c r="F30" s="61" t="s">
        <v>135</v>
      </c>
      <c r="G30" s="61">
        <v>6</v>
      </c>
      <c r="H30" s="61" t="s">
        <v>1294</v>
      </c>
      <c r="I30" s="61" t="s">
        <v>162</v>
      </c>
      <c r="J30" s="61"/>
      <c r="K30" s="61"/>
      <c r="L30" s="121"/>
    </row>
    <row r="31" spans="1:12" ht="15.75">
      <c r="A31" s="5"/>
      <c r="B31" s="368"/>
      <c r="C31" s="357"/>
      <c r="D31" s="180">
        <v>8</v>
      </c>
      <c r="E31" s="121" t="s">
        <v>166</v>
      </c>
      <c r="F31" s="61" t="s">
        <v>127</v>
      </c>
      <c r="G31" s="61" t="s">
        <v>1331</v>
      </c>
      <c r="H31" s="61" t="s">
        <v>162</v>
      </c>
      <c r="I31" s="61">
        <v>1</v>
      </c>
      <c r="J31" s="61"/>
      <c r="K31" s="61"/>
      <c r="L31" s="121"/>
    </row>
    <row r="32" spans="1:12" ht="15.75">
      <c r="A32" s="5"/>
      <c r="B32" s="368"/>
      <c r="C32" s="357"/>
      <c r="D32" s="180">
        <v>9</v>
      </c>
      <c r="E32" s="121"/>
      <c r="F32" s="61" t="s">
        <v>125</v>
      </c>
      <c r="G32" s="61">
        <v>10</v>
      </c>
      <c r="H32" s="61"/>
      <c r="I32" s="61"/>
      <c r="J32" s="61"/>
      <c r="K32" s="61"/>
      <c r="L32" s="121"/>
    </row>
    <row r="33" spans="1:12" ht="15.75">
      <c r="A33" s="5"/>
      <c r="B33" s="368"/>
      <c r="C33" s="357"/>
      <c r="D33" s="180">
        <v>10</v>
      </c>
      <c r="E33" s="121" t="s">
        <v>163</v>
      </c>
      <c r="F33" s="61" t="s">
        <v>164</v>
      </c>
      <c r="G33" s="61">
        <v>1</v>
      </c>
      <c r="H33" s="61">
        <v>4</v>
      </c>
      <c r="I33" s="61" t="s">
        <v>165</v>
      </c>
      <c r="J33" s="61"/>
      <c r="K33" s="61"/>
      <c r="L33" s="121"/>
    </row>
    <row r="34" spans="1:12" ht="15.75">
      <c r="A34" s="5"/>
      <c r="B34" s="368"/>
      <c r="C34" s="357"/>
      <c r="D34" s="180">
        <v>11</v>
      </c>
      <c r="E34" s="121" t="s">
        <v>166</v>
      </c>
      <c r="F34" s="61" t="s">
        <v>127</v>
      </c>
      <c r="G34" s="61" t="s">
        <v>1331</v>
      </c>
      <c r="H34" s="61" t="s">
        <v>162</v>
      </c>
      <c r="I34" s="61">
        <v>3</v>
      </c>
      <c r="J34" s="61"/>
      <c r="K34" s="61"/>
      <c r="L34" s="121"/>
    </row>
    <row r="35" spans="1:12" ht="15.75">
      <c r="A35" s="5"/>
      <c r="B35" s="368"/>
      <c r="C35" s="357"/>
      <c r="D35" s="180">
        <v>12</v>
      </c>
      <c r="E35" s="121" t="s">
        <v>318</v>
      </c>
      <c r="F35" s="61" t="s">
        <v>125</v>
      </c>
      <c r="G35" s="61">
        <v>5000</v>
      </c>
      <c r="H35" s="61"/>
      <c r="I35" s="61"/>
      <c r="J35" s="61"/>
      <c r="K35" s="61"/>
      <c r="L35" s="121"/>
    </row>
    <row r="36" spans="1:12" ht="15.75">
      <c r="A36" s="5"/>
      <c r="B36" s="368"/>
      <c r="C36" s="357"/>
      <c r="D36" s="180">
        <v>13</v>
      </c>
      <c r="E36" s="121" t="s">
        <v>146</v>
      </c>
      <c r="F36" s="61" t="s">
        <v>123</v>
      </c>
      <c r="G36" s="61"/>
      <c r="H36" s="61"/>
      <c r="I36" s="61"/>
      <c r="J36" s="61"/>
      <c r="K36" s="61"/>
      <c r="L36" s="121"/>
    </row>
    <row r="37" spans="1:12" ht="15.75">
      <c r="A37" s="5"/>
      <c r="B37" s="368"/>
      <c r="C37" s="358"/>
      <c r="D37" s="121"/>
      <c r="E37" s="121"/>
      <c r="F37" s="61"/>
      <c r="G37" s="61"/>
      <c r="H37" s="61"/>
      <c r="I37" s="61"/>
      <c r="J37" s="61"/>
      <c r="K37" s="61"/>
      <c r="L37" s="121"/>
    </row>
    <row r="38" spans="1:12" ht="15.75">
      <c r="A38" s="5"/>
      <c r="B38" s="367" t="s">
        <v>1298</v>
      </c>
      <c r="C38" s="356" t="s">
        <v>1728</v>
      </c>
      <c r="D38" s="121">
        <v>1</v>
      </c>
      <c r="E38" s="121" t="s">
        <v>1641</v>
      </c>
      <c r="F38" s="61" t="s">
        <v>87</v>
      </c>
      <c r="G38" s="61" t="s">
        <v>1642</v>
      </c>
      <c r="H38" s="61"/>
      <c r="I38" s="61"/>
      <c r="J38" s="61"/>
      <c r="K38" s="61"/>
      <c r="L38" s="121"/>
    </row>
    <row r="39" spans="1:12" ht="15.75">
      <c r="A39" s="5"/>
      <c r="B39" s="368"/>
      <c r="C39" s="357"/>
      <c r="D39" s="121">
        <v>2</v>
      </c>
      <c r="E39" s="121" t="s">
        <v>142</v>
      </c>
      <c r="F39" s="61" t="s">
        <v>122</v>
      </c>
      <c r="G39" s="61"/>
      <c r="H39" s="61"/>
      <c r="I39" s="61"/>
      <c r="J39" s="61"/>
      <c r="K39" s="61"/>
      <c r="L39" s="121"/>
    </row>
    <row r="40" spans="1:12" ht="15.75">
      <c r="A40" s="5"/>
      <c r="B40" s="368"/>
      <c r="C40" s="357"/>
      <c r="D40" s="180">
        <v>3</v>
      </c>
      <c r="E40" s="121"/>
      <c r="F40" s="61" t="s">
        <v>125</v>
      </c>
      <c r="G40" s="61">
        <v>100</v>
      </c>
      <c r="H40" s="61"/>
      <c r="I40" s="61"/>
      <c r="J40" s="61"/>
      <c r="K40" s="61"/>
      <c r="L40" s="121"/>
    </row>
    <row r="41" spans="1:12" ht="15.75">
      <c r="A41" s="5"/>
      <c r="B41" s="368"/>
      <c r="C41" s="357"/>
      <c r="D41" s="180">
        <v>4</v>
      </c>
      <c r="E41" s="121" t="s">
        <v>1295</v>
      </c>
      <c r="F41" s="61" t="s">
        <v>130</v>
      </c>
      <c r="G41" s="61" t="s">
        <v>162</v>
      </c>
      <c r="H41" s="61" t="s">
        <v>1294</v>
      </c>
      <c r="I41" s="61"/>
      <c r="J41" s="61"/>
      <c r="K41" s="61"/>
      <c r="L41" s="121"/>
    </row>
    <row r="42" spans="1:12" ht="15.75">
      <c r="A42" s="5"/>
      <c r="B42" s="368"/>
      <c r="C42" s="357"/>
      <c r="D42" s="180">
        <v>5</v>
      </c>
      <c r="E42" s="121"/>
      <c r="F42" s="61" t="s">
        <v>131</v>
      </c>
      <c r="G42" s="61" t="s">
        <v>162</v>
      </c>
      <c r="H42" s="61">
        <v>2</v>
      </c>
      <c r="I42" s="61"/>
      <c r="J42" s="61"/>
      <c r="K42" s="61"/>
      <c r="L42" s="121"/>
    </row>
    <row r="43" spans="1:12" ht="15.75">
      <c r="A43" s="5"/>
      <c r="B43" s="368"/>
      <c r="C43" s="357"/>
      <c r="D43" s="180">
        <v>6</v>
      </c>
      <c r="E43" s="180"/>
      <c r="F43" s="61" t="s">
        <v>1933</v>
      </c>
      <c r="G43" s="61">
        <v>100</v>
      </c>
      <c r="H43" s="61"/>
      <c r="I43" s="61"/>
      <c r="J43" s="61"/>
      <c r="K43" s="61"/>
      <c r="L43" s="180"/>
    </row>
    <row r="44" spans="1:12" ht="15.75">
      <c r="A44" s="5"/>
      <c r="B44" s="368"/>
      <c r="C44" s="357"/>
      <c r="D44" s="180">
        <v>7</v>
      </c>
      <c r="E44" s="121"/>
      <c r="F44" s="61" t="s">
        <v>135</v>
      </c>
      <c r="G44" s="61">
        <v>6</v>
      </c>
      <c r="H44" s="61" t="s">
        <v>1294</v>
      </c>
      <c r="I44" s="61" t="s">
        <v>162</v>
      </c>
      <c r="J44" s="61"/>
      <c r="K44" s="61"/>
      <c r="L44" s="121"/>
    </row>
    <row r="45" spans="1:12" ht="15.75">
      <c r="A45" s="5"/>
      <c r="B45" s="368"/>
      <c r="C45" s="357"/>
      <c r="D45" s="180">
        <v>8</v>
      </c>
      <c r="E45" s="121" t="s">
        <v>166</v>
      </c>
      <c r="F45" s="61" t="s">
        <v>127</v>
      </c>
      <c r="G45" s="61" t="s">
        <v>1331</v>
      </c>
      <c r="H45" s="61" t="s">
        <v>162</v>
      </c>
      <c r="I45" s="61">
        <v>1</v>
      </c>
      <c r="J45" s="61"/>
      <c r="K45" s="61"/>
      <c r="L45" s="121"/>
    </row>
    <row r="46" spans="1:12" ht="15.75">
      <c r="A46" s="5"/>
      <c r="B46" s="368"/>
      <c r="C46" s="357"/>
      <c r="D46" s="180">
        <v>9</v>
      </c>
      <c r="E46" s="121"/>
      <c r="F46" s="61" t="s">
        <v>125</v>
      </c>
      <c r="G46" s="61">
        <v>10</v>
      </c>
      <c r="H46" s="61"/>
      <c r="I46" s="61"/>
      <c r="J46" s="61"/>
      <c r="K46" s="61"/>
      <c r="L46" s="121"/>
    </row>
    <row r="47" spans="1:12" ht="15.75">
      <c r="A47" s="5"/>
      <c r="B47" s="368"/>
      <c r="C47" s="357"/>
      <c r="D47" s="180">
        <v>10</v>
      </c>
      <c r="E47" s="180" t="s">
        <v>1524</v>
      </c>
      <c r="F47" s="61" t="s">
        <v>81</v>
      </c>
      <c r="G47" s="61" t="s">
        <v>1517</v>
      </c>
      <c r="H47" s="61"/>
      <c r="I47" s="61"/>
      <c r="J47" s="61"/>
      <c r="K47" s="61"/>
      <c r="L47" s="180"/>
    </row>
    <row r="48" spans="1:12" ht="15.75">
      <c r="A48" s="5"/>
      <c r="B48" s="368"/>
      <c r="C48" s="357"/>
      <c r="D48" s="180">
        <v>11</v>
      </c>
      <c r="E48" s="121" t="s">
        <v>163</v>
      </c>
      <c r="F48" s="61" t="s">
        <v>164</v>
      </c>
      <c r="G48" s="61">
        <v>1</v>
      </c>
      <c r="H48" s="61">
        <v>4</v>
      </c>
      <c r="I48" s="61" t="s">
        <v>165</v>
      </c>
      <c r="J48" s="61"/>
      <c r="K48" s="61"/>
      <c r="L48" s="121"/>
    </row>
    <row r="49" spans="1:12" ht="15.75">
      <c r="A49" s="5"/>
      <c r="B49" s="368"/>
      <c r="C49" s="357"/>
      <c r="D49" s="180">
        <v>12</v>
      </c>
      <c r="E49" s="121" t="s">
        <v>166</v>
      </c>
      <c r="F49" s="61" t="s">
        <v>127</v>
      </c>
      <c r="G49" s="61" t="s">
        <v>1331</v>
      </c>
      <c r="H49" s="61" t="s">
        <v>162</v>
      </c>
      <c r="I49" s="61">
        <v>5</v>
      </c>
      <c r="J49" s="61"/>
      <c r="K49" s="61"/>
      <c r="L49" s="121"/>
    </row>
    <row r="50" spans="1:12" ht="15.75">
      <c r="A50" s="5"/>
      <c r="B50" s="368"/>
      <c r="C50" s="357"/>
      <c r="D50" s="180">
        <v>13</v>
      </c>
      <c r="E50" s="121" t="s">
        <v>194</v>
      </c>
      <c r="F50" s="61" t="s">
        <v>125</v>
      </c>
      <c r="G50" s="61" t="s">
        <v>1546</v>
      </c>
      <c r="H50" s="61"/>
      <c r="I50" s="61"/>
      <c r="J50" s="61"/>
      <c r="K50" s="61"/>
      <c r="L50" s="121"/>
    </row>
    <row r="51" spans="1:12" ht="15.75">
      <c r="A51" s="5"/>
      <c r="B51" s="368"/>
      <c r="C51" s="357"/>
      <c r="D51" s="180">
        <v>14</v>
      </c>
      <c r="E51" s="180" t="s">
        <v>1525</v>
      </c>
      <c r="F51" s="61" t="s">
        <v>81</v>
      </c>
      <c r="G51" s="61" t="s">
        <v>196</v>
      </c>
      <c r="H51" s="61" t="s">
        <v>197</v>
      </c>
      <c r="I51" s="61" t="s">
        <v>197</v>
      </c>
      <c r="J51" s="61"/>
      <c r="K51" s="61"/>
      <c r="L51" s="180"/>
    </row>
    <row r="52" spans="1:12" ht="15.75">
      <c r="A52" s="5"/>
      <c r="B52" s="368"/>
      <c r="C52" s="357"/>
      <c r="D52" s="180">
        <v>15</v>
      </c>
      <c r="E52" s="180"/>
      <c r="F52" s="61" t="s">
        <v>81</v>
      </c>
      <c r="G52" s="61" t="s">
        <v>198</v>
      </c>
      <c r="H52" s="61" t="s">
        <v>199</v>
      </c>
      <c r="I52" s="61" t="s">
        <v>197</v>
      </c>
      <c r="J52" s="61" t="s">
        <v>197</v>
      </c>
      <c r="K52" s="61">
        <v>1</v>
      </c>
      <c r="L52" s="180"/>
    </row>
    <row r="53" spans="1:12" ht="15.75">
      <c r="A53" s="5"/>
      <c r="B53" s="368"/>
      <c r="C53" s="357"/>
      <c r="D53" s="180">
        <v>16</v>
      </c>
      <c r="E53" s="121" t="s">
        <v>146</v>
      </c>
      <c r="F53" s="61" t="s">
        <v>123</v>
      </c>
      <c r="G53" s="61"/>
      <c r="H53" s="61"/>
      <c r="I53" s="61"/>
      <c r="J53" s="61"/>
      <c r="K53" s="61"/>
      <c r="L53" s="121"/>
    </row>
    <row r="54" spans="1:12" ht="15.75">
      <c r="A54" s="5"/>
      <c r="B54" s="368"/>
      <c r="C54" s="358"/>
      <c r="D54" s="121"/>
      <c r="E54" s="121"/>
      <c r="F54" s="61"/>
      <c r="G54" s="61"/>
      <c r="H54" s="61"/>
      <c r="I54" s="61"/>
      <c r="J54" s="61"/>
      <c r="K54" s="61"/>
      <c r="L54" s="121"/>
    </row>
    <row r="55" spans="1:12" ht="15.75">
      <c r="A55" s="5"/>
      <c r="B55" s="367" t="s">
        <v>1299</v>
      </c>
      <c r="C55" s="356" t="s">
        <v>1728</v>
      </c>
      <c r="D55" s="121">
        <v>1</v>
      </c>
      <c r="E55" s="121" t="s">
        <v>1641</v>
      </c>
      <c r="F55" s="61" t="s">
        <v>87</v>
      </c>
      <c r="G55" s="61" t="s">
        <v>1642</v>
      </c>
      <c r="H55" s="61"/>
      <c r="I55" s="61"/>
      <c r="J55" s="61"/>
      <c r="K55" s="61"/>
      <c r="L55" s="121"/>
    </row>
    <row r="56" spans="1:12" ht="15.75">
      <c r="A56" s="5"/>
      <c r="B56" s="368"/>
      <c r="C56" s="357"/>
      <c r="D56" s="121">
        <v>2</v>
      </c>
      <c r="E56" s="121" t="s">
        <v>142</v>
      </c>
      <c r="F56" s="61" t="s">
        <v>122</v>
      </c>
      <c r="G56" s="61"/>
      <c r="H56" s="61"/>
      <c r="I56" s="61"/>
      <c r="J56" s="61"/>
      <c r="K56" s="61"/>
      <c r="L56" s="121"/>
    </row>
    <row r="57" spans="1:12" ht="15.75">
      <c r="A57" s="5"/>
      <c r="B57" s="368"/>
      <c r="C57" s="357"/>
      <c r="D57" s="128">
        <v>3</v>
      </c>
      <c r="E57" s="121"/>
      <c r="F57" s="61" t="s">
        <v>125</v>
      </c>
      <c r="G57" s="61">
        <v>100</v>
      </c>
      <c r="H57" s="61"/>
      <c r="I57" s="61"/>
      <c r="J57" s="61"/>
      <c r="K57" s="61"/>
      <c r="L57" s="121"/>
    </row>
    <row r="58" spans="1:12" ht="15.75">
      <c r="A58" s="5"/>
      <c r="B58" s="368"/>
      <c r="C58" s="357"/>
      <c r="D58" s="128">
        <v>4</v>
      </c>
      <c r="E58" s="121" t="s">
        <v>1295</v>
      </c>
      <c r="F58" s="61" t="s">
        <v>130</v>
      </c>
      <c r="G58" s="61" t="s">
        <v>162</v>
      </c>
      <c r="H58" s="61" t="s">
        <v>1294</v>
      </c>
      <c r="I58" s="61"/>
      <c r="J58" s="61"/>
      <c r="K58" s="61"/>
      <c r="L58" s="121"/>
    </row>
    <row r="59" spans="1:12" ht="15.75">
      <c r="A59" s="5"/>
      <c r="B59" s="368"/>
      <c r="C59" s="357"/>
      <c r="D59" s="128">
        <v>5</v>
      </c>
      <c r="E59" s="121"/>
      <c r="F59" s="61" t="s">
        <v>131</v>
      </c>
      <c r="G59" s="61" t="s">
        <v>162</v>
      </c>
      <c r="H59" s="61">
        <v>2</v>
      </c>
      <c r="I59" s="61"/>
      <c r="J59" s="61"/>
      <c r="K59" s="61"/>
      <c r="L59" s="121"/>
    </row>
    <row r="60" spans="1:12" ht="15.75">
      <c r="A60" s="5"/>
      <c r="B60" s="368"/>
      <c r="C60" s="357"/>
      <c r="D60" s="180">
        <v>6</v>
      </c>
      <c r="E60" s="180"/>
      <c r="F60" s="61" t="s">
        <v>1933</v>
      </c>
      <c r="G60" s="61">
        <v>100</v>
      </c>
      <c r="H60" s="61"/>
      <c r="I60" s="61"/>
      <c r="J60" s="61"/>
      <c r="K60" s="61"/>
      <c r="L60" s="180"/>
    </row>
    <row r="61" spans="1:12" ht="15.75">
      <c r="A61" s="5"/>
      <c r="B61" s="368"/>
      <c r="C61" s="357"/>
      <c r="D61" s="180">
        <v>7</v>
      </c>
      <c r="E61" s="121"/>
      <c r="F61" s="61" t="s">
        <v>135</v>
      </c>
      <c r="G61" s="61">
        <v>6</v>
      </c>
      <c r="H61" s="61" t="s">
        <v>1294</v>
      </c>
      <c r="I61" s="61" t="s">
        <v>162</v>
      </c>
      <c r="J61" s="61"/>
      <c r="K61" s="61"/>
      <c r="L61" s="121"/>
    </row>
    <row r="62" spans="1:12" ht="15.75">
      <c r="A62" s="5"/>
      <c r="B62" s="368"/>
      <c r="C62" s="357"/>
      <c r="D62" s="180">
        <v>8</v>
      </c>
      <c r="E62" s="121" t="s">
        <v>166</v>
      </c>
      <c r="F62" s="61" t="s">
        <v>127</v>
      </c>
      <c r="G62" s="61" t="s">
        <v>1331</v>
      </c>
      <c r="H62" s="61" t="s">
        <v>162</v>
      </c>
      <c r="I62" s="61">
        <v>1</v>
      </c>
      <c r="J62" s="61"/>
      <c r="K62" s="61"/>
      <c r="L62" s="121"/>
    </row>
    <row r="63" spans="1:12" ht="15.75">
      <c r="A63" s="5"/>
      <c r="B63" s="368"/>
      <c r="C63" s="357"/>
      <c r="D63" s="180">
        <v>9</v>
      </c>
      <c r="E63" s="121"/>
      <c r="F63" s="61" t="s">
        <v>125</v>
      </c>
      <c r="G63" s="61">
        <v>10</v>
      </c>
      <c r="H63" s="61"/>
      <c r="I63" s="61"/>
      <c r="J63" s="61"/>
      <c r="K63" s="61"/>
      <c r="L63" s="121"/>
    </row>
    <row r="64" spans="1:12" ht="15.75">
      <c r="A64" s="5"/>
      <c r="B64" s="368"/>
      <c r="C64" s="357"/>
      <c r="D64" s="180">
        <v>10</v>
      </c>
      <c r="E64" s="121" t="s">
        <v>163</v>
      </c>
      <c r="F64" s="61" t="s">
        <v>164</v>
      </c>
      <c r="G64" s="61">
        <v>1</v>
      </c>
      <c r="H64" s="61">
        <v>4</v>
      </c>
      <c r="I64" s="61" t="s">
        <v>165</v>
      </c>
      <c r="J64" s="61"/>
      <c r="K64" s="61"/>
      <c r="L64" s="121"/>
    </row>
    <row r="65" spans="1:12" ht="15.75">
      <c r="A65" s="5"/>
      <c r="B65" s="368"/>
      <c r="C65" s="357"/>
      <c r="D65" s="180">
        <v>11</v>
      </c>
      <c r="E65" s="121" t="s">
        <v>166</v>
      </c>
      <c r="F65" s="61" t="s">
        <v>127</v>
      </c>
      <c r="G65" s="61" t="s">
        <v>1331</v>
      </c>
      <c r="H65" s="61" t="s">
        <v>162</v>
      </c>
      <c r="I65" s="61">
        <v>5</v>
      </c>
      <c r="J65" s="61"/>
      <c r="K65" s="61"/>
      <c r="L65" s="121"/>
    </row>
    <row r="66" spans="1:12" ht="15.75">
      <c r="A66" s="5"/>
      <c r="B66" s="368"/>
      <c r="C66" s="357"/>
      <c r="D66" s="180">
        <v>12</v>
      </c>
      <c r="E66" s="121" t="s">
        <v>318</v>
      </c>
      <c r="F66" s="61" t="s">
        <v>125</v>
      </c>
      <c r="G66" s="61">
        <v>5000</v>
      </c>
      <c r="H66" s="61"/>
      <c r="I66" s="61"/>
      <c r="J66" s="61"/>
      <c r="K66" s="61"/>
      <c r="L66" s="121"/>
    </row>
    <row r="67" spans="1:12" ht="15.75">
      <c r="A67" s="5"/>
      <c r="B67" s="368"/>
      <c r="C67" s="357"/>
      <c r="D67" s="180">
        <v>13</v>
      </c>
      <c r="E67" s="121" t="s">
        <v>146</v>
      </c>
      <c r="F67" s="61" t="s">
        <v>123</v>
      </c>
      <c r="G67" s="61"/>
      <c r="H67" s="61"/>
      <c r="I67" s="61"/>
      <c r="J67" s="61"/>
      <c r="K67" s="61"/>
      <c r="L67" s="121"/>
    </row>
    <row r="68" spans="1:12" ht="15.75">
      <c r="A68" s="5"/>
      <c r="B68" s="368"/>
      <c r="C68" s="358"/>
      <c r="D68" s="121"/>
      <c r="E68" s="121"/>
      <c r="F68" s="61"/>
      <c r="G68" s="61"/>
      <c r="H68" s="61"/>
      <c r="I68" s="61"/>
      <c r="J68" s="61"/>
      <c r="K68" s="61"/>
      <c r="L68" s="121"/>
    </row>
    <row r="69" spans="1:12" ht="15.75">
      <c r="A69" s="5"/>
      <c r="B69" s="367" t="s">
        <v>1300</v>
      </c>
      <c r="C69" s="356" t="s">
        <v>1728</v>
      </c>
      <c r="D69" s="121">
        <v>1</v>
      </c>
      <c r="E69" s="121" t="s">
        <v>1641</v>
      </c>
      <c r="F69" s="61" t="s">
        <v>87</v>
      </c>
      <c r="G69" s="61" t="s">
        <v>1642</v>
      </c>
      <c r="H69" s="61"/>
      <c r="I69" s="61"/>
      <c r="J69" s="61"/>
      <c r="K69" s="61"/>
      <c r="L69" s="121"/>
    </row>
    <row r="70" spans="1:12" ht="15.75">
      <c r="A70" s="5"/>
      <c r="B70" s="368"/>
      <c r="C70" s="357"/>
      <c r="D70" s="121">
        <v>2</v>
      </c>
      <c r="E70" s="121" t="s">
        <v>142</v>
      </c>
      <c r="F70" s="61" t="s">
        <v>122</v>
      </c>
      <c r="G70" s="61"/>
      <c r="H70" s="61"/>
      <c r="I70" s="61"/>
      <c r="J70" s="61"/>
      <c r="K70" s="61"/>
      <c r="L70" s="121"/>
    </row>
    <row r="71" spans="1:12" ht="15.75">
      <c r="A71" s="5"/>
      <c r="B71" s="368"/>
      <c r="C71" s="357"/>
      <c r="D71" s="180">
        <v>3</v>
      </c>
      <c r="E71" s="121"/>
      <c r="F71" s="61" t="s">
        <v>125</v>
      </c>
      <c r="G71" s="61">
        <v>100</v>
      </c>
      <c r="H71" s="61"/>
      <c r="I71" s="61"/>
      <c r="J71" s="61"/>
      <c r="K71" s="61"/>
      <c r="L71" s="121"/>
    </row>
    <row r="72" spans="1:12" ht="15.75">
      <c r="A72" s="5"/>
      <c r="B72" s="368"/>
      <c r="C72" s="357"/>
      <c r="D72" s="180">
        <v>4</v>
      </c>
      <c r="E72" s="121" t="s">
        <v>1295</v>
      </c>
      <c r="F72" s="61" t="s">
        <v>130</v>
      </c>
      <c r="G72" s="61" t="s">
        <v>162</v>
      </c>
      <c r="H72" s="61" t="s">
        <v>1294</v>
      </c>
      <c r="I72" s="61"/>
      <c r="J72" s="61"/>
      <c r="K72" s="61"/>
      <c r="L72" s="121"/>
    </row>
    <row r="73" spans="1:12" ht="15.75">
      <c r="A73" s="5"/>
      <c r="B73" s="368"/>
      <c r="C73" s="357"/>
      <c r="D73" s="180">
        <v>5</v>
      </c>
      <c r="E73" s="121"/>
      <c r="F73" s="61" t="s">
        <v>131</v>
      </c>
      <c r="G73" s="61" t="s">
        <v>162</v>
      </c>
      <c r="H73" s="61">
        <v>2</v>
      </c>
      <c r="I73" s="61"/>
      <c r="J73" s="61"/>
      <c r="K73" s="61"/>
      <c r="L73" s="121"/>
    </row>
    <row r="74" spans="1:12" ht="15.75">
      <c r="A74" s="5"/>
      <c r="B74" s="368"/>
      <c r="C74" s="357"/>
      <c r="D74" s="180">
        <v>6</v>
      </c>
      <c r="E74" s="121"/>
      <c r="F74" s="61" t="s">
        <v>130</v>
      </c>
      <c r="G74" s="61" t="s">
        <v>1301</v>
      </c>
      <c r="H74" s="61" t="s">
        <v>162</v>
      </c>
      <c r="I74" s="61"/>
      <c r="J74" s="61"/>
      <c r="K74" s="61"/>
      <c r="L74" s="121"/>
    </row>
    <row r="75" spans="1:12" ht="15.75">
      <c r="A75" s="5"/>
      <c r="B75" s="368"/>
      <c r="C75" s="357"/>
      <c r="D75" s="180">
        <v>7</v>
      </c>
      <c r="E75" s="121"/>
      <c r="F75" s="61" t="s">
        <v>131</v>
      </c>
      <c r="G75" s="61" t="s">
        <v>1301</v>
      </c>
      <c r="H75" s="61">
        <v>4</v>
      </c>
      <c r="I75" s="61"/>
      <c r="J75" s="61"/>
      <c r="K75" s="61"/>
      <c r="L75" s="121"/>
    </row>
    <row r="76" spans="1:12" ht="15.75">
      <c r="A76" s="5"/>
      <c r="B76" s="368"/>
      <c r="C76" s="357"/>
      <c r="D76" s="180">
        <v>8</v>
      </c>
      <c r="E76" s="180"/>
      <c r="F76" s="61" t="s">
        <v>1933</v>
      </c>
      <c r="G76" s="61">
        <v>100</v>
      </c>
      <c r="H76" s="61"/>
      <c r="I76" s="61"/>
      <c r="J76" s="61"/>
      <c r="K76" s="61"/>
      <c r="L76" s="180"/>
    </row>
    <row r="77" spans="1:12" ht="15.75">
      <c r="A77" s="5"/>
      <c r="B77" s="368"/>
      <c r="C77" s="357"/>
      <c r="D77" s="180">
        <v>9</v>
      </c>
      <c r="E77" s="121"/>
      <c r="F77" s="61" t="s">
        <v>135</v>
      </c>
      <c r="G77" s="61">
        <v>8</v>
      </c>
      <c r="H77" s="61" t="s">
        <v>1294</v>
      </c>
      <c r="I77" s="61" t="s">
        <v>162</v>
      </c>
      <c r="J77" s="61"/>
      <c r="K77" s="61"/>
      <c r="L77" s="121"/>
    </row>
    <row r="78" spans="1:12" ht="15.75">
      <c r="A78" s="5"/>
      <c r="B78" s="368"/>
      <c r="C78" s="357"/>
      <c r="D78" s="180">
        <v>10</v>
      </c>
      <c r="E78" s="121" t="s">
        <v>166</v>
      </c>
      <c r="F78" s="61" t="s">
        <v>127</v>
      </c>
      <c r="G78" s="61" t="s">
        <v>1331</v>
      </c>
      <c r="H78" s="61" t="s">
        <v>162</v>
      </c>
      <c r="I78" s="61">
        <v>1</v>
      </c>
      <c r="J78" s="61"/>
      <c r="K78" s="61"/>
      <c r="L78" s="121"/>
    </row>
    <row r="79" spans="1:12" ht="15.75">
      <c r="A79" s="5"/>
      <c r="B79" s="368"/>
      <c r="C79" s="357"/>
      <c r="D79" s="180">
        <v>11</v>
      </c>
      <c r="E79" s="180"/>
      <c r="F79" s="61" t="s">
        <v>1933</v>
      </c>
      <c r="G79" s="61">
        <v>100</v>
      </c>
      <c r="H79" s="61"/>
      <c r="I79" s="61"/>
      <c r="J79" s="61"/>
      <c r="K79" s="61"/>
      <c r="L79" s="180"/>
    </row>
    <row r="80" spans="1:12" ht="15.75">
      <c r="A80" s="5"/>
      <c r="B80" s="368"/>
      <c r="C80" s="357"/>
      <c r="D80" s="180">
        <v>12</v>
      </c>
      <c r="E80" s="121"/>
      <c r="F80" s="61" t="s">
        <v>135</v>
      </c>
      <c r="G80" s="61">
        <v>11</v>
      </c>
      <c r="H80" s="61" t="s">
        <v>1294</v>
      </c>
      <c r="I80" s="61" t="s">
        <v>1301</v>
      </c>
      <c r="J80" s="61"/>
      <c r="K80" s="61"/>
      <c r="L80" s="121"/>
    </row>
    <row r="81" spans="1:12" ht="15.75">
      <c r="A81" s="5"/>
      <c r="B81" s="368"/>
      <c r="C81" s="357"/>
      <c r="D81" s="180">
        <v>13</v>
      </c>
      <c r="E81" s="180" t="s">
        <v>1524</v>
      </c>
      <c r="F81" s="61" t="s">
        <v>81</v>
      </c>
      <c r="G81" s="61" t="s">
        <v>1517</v>
      </c>
      <c r="H81" s="61"/>
      <c r="I81" s="61"/>
      <c r="J81" s="61"/>
      <c r="K81" s="61"/>
      <c r="L81" s="180"/>
    </row>
    <row r="82" spans="1:12" ht="15.75">
      <c r="A82" s="5"/>
      <c r="B82" s="368"/>
      <c r="C82" s="357"/>
      <c r="D82" s="180">
        <v>14</v>
      </c>
      <c r="E82" s="121" t="s">
        <v>163</v>
      </c>
      <c r="F82" s="61" t="s">
        <v>164</v>
      </c>
      <c r="G82" s="61">
        <v>1</v>
      </c>
      <c r="H82" s="61">
        <v>4</v>
      </c>
      <c r="I82" s="61" t="s">
        <v>165</v>
      </c>
      <c r="J82" s="61"/>
      <c r="K82" s="61"/>
      <c r="L82" s="121"/>
    </row>
    <row r="83" spans="1:12" ht="15.75">
      <c r="A83" s="5"/>
      <c r="B83" s="368"/>
      <c r="C83" s="357"/>
      <c r="D83" s="180">
        <v>15</v>
      </c>
      <c r="E83" s="121" t="s">
        <v>166</v>
      </c>
      <c r="F83" s="61" t="s">
        <v>127</v>
      </c>
      <c r="G83" s="61" t="s">
        <v>1331</v>
      </c>
      <c r="H83" s="61" t="s">
        <v>1301</v>
      </c>
      <c r="I83" s="61">
        <v>3</v>
      </c>
      <c r="J83" s="61"/>
      <c r="K83" s="61"/>
      <c r="L83" s="121"/>
    </row>
    <row r="84" spans="1:12" ht="15.75">
      <c r="A84" s="5"/>
      <c r="B84" s="368"/>
      <c r="C84" s="357"/>
      <c r="D84" s="180">
        <v>16</v>
      </c>
      <c r="E84" s="121" t="s">
        <v>194</v>
      </c>
      <c r="F84" s="61" t="s">
        <v>125</v>
      </c>
      <c r="G84" s="61" t="s">
        <v>1546</v>
      </c>
      <c r="H84" s="61"/>
      <c r="I84" s="61"/>
      <c r="J84" s="61"/>
      <c r="K84" s="61"/>
      <c r="L84" s="121"/>
    </row>
    <row r="85" spans="1:12" ht="15.75">
      <c r="A85" s="5"/>
      <c r="B85" s="368"/>
      <c r="C85" s="357"/>
      <c r="D85" s="180">
        <v>17</v>
      </c>
      <c r="E85" s="180" t="s">
        <v>1525</v>
      </c>
      <c r="F85" s="61" t="s">
        <v>81</v>
      </c>
      <c r="G85" s="61" t="s">
        <v>196</v>
      </c>
      <c r="H85" s="61" t="s">
        <v>197</v>
      </c>
      <c r="I85" s="61" t="s">
        <v>197</v>
      </c>
      <c r="J85" s="61"/>
      <c r="K85" s="61"/>
      <c r="L85" s="180"/>
    </row>
    <row r="86" spans="1:12" ht="15.75">
      <c r="A86" s="5"/>
      <c r="B86" s="368"/>
      <c r="C86" s="357"/>
      <c r="D86" s="180">
        <v>18</v>
      </c>
      <c r="E86" s="180"/>
      <c r="F86" s="61" t="s">
        <v>81</v>
      </c>
      <c r="G86" s="61" t="s">
        <v>198</v>
      </c>
      <c r="H86" s="61" t="s">
        <v>199</v>
      </c>
      <c r="I86" s="61" t="s">
        <v>197</v>
      </c>
      <c r="J86" s="61" t="s">
        <v>197</v>
      </c>
      <c r="K86" s="61">
        <v>1</v>
      </c>
      <c r="L86" s="180"/>
    </row>
    <row r="87" spans="1:12" ht="15.75">
      <c r="A87" s="5"/>
      <c r="B87" s="368"/>
      <c r="C87" s="357"/>
      <c r="D87" s="180">
        <v>19</v>
      </c>
      <c r="E87" s="121" t="s">
        <v>146</v>
      </c>
      <c r="F87" s="61" t="s">
        <v>123</v>
      </c>
      <c r="G87" s="61"/>
      <c r="H87" s="61"/>
      <c r="I87" s="61"/>
      <c r="J87" s="61"/>
      <c r="K87" s="61"/>
      <c r="L87" s="121"/>
    </row>
    <row r="88" spans="1:12" ht="15.75">
      <c r="A88" s="5"/>
      <c r="B88" s="368"/>
      <c r="C88" s="358"/>
      <c r="D88" s="121"/>
      <c r="E88" s="121"/>
      <c r="F88" s="61"/>
      <c r="G88" s="61"/>
      <c r="H88" s="61"/>
      <c r="I88" s="61"/>
      <c r="J88" s="61"/>
      <c r="K88" s="61"/>
      <c r="L88" s="121"/>
    </row>
    <row r="89" spans="1:12" ht="15.75">
      <c r="A89" s="5"/>
      <c r="B89" s="367" t="s">
        <v>1302</v>
      </c>
      <c r="C89" s="356" t="s">
        <v>1728</v>
      </c>
      <c r="D89" s="121">
        <v>1</v>
      </c>
      <c r="E89" s="121" t="s">
        <v>1641</v>
      </c>
      <c r="F89" s="61" t="s">
        <v>87</v>
      </c>
      <c r="G89" s="61" t="s">
        <v>1642</v>
      </c>
      <c r="H89" s="61"/>
      <c r="I89" s="61"/>
      <c r="J89" s="61"/>
      <c r="K89" s="61"/>
      <c r="L89" s="121"/>
    </row>
    <row r="90" spans="1:12" ht="15.75">
      <c r="A90" s="5"/>
      <c r="B90" s="368"/>
      <c r="C90" s="357"/>
      <c r="D90" s="121">
        <v>2</v>
      </c>
      <c r="E90" s="121" t="s">
        <v>142</v>
      </c>
      <c r="F90" s="61" t="s">
        <v>122</v>
      </c>
      <c r="G90" s="61"/>
      <c r="H90" s="61"/>
      <c r="I90" s="61"/>
      <c r="J90" s="61"/>
      <c r="K90" s="61"/>
      <c r="L90" s="121"/>
    </row>
    <row r="91" spans="1:12" ht="15.75">
      <c r="A91" s="5"/>
      <c r="B91" s="368"/>
      <c r="C91" s="357"/>
      <c r="D91" s="128">
        <v>3</v>
      </c>
      <c r="E91" s="121"/>
      <c r="F91" s="61" t="s">
        <v>125</v>
      </c>
      <c r="G91" s="61">
        <v>100</v>
      </c>
      <c r="H91" s="61"/>
      <c r="I91" s="61"/>
      <c r="J91" s="61"/>
      <c r="K91" s="61"/>
      <c r="L91" s="121"/>
    </row>
    <row r="92" spans="1:12" ht="15.75">
      <c r="A92" s="5"/>
      <c r="B92" s="368"/>
      <c r="C92" s="357"/>
      <c r="D92" s="128">
        <v>4</v>
      </c>
      <c r="E92" s="121" t="s">
        <v>1295</v>
      </c>
      <c r="F92" s="61" t="s">
        <v>130</v>
      </c>
      <c r="G92" s="61" t="s">
        <v>162</v>
      </c>
      <c r="H92" s="61" t="s">
        <v>1294</v>
      </c>
      <c r="I92" s="61"/>
      <c r="J92" s="61"/>
      <c r="K92" s="61"/>
      <c r="L92" s="121"/>
    </row>
    <row r="93" spans="1:12" ht="15.75">
      <c r="A93" s="5"/>
      <c r="B93" s="368"/>
      <c r="C93" s="357"/>
      <c r="D93" s="128">
        <v>5</v>
      </c>
      <c r="E93" s="121"/>
      <c r="F93" s="61" t="s">
        <v>131</v>
      </c>
      <c r="G93" s="61" t="s">
        <v>162</v>
      </c>
      <c r="H93" s="61">
        <v>2</v>
      </c>
      <c r="I93" s="61"/>
      <c r="J93" s="61"/>
      <c r="K93" s="61"/>
      <c r="L93" s="121"/>
    </row>
    <row r="94" spans="1:12" ht="15.75">
      <c r="A94" s="5"/>
      <c r="B94" s="368"/>
      <c r="C94" s="357"/>
      <c r="D94" s="128">
        <v>6</v>
      </c>
      <c r="E94" s="121"/>
      <c r="F94" s="61" t="s">
        <v>130</v>
      </c>
      <c r="G94" s="61" t="s">
        <v>1301</v>
      </c>
      <c r="H94" s="61" t="s">
        <v>162</v>
      </c>
      <c r="I94" s="61"/>
      <c r="J94" s="61"/>
      <c r="K94" s="61"/>
      <c r="L94" s="121"/>
    </row>
    <row r="95" spans="1:12" ht="15.75">
      <c r="A95" s="5"/>
      <c r="B95" s="368"/>
      <c r="C95" s="357"/>
      <c r="D95" s="128">
        <v>7</v>
      </c>
      <c r="E95" s="121"/>
      <c r="F95" s="61" t="s">
        <v>131</v>
      </c>
      <c r="G95" s="61" t="s">
        <v>1301</v>
      </c>
      <c r="H95" s="61">
        <v>4</v>
      </c>
      <c r="I95" s="61"/>
      <c r="J95" s="61"/>
      <c r="K95" s="61"/>
      <c r="L95" s="121"/>
    </row>
    <row r="96" spans="1:12" ht="15.75">
      <c r="A96" s="5"/>
      <c r="B96" s="368"/>
      <c r="C96" s="357"/>
      <c r="D96" s="180">
        <v>8</v>
      </c>
      <c r="E96" s="180"/>
      <c r="F96" s="61" t="s">
        <v>1933</v>
      </c>
      <c r="G96" s="61">
        <v>100</v>
      </c>
      <c r="H96" s="61"/>
      <c r="I96" s="61"/>
      <c r="J96" s="61"/>
      <c r="K96" s="61"/>
      <c r="L96" s="180"/>
    </row>
    <row r="97" spans="1:12" ht="15.75">
      <c r="A97" s="5"/>
      <c r="B97" s="368"/>
      <c r="C97" s="357"/>
      <c r="D97" s="180">
        <v>9</v>
      </c>
      <c r="E97" s="121"/>
      <c r="F97" s="61" t="s">
        <v>135</v>
      </c>
      <c r="G97" s="61">
        <v>8</v>
      </c>
      <c r="H97" s="61" t="s">
        <v>1294</v>
      </c>
      <c r="I97" s="61" t="s">
        <v>162</v>
      </c>
      <c r="J97" s="61"/>
      <c r="K97" s="61"/>
      <c r="L97" s="121"/>
    </row>
    <row r="98" spans="1:12" ht="15.75">
      <c r="A98" s="5"/>
      <c r="B98" s="368"/>
      <c r="C98" s="357"/>
      <c r="D98" s="180">
        <v>10</v>
      </c>
      <c r="E98" s="121" t="s">
        <v>166</v>
      </c>
      <c r="F98" s="61" t="s">
        <v>127</v>
      </c>
      <c r="G98" s="61" t="s">
        <v>1331</v>
      </c>
      <c r="H98" s="61" t="s">
        <v>162</v>
      </c>
      <c r="I98" s="61">
        <v>1</v>
      </c>
      <c r="J98" s="61"/>
      <c r="K98" s="61"/>
      <c r="L98" s="121"/>
    </row>
    <row r="99" spans="1:12" ht="15.75">
      <c r="A99" s="5"/>
      <c r="B99" s="368"/>
      <c r="C99" s="357"/>
      <c r="D99" s="180">
        <v>11</v>
      </c>
      <c r="E99" s="180"/>
      <c r="F99" s="61" t="s">
        <v>1933</v>
      </c>
      <c r="G99" s="61">
        <v>100</v>
      </c>
      <c r="H99" s="61"/>
      <c r="I99" s="61"/>
      <c r="J99" s="61"/>
      <c r="K99" s="61"/>
      <c r="L99" s="180"/>
    </row>
    <row r="100" spans="1:12" ht="15.75">
      <c r="A100" s="5"/>
      <c r="B100" s="368"/>
      <c r="C100" s="357"/>
      <c r="D100" s="180">
        <v>12</v>
      </c>
      <c r="E100" s="121"/>
      <c r="F100" s="61" t="s">
        <v>135</v>
      </c>
      <c r="G100" s="61">
        <v>11</v>
      </c>
      <c r="H100" s="61" t="s">
        <v>1294</v>
      </c>
      <c r="I100" s="61" t="s">
        <v>1301</v>
      </c>
      <c r="J100" s="61"/>
      <c r="K100" s="61"/>
      <c r="L100" s="121"/>
    </row>
    <row r="101" spans="1:12" ht="15.75">
      <c r="A101" s="5"/>
      <c r="B101" s="368"/>
      <c r="C101" s="357"/>
      <c r="D101" s="180">
        <v>13</v>
      </c>
      <c r="E101" s="121" t="s">
        <v>163</v>
      </c>
      <c r="F101" s="61" t="s">
        <v>164</v>
      </c>
      <c r="G101" s="61">
        <v>1</v>
      </c>
      <c r="H101" s="61">
        <v>4</v>
      </c>
      <c r="I101" s="61" t="s">
        <v>165</v>
      </c>
      <c r="J101" s="61"/>
      <c r="K101" s="61"/>
      <c r="L101" s="121"/>
    </row>
    <row r="102" spans="1:12" ht="15.75">
      <c r="A102" s="5"/>
      <c r="B102" s="368"/>
      <c r="C102" s="357"/>
      <c r="D102" s="180">
        <v>14</v>
      </c>
      <c r="E102" s="121" t="s">
        <v>166</v>
      </c>
      <c r="F102" s="61" t="s">
        <v>127</v>
      </c>
      <c r="G102" s="61" t="s">
        <v>1331</v>
      </c>
      <c r="H102" s="61" t="s">
        <v>1301</v>
      </c>
      <c r="I102" s="61">
        <v>3</v>
      </c>
      <c r="J102" s="61"/>
      <c r="K102" s="61"/>
      <c r="L102" s="121"/>
    </row>
    <row r="103" spans="1:12" ht="15.75">
      <c r="A103" s="5"/>
      <c r="B103" s="368"/>
      <c r="C103" s="357"/>
      <c r="D103" s="180">
        <v>15</v>
      </c>
      <c r="E103" s="121" t="s">
        <v>318</v>
      </c>
      <c r="F103" s="61" t="s">
        <v>125</v>
      </c>
      <c r="G103" s="61">
        <v>5000</v>
      </c>
      <c r="H103" s="61"/>
      <c r="I103" s="61"/>
      <c r="J103" s="61"/>
      <c r="K103" s="61"/>
      <c r="L103" s="121"/>
    </row>
    <row r="104" spans="1:12" ht="15.75">
      <c r="A104" s="5"/>
      <c r="B104" s="368"/>
      <c r="C104" s="357"/>
      <c r="D104" s="180">
        <v>16</v>
      </c>
      <c r="E104" s="121" t="s">
        <v>146</v>
      </c>
      <c r="F104" s="61" t="s">
        <v>123</v>
      </c>
      <c r="G104" s="61"/>
      <c r="H104" s="61"/>
      <c r="I104" s="61"/>
      <c r="J104" s="61"/>
      <c r="K104" s="61"/>
      <c r="L104" s="121"/>
    </row>
    <row r="105" spans="1:12" ht="15.75">
      <c r="A105" s="5"/>
      <c r="B105" s="368"/>
      <c r="C105" s="358"/>
      <c r="D105" s="121"/>
      <c r="E105" s="121"/>
      <c r="F105" s="61"/>
      <c r="G105" s="61"/>
      <c r="H105" s="61"/>
      <c r="I105" s="61"/>
      <c r="J105" s="61"/>
      <c r="K105" s="61"/>
      <c r="L105" s="121"/>
    </row>
    <row r="106" spans="1:12" ht="15.75">
      <c r="A106" s="5"/>
      <c r="B106" s="367" t="s">
        <v>1303</v>
      </c>
      <c r="C106" s="356" t="s">
        <v>1728</v>
      </c>
      <c r="D106" s="121">
        <v>1</v>
      </c>
      <c r="E106" s="121" t="s">
        <v>1641</v>
      </c>
      <c r="F106" s="61" t="s">
        <v>87</v>
      </c>
      <c r="G106" s="61" t="s">
        <v>1642</v>
      </c>
      <c r="H106" s="61"/>
      <c r="I106" s="61"/>
      <c r="J106" s="61"/>
      <c r="K106" s="61"/>
      <c r="L106" s="121"/>
    </row>
    <row r="107" spans="1:12" ht="15.75">
      <c r="A107" s="5"/>
      <c r="B107" s="368"/>
      <c r="C107" s="357"/>
      <c r="D107" s="121">
        <v>2</v>
      </c>
      <c r="E107" s="121" t="s">
        <v>142</v>
      </c>
      <c r="F107" s="61" t="s">
        <v>122</v>
      </c>
      <c r="G107" s="61"/>
      <c r="H107" s="61"/>
      <c r="I107" s="61"/>
      <c r="J107" s="61"/>
      <c r="K107" s="61"/>
      <c r="L107" s="121"/>
    </row>
    <row r="108" spans="1:12" ht="15.75">
      <c r="A108" s="5"/>
      <c r="B108" s="368"/>
      <c r="C108" s="357"/>
      <c r="D108" s="180">
        <v>3</v>
      </c>
      <c r="E108" s="121"/>
      <c r="F108" s="61" t="s">
        <v>125</v>
      </c>
      <c r="G108" s="61">
        <v>100</v>
      </c>
      <c r="H108" s="61"/>
      <c r="I108" s="61"/>
      <c r="J108" s="61"/>
      <c r="K108" s="61"/>
      <c r="L108" s="121"/>
    </row>
    <row r="109" spans="1:12" ht="15.75">
      <c r="A109" s="5"/>
      <c r="B109" s="368"/>
      <c r="C109" s="357"/>
      <c r="D109" s="180">
        <v>4</v>
      </c>
      <c r="E109" s="121" t="s">
        <v>1376</v>
      </c>
      <c r="F109" s="61" t="s">
        <v>130</v>
      </c>
      <c r="G109" s="61" t="s">
        <v>162</v>
      </c>
      <c r="H109" s="61" t="s">
        <v>1294</v>
      </c>
      <c r="I109" s="61"/>
      <c r="J109" s="61"/>
      <c r="K109" s="61"/>
      <c r="L109" s="121"/>
    </row>
    <row r="110" spans="1:12" ht="15.75">
      <c r="A110" s="5"/>
      <c r="B110" s="368"/>
      <c r="C110" s="357"/>
      <c r="D110" s="180">
        <v>5</v>
      </c>
      <c r="E110" s="121"/>
      <c r="F110" s="61" t="s">
        <v>131</v>
      </c>
      <c r="G110" s="61" t="s">
        <v>162</v>
      </c>
      <c r="H110" s="61">
        <v>1</v>
      </c>
      <c r="I110" s="61"/>
      <c r="J110" s="61"/>
      <c r="K110" s="61"/>
      <c r="L110" s="121"/>
    </row>
    <row r="111" spans="1:12" ht="15.75">
      <c r="A111" s="5"/>
      <c r="B111" s="368"/>
      <c r="C111" s="357"/>
      <c r="D111" s="180">
        <v>6</v>
      </c>
      <c r="E111" s="180"/>
      <c r="F111" s="61" t="s">
        <v>1933</v>
      </c>
      <c r="G111" s="61">
        <v>100</v>
      </c>
      <c r="H111" s="61"/>
      <c r="I111" s="61"/>
      <c r="J111" s="61"/>
      <c r="K111" s="61"/>
      <c r="L111" s="180"/>
    </row>
    <row r="112" spans="1:12" ht="15.75">
      <c r="A112" s="5"/>
      <c r="B112" s="368"/>
      <c r="C112" s="357"/>
      <c r="D112" s="180">
        <v>7</v>
      </c>
      <c r="E112" s="128"/>
      <c r="F112" s="61" t="s">
        <v>135</v>
      </c>
      <c r="G112" s="61">
        <v>6</v>
      </c>
      <c r="H112" s="61" t="s">
        <v>1294</v>
      </c>
      <c r="I112" s="61" t="s">
        <v>162</v>
      </c>
      <c r="J112" s="61"/>
      <c r="K112" s="61"/>
      <c r="L112" s="128"/>
    </row>
    <row r="113" spans="1:12" ht="15.75">
      <c r="A113" s="5"/>
      <c r="B113" s="368"/>
      <c r="C113" s="357"/>
      <c r="D113" s="180">
        <v>8</v>
      </c>
      <c r="E113" s="180"/>
      <c r="F113" s="61" t="s">
        <v>1933</v>
      </c>
      <c r="G113" s="61">
        <v>100</v>
      </c>
      <c r="H113" s="61"/>
      <c r="I113" s="61"/>
      <c r="J113" s="61"/>
      <c r="K113" s="61"/>
      <c r="L113" s="180"/>
    </row>
    <row r="114" spans="1:12" ht="15.75">
      <c r="A114" s="5"/>
      <c r="B114" s="368"/>
      <c r="C114" s="357"/>
      <c r="D114" s="180">
        <v>9</v>
      </c>
      <c r="E114" s="128"/>
      <c r="F114" s="61" t="s">
        <v>1372</v>
      </c>
      <c r="G114" s="61" t="s">
        <v>1371</v>
      </c>
      <c r="H114" s="61" t="s">
        <v>1294</v>
      </c>
      <c r="I114" s="61"/>
      <c r="J114" s="61"/>
      <c r="K114" s="61"/>
      <c r="L114" s="128"/>
    </row>
    <row r="115" spans="1:12" ht="15.75">
      <c r="A115" s="5"/>
      <c r="B115" s="368"/>
      <c r="C115" s="357"/>
      <c r="D115" s="180">
        <v>10</v>
      </c>
      <c r="E115" s="128"/>
      <c r="F115" s="61" t="s">
        <v>1379</v>
      </c>
      <c r="G115" s="61" t="s">
        <v>1371</v>
      </c>
      <c r="H115" s="61" t="s">
        <v>1374</v>
      </c>
      <c r="I115" s="61"/>
      <c r="J115" s="61"/>
      <c r="K115" s="61"/>
      <c r="L115" s="128"/>
    </row>
    <row r="116" spans="1:12" ht="15.75">
      <c r="A116" s="5"/>
      <c r="B116" s="368"/>
      <c r="C116" s="357"/>
      <c r="D116" s="180">
        <v>11</v>
      </c>
      <c r="E116" s="128"/>
      <c r="F116" s="61" t="s">
        <v>134</v>
      </c>
      <c r="G116" s="61">
        <v>8</v>
      </c>
      <c r="H116" s="61" t="s">
        <v>1371</v>
      </c>
      <c r="I116" s="61">
        <v>3</v>
      </c>
      <c r="J116" s="61"/>
      <c r="K116" s="61"/>
      <c r="L116" s="128"/>
    </row>
    <row r="117" spans="1:12" ht="15.75">
      <c r="A117" s="5"/>
      <c r="B117" s="368"/>
      <c r="C117" s="357"/>
      <c r="D117" s="180">
        <v>12</v>
      </c>
      <c r="E117" s="128"/>
      <c r="F117" s="61" t="s">
        <v>1372</v>
      </c>
      <c r="G117" s="61" t="s">
        <v>1371</v>
      </c>
      <c r="H117" s="61" t="s">
        <v>1294</v>
      </c>
      <c r="I117" s="61"/>
      <c r="J117" s="61"/>
      <c r="K117" s="61"/>
      <c r="L117" s="128"/>
    </row>
    <row r="118" spans="1:12" ht="15.75">
      <c r="A118" s="5"/>
      <c r="B118" s="368"/>
      <c r="C118" s="357"/>
      <c r="D118" s="180">
        <v>13</v>
      </c>
      <c r="E118" s="128"/>
      <c r="F118" s="61" t="s">
        <v>1372</v>
      </c>
      <c r="G118" s="61" t="s">
        <v>1373</v>
      </c>
      <c r="H118" s="61" t="s">
        <v>1294</v>
      </c>
      <c r="I118" s="61"/>
      <c r="J118" s="61"/>
      <c r="K118" s="61"/>
      <c r="L118" s="128"/>
    </row>
    <row r="119" spans="1:12" ht="15.75">
      <c r="A119" s="5"/>
      <c r="B119" s="368"/>
      <c r="C119" s="357"/>
      <c r="D119" s="180">
        <v>14</v>
      </c>
      <c r="E119" s="128"/>
      <c r="F119" s="61" t="s">
        <v>1375</v>
      </c>
      <c r="G119" s="61" t="s">
        <v>1373</v>
      </c>
      <c r="H119" s="61">
        <v>1</v>
      </c>
      <c r="I119" s="61"/>
      <c r="J119" s="61"/>
      <c r="K119" s="61"/>
      <c r="L119" s="128"/>
    </row>
    <row r="120" spans="1:12" ht="15.75">
      <c r="A120" s="5"/>
      <c r="B120" s="368"/>
      <c r="C120" s="357"/>
      <c r="D120" s="180">
        <v>15</v>
      </c>
      <c r="E120" s="121" t="s">
        <v>166</v>
      </c>
      <c r="F120" s="61" t="s">
        <v>127</v>
      </c>
      <c r="G120" s="61" t="s">
        <v>1331</v>
      </c>
      <c r="H120" s="61" t="s">
        <v>162</v>
      </c>
      <c r="I120" s="61">
        <v>1</v>
      </c>
      <c r="J120" s="61"/>
      <c r="K120" s="61"/>
      <c r="L120" s="121"/>
    </row>
    <row r="121" spans="1:12" ht="15.75">
      <c r="A121" s="5"/>
      <c r="B121" s="368"/>
      <c r="C121" s="357"/>
      <c r="D121" s="180">
        <v>16</v>
      </c>
      <c r="E121" s="180"/>
      <c r="F121" s="61" t="s">
        <v>1933</v>
      </c>
      <c r="G121" s="61">
        <v>100</v>
      </c>
      <c r="H121" s="61"/>
      <c r="I121" s="61"/>
      <c r="J121" s="61"/>
      <c r="K121" s="61"/>
      <c r="L121" s="180"/>
    </row>
    <row r="122" spans="1:12" ht="15.75">
      <c r="A122" s="5"/>
      <c r="B122" s="368"/>
      <c r="C122" s="357"/>
      <c r="D122" s="180">
        <v>17</v>
      </c>
      <c r="E122" s="121"/>
      <c r="F122" s="61" t="s">
        <v>135</v>
      </c>
      <c r="G122" s="61">
        <v>16</v>
      </c>
      <c r="H122" s="61" t="s">
        <v>1294</v>
      </c>
      <c r="I122" s="61" t="s">
        <v>1301</v>
      </c>
      <c r="J122" s="61"/>
      <c r="K122" s="61"/>
      <c r="L122" s="121"/>
    </row>
    <row r="123" spans="1:12" ht="15.75">
      <c r="A123" s="5"/>
      <c r="B123" s="368"/>
      <c r="C123" s="357"/>
      <c r="D123" s="180">
        <v>18</v>
      </c>
      <c r="E123" s="180" t="s">
        <v>1524</v>
      </c>
      <c r="F123" s="61" t="s">
        <v>81</v>
      </c>
      <c r="G123" s="61" t="s">
        <v>1517</v>
      </c>
      <c r="H123" s="61"/>
      <c r="I123" s="61"/>
      <c r="J123" s="61"/>
      <c r="K123" s="61"/>
      <c r="L123" s="180"/>
    </row>
    <row r="124" spans="1:12" ht="15.75">
      <c r="A124" s="5"/>
      <c r="B124" s="368"/>
      <c r="C124" s="357"/>
      <c r="D124" s="180">
        <v>19</v>
      </c>
      <c r="E124" s="121" t="s">
        <v>163</v>
      </c>
      <c r="F124" s="61" t="s">
        <v>164</v>
      </c>
      <c r="G124" s="61">
        <v>1</v>
      </c>
      <c r="H124" s="61">
        <v>4</v>
      </c>
      <c r="I124" s="61" t="s">
        <v>165</v>
      </c>
      <c r="J124" s="61"/>
      <c r="K124" s="61"/>
      <c r="L124" s="121"/>
    </row>
    <row r="125" spans="1:12" ht="15.75">
      <c r="A125" s="5"/>
      <c r="B125" s="368"/>
      <c r="C125" s="357"/>
      <c r="D125" s="180">
        <v>20</v>
      </c>
      <c r="E125" s="121" t="s">
        <v>166</v>
      </c>
      <c r="F125" s="61" t="s">
        <v>127</v>
      </c>
      <c r="G125" s="61" t="s">
        <v>1331</v>
      </c>
      <c r="H125" s="61" t="s">
        <v>162</v>
      </c>
      <c r="I125" s="61">
        <v>3</v>
      </c>
      <c r="J125" s="61"/>
      <c r="K125" s="61"/>
      <c r="L125" s="121"/>
    </row>
    <row r="126" spans="1:12" ht="15.75">
      <c r="A126" s="5"/>
      <c r="B126" s="368"/>
      <c r="C126" s="357"/>
      <c r="D126" s="180">
        <v>21</v>
      </c>
      <c r="E126" s="121" t="s">
        <v>194</v>
      </c>
      <c r="F126" s="61" t="s">
        <v>125</v>
      </c>
      <c r="G126" s="61" t="s">
        <v>1546</v>
      </c>
      <c r="H126" s="61"/>
      <c r="I126" s="61"/>
      <c r="J126" s="61"/>
      <c r="K126" s="61"/>
      <c r="L126" s="121"/>
    </row>
    <row r="127" spans="1:12" ht="15.75">
      <c r="A127" s="5"/>
      <c r="B127" s="368"/>
      <c r="C127" s="357"/>
      <c r="D127" s="180">
        <v>22</v>
      </c>
      <c r="E127" s="180" t="s">
        <v>1525</v>
      </c>
      <c r="F127" s="61" t="s">
        <v>81</v>
      </c>
      <c r="G127" s="61" t="s">
        <v>196</v>
      </c>
      <c r="H127" s="61" t="s">
        <v>197</v>
      </c>
      <c r="I127" s="61" t="s">
        <v>197</v>
      </c>
      <c r="J127" s="61"/>
      <c r="K127" s="61"/>
      <c r="L127" s="180"/>
    </row>
    <row r="128" spans="1:12" ht="15.75">
      <c r="A128" s="5"/>
      <c r="B128" s="368"/>
      <c r="C128" s="357"/>
      <c r="D128" s="180">
        <v>23</v>
      </c>
      <c r="E128" s="180"/>
      <c r="F128" s="61" t="s">
        <v>81</v>
      </c>
      <c r="G128" s="61" t="s">
        <v>198</v>
      </c>
      <c r="H128" s="61" t="s">
        <v>199</v>
      </c>
      <c r="I128" s="61" t="s">
        <v>197</v>
      </c>
      <c r="J128" s="61" t="s">
        <v>197</v>
      </c>
      <c r="K128" s="61">
        <v>1</v>
      </c>
      <c r="L128" s="180"/>
    </row>
    <row r="129" spans="1:12" ht="15.75">
      <c r="A129" s="5"/>
      <c r="B129" s="368"/>
      <c r="C129" s="357"/>
      <c r="D129" s="180">
        <v>24</v>
      </c>
      <c r="E129" s="121" t="s">
        <v>146</v>
      </c>
      <c r="F129" s="61" t="s">
        <v>123</v>
      </c>
      <c r="G129" s="61"/>
      <c r="H129" s="61"/>
      <c r="I129" s="61"/>
      <c r="J129" s="61"/>
      <c r="K129" s="61"/>
      <c r="L129" s="121"/>
    </row>
    <row r="130" spans="1:12" ht="15.75">
      <c r="A130" s="5"/>
      <c r="B130" s="368"/>
      <c r="C130" s="358"/>
      <c r="D130" s="121"/>
      <c r="E130" s="121"/>
      <c r="F130" s="61"/>
      <c r="G130" s="61"/>
      <c r="H130" s="61"/>
      <c r="I130" s="61"/>
      <c r="J130" s="61"/>
      <c r="K130" s="61"/>
      <c r="L130" s="121"/>
    </row>
    <row r="131" spans="1:12" ht="15.75">
      <c r="A131" s="5"/>
      <c r="B131" s="367" t="s">
        <v>1304</v>
      </c>
      <c r="C131" s="356" t="s">
        <v>1728</v>
      </c>
      <c r="D131" s="121">
        <v>1</v>
      </c>
      <c r="E131" s="121" t="s">
        <v>1641</v>
      </c>
      <c r="F131" s="61" t="s">
        <v>87</v>
      </c>
      <c r="G131" s="61" t="s">
        <v>1642</v>
      </c>
      <c r="H131" s="61"/>
      <c r="I131" s="61"/>
      <c r="J131" s="61"/>
      <c r="K131" s="61"/>
      <c r="L131" s="121"/>
    </row>
    <row r="132" spans="1:12" ht="15.75">
      <c r="A132" s="5"/>
      <c r="B132" s="368"/>
      <c r="C132" s="357"/>
      <c r="D132" s="121">
        <v>2</v>
      </c>
      <c r="E132" s="121" t="s">
        <v>142</v>
      </c>
      <c r="F132" s="61" t="s">
        <v>122</v>
      </c>
      <c r="G132" s="61"/>
      <c r="H132" s="61"/>
      <c r="I132" s="61"/>
      <c r="J132" s="61"/>
      <c r="K132" s="61"/>
      <c r="L132" s="121"/>
    </row>
    <row r="133" spans="1:12" ht="15.75">
      <c r="A133" s="5"/>
      <c r="B133" s="368"/>
      <c r="C133" s="357"/>
      <c r="D133" s="128">
        <v>3</v>
      </c>
      <c r="E133" s="121"/>
      <c r="F133" s="61" t="s">
        <v>125</v>
      </c>
      <c r="G133" s="61">
        <v>100</v>
      </c>
      <c r="H133" s="61"/>
      <c r="I133" s="61"/>
      <c r="J133" s="61"/>
      <c r="K133" s="61"/>
      <c r="L133" s="121"/>
    </row>
    <row r="134" spans="1:12" ht="15.75">
      <c r="A134" s="5"/>
      <c r="B134" s="368"/>
      <c r="C134" s="357"/>
      <c r="D134" s="128">
        <v>4</v>
      </c>
      <c r="E134" s="128" t="s">
        <v>1376</v>
      </c>
      <c r="F134" s="61" t="s">
        <v>130</v>
      </c>
      <c r="G134" s="61" t="s">
        <v>162</v>
      </c>
      <c r="H134" s="61" t="s">
        <v>1294</v>
      </c>
      <c r="I134" s="61"/>
      <c r="J134" s="61"/>
      <c r="K134" s="61"/>
      <c r="L134" s="121"/>
    </row>
    <row r="135" spans="1:12" ht="15.75">
      <c r="A135" s="5"/>
      <c r="B135" s="368"/>
      <c r="C135" s="357"/>
      <c r="D135" s="128">
        <v>5</v>
      </c>
      <c r="E135" s="128"/>
      <c r="F135" s="61" t="s">
        <v>131</v>
      </c>
      <c r="G135" s="61" t="s">
        <v>162</v>
      </c>
      <c r="H135" s="61">
        <v>1</v>
      </c>
      <c r="I135" s="61"/>
      <c r="J135" s="61"/>
      <c r="K135" s="61"/>
      <c r="L135" s="121"/>
    </row>
    <row r="136" spans="1:12" ht="15.75">
      <c r="A136" s="5"/>
      <c r="B136" s="368"/>
      <c r="C136" s="357"/>
      <c r="D136" s="180">
        <v>6</v>
      </c>
      <c r="E136" s="180"/>
      <c r="F136" s="61" t="s">
        <v>1933</v>
      </c>
      <c r="G136" s="61">
        <v>100</v>
      </c>
      <c r="H136" s="61"/>
      <c r="I136" s="61"/>
      <c r="J136" s="61"/>
      <c r="K136" s="61"/>
      <c r="L136" s="180"/>
    </row>
    <row r="137" spans="1:12" ht="15.75">
      <c r="A137" s="5"/>
      <c r="B137" s="368"/>
      <c r="C137" s="357"/>
      <c r="D137" s="180">
        <v>7</v>
      </c>
      <c r="E137" s="128"/>
      <c r="F137" s="61" t="s">
        <v>135</v>
      </c>
      <c r="G137" s="61">
        <v>6</v>
      </c>
      <c r="H137" s="61" t="s">
        <v>1294</v>
      </c>
      <c r="I137" s="61" t="s">
        <v>162</v>
      </c>
      <c r="J137" s="61"/>
      <c r="K137" s="61"/>
      <c r="L137" s="121"/>
    </row>
    <row r="138" spans="1:12" ht="15.75">
      <c r="A138" s="5"/>
      <c r="B138" s="368"/>
      <c r="C138" s="357"/>
      <c r="D138" s="180">
        <v>8</v>
      </c>
      <c r="E138" s="180"/>
      <c r="F138" s="61" t="s">
        <v>1933</v>
      </c>
      <c r="G138" s="61">
        <v>100</v>
      </c>
      <c r="H138" s="61"/>
      <c r="I138" s="61"/>
      <c r="J138" s="61"/>
      <c r="K138" s="61"/>
      <c r="L138" s="180"/>
    </row>
    <row r="139" spans="1:12" ht="15.75">
      <c r="A139" s="5"/>
      <c r="B139" s="368"/>
      <c r="C139" s="357"/>
      <c r="D139" s="180">
        <v>9</v>
      </c>
      <c r="E139" s="128"/>
      <c r="F139" s="61" t="s">
        <v>1372</v>
      </c>
      <c r="G139" s="61" t="s">
        <v>1371</v>
      </c>
      <c r="H139" s="61" t="s">
        <v>1294</v>
      </c>
      <c r="I139" s="61"/>
      <c r="J139" s="61"/>
      <c r="K139" s="61"/>
      <c r="L139" s="121"/>
    </row>
    <row r="140" spans="1:12" ht="15.75">
      <c r="A140" s="5"/>
      <c r="B140" s="368"/>
      <c r="C140" s="357"/>
      <c r="D140" s="180">
        <v>10</v>
      </c>
      <c r="E140" s="128"/>
      <c r="F140" s="61" t="s">
        <v>1379</v>
      </c>
      <c r="G140" s="61" t="s">
        <v>1371</v>
      </c>
      <c r="H140" s="61" t="s">
        <v>1374</v>
      </c>
      <c r="I140" s="61"/>
      <c r="J140" s="61"/>
      <c r="K140" s="61"/>
      <c r="L140" s="121"/>
    </row>
    <row r="141" spans="1:12" ht="15.75">
      <c r="A141" s="5"/>
      <c r="B141" s="368"/>
      <c r="C141" s="357"/>
      <c r="D141" s="180">
        <v>11</v>
      </c>
      <c r="E141" s="128"/>
      <c r="F141" s="61" t="s">
        <v>134</v>
      </c>
      <c r="G141" s="61">
        <v>8</v>
      </c>
      <c r="H141" s="61" t="s">
        <v>1371</v>
      </c>
      <c r="I141" s="61">
        <v>3</v>
      </c>
      <c r="J141" s="61"/>
      <c r="K141" s="61"/>
      <c r="L141" s="128"/>
    </row>
    <row r="142" spans="1:12" ht="15.75">
      <c r="A142" s="5"/>
      <c r="B142" s="368"/>
      <c r="C142" s="357"/>
      <c r="D142" s="180">
        <v>12</v>
      </c>
      <c r="E142" s="128"/>
      <c r="F142" s="61" t="s">
        <v>1372</v>
      </c>
      <c r="G142" s="61" t="s">
        <v>1371</v>
      </c>
      <c r="H142" s="61" t="s">
        <v>1294</v>
      </c>
      <c r="I142" s="61"/>
      <c r="J142" s="61"/>
      <c r="K142" s="61"/>
      <c r="L142" s="128"/>
    </row>
    <row r="143" spans="1:12" ht="15.75">
      <c r="A143" s="5"/>
      <c r="B143" s="368"/>
      <c r="C143" s="357"/>
      <c r="D143" s="180">
        <v>13</v>
      </c>
      <c r="E143" s="128"/>
      <c r="F143" s="61" t="s">
        <v>1372</v>
      </c>
      <c r="G143" s="61" t="s">
        <v>1373</v>
      </c>
      <c r="H143" s="61" t="s">
        <v>1294</v>
      </c>
      <c r="I143" s="61"/>
      <c r="J143" s="61"/>
      <c r="K143" s="61"/>
      <c r="L143" s="128"/>
    </row>
    <row r="144" spans="1:12" ht="15.75">
      <c r="A144" s="5"/>
      <c r="B144" s="368"/>
      <c r="C144" s="357"/>
      <c r="D144" s="180">
        <v>14</v>
      </c>
      <c r="E144" s="128"/>
      <c r="F144" s="61" t="s">
        <v>1375</v>
      </c>
      <c r="G144" s="61" t="s">
        <v>1373</v>
      </c>
      <c r="H144" s="61">
        <v>1</v>
      </c>
      <c r="I144" s="61"/>
      <c r="J144" s="61"/>
      <c r="K144" s="61"/>
      <c r="L144" s="128"/>
    </row>
    <row r="145" spans="1:12" ht="15.75">
      <c r="A145" s="5"/>
      <c r="B145" s="368"/>
      <c r="C145" s="357"/>
      <c r="D145" s="180">
        <v>15</v>
      </c>
      <c r="E145" s="121" t="s">
        <v>166</v>
      </c>
      <c r="F145" s="61" t="s">
        <v>127</v>
      </c>
      <c r="G145" s="61" t="s">
        <v>1331</v>
      </c>
      <c r="H145" s="61" t="s">
        <v>162</v>
      </c>
      <c r="I145" s="61">
        <v>1</v>
      </c>
      <c r="J145" s="61"/>
      <c r="K145" s="61"/>
      <c r="L145" s="121"/>
    </row>
    <row r="146" spans="1:12" ht="15.75">
      <c r="A146" s="5"/>
      <c r="B146" s="368"/>
      <c r="C146" s="357"/>
      <c r="D146" s="180">
        <v>16</v>
      </c>
      <c r="E146" s="180"/>
      <c r="F146" s="61" t="s">
        <v>1933</v>
      </c>
      <c r="G146" s="61">
        <v>100</v>
      </c>
      <c r="H146" s="61"/>
      <c r="I146" s="61"/>
      <c r="J146" s="61"/>
      <c r="K146" s="61"/>
      <c r="L146" s="180"/>
    </row>
    <row r="147" spans="1:12" ht="15.75">
      <c r="A147" s="5"/>
      <c r="B147" s="368"/>
      <c r="C147" s="357"/>
      <c r="D147" s="180">
        <v>17</v>
      </c>
      <c r="E147" s="121"/>
      <c r="F147" s="61" t="s">
        <v>135</v>
      </c>
      <c r="G147" s="61">
        <v>16</v>
      </c>
      <c r="H147" s="61" t="s">
        <v>1294</v>
      </c>
      <c r="I147" s="61" t="s">
        <v>1301</v>
      </c>
      <c r="J147" s="61"/>
      <c r="K147" s="61"/>
      <c r="L147" s="121"/>
    </row>
    <row r="148" spans="1:12" ht="15.75">
      <c r="A148" s="5"/>
      <c r="B148" s="368"/>
      <c r="C148" s="357"/>
      <c r="D148" s="180">
        <v>18</v>
      </c>
      <c r="E148" s="121" t="s">
        <v>163</v>
      </c>
      <c r="F148" s="61" t="s">
        <v>164</v>
      </c>
      <c r="G148" s="61">
        <v>1</v>
      </c>
      <c r="H148" s="61">
        <v>4</v>
      </c>
      <c r="I148" s="61" t="s">
        <v>165</v>
      </c>
      <c r="J148" s="61"/>
      <c r="K148" s="61"/>
      <c r="L148" s="121"/>
    </row>
    <row r="149" spans="1:12" ht="15.75">
      <c r="A149" s="5"/>
      <c r="B149" s="368"/>
      <c r="C149" s="357"/>
      <c r="D149" s="180">
        <v>19</v>
      </c>
      <c r="E149" s="121" t="s">
        <v>166</v>
      </c>
      <c r="F149" s="61" t="s">
        <v>127</v>
      </c>
      <c r="G149" s="61" t="s">
        <v>1331</v>
      </c>
      <c r="H149" s="61" t="s">
        <v>162</v>
      </c>
      <c r="I149" s="61">
        <v>3</v>
      </c>
      <c r="J149" s="61"/>
      <c r="K149" s="61"/>
      <c r="L149" s="121"/>
    </row>
    <row r="150" spans="1:12" ht="15.75">
      <c r="A150" s="5"/>
      <c r="B150" s="368"/>
      <c r="C150" s="357"/>
      <c r="D150" s="180">
        <v>20</v>
      </c>
      <c r="E150" s="121" t="s">
        <v>318</v>
      </c>
      <c r="F150" s="61" t="s">
        <v>125</v>
      </c>
      <c r="G150" s="61">
        <v>5000</v>
      </c>
      <c r="H150" s="61"/>
      <c r="I150" s="61"/>
      <c r="J150" s="61"/>
      <c r="K150" s="61"/>
      <c r="L150" s="121"/>
    </row>
    <row r="151" spans="1:12" ht="15.75">
      <c r="A151" s="5"/>
      <c r="B151" s="368"/>
      <c r="C151" s="357"/>
      <c r="D151" s="180">
        <v>21</v>
      </c>
      <c r="E151" s="121" t="s">
        <v>146</v>
      </c>
      <c r="F151" s="61" t="s">
        <v>123</v>
      </c>
      <c r="G151" s="61"/>
      <c r="H151" s="61"/>
      <c r="I151" s="61"/>
      <c r="J151" s="61"/>
      <c r="K151" s="61"/>
      <c r="L151" s="121"/>
    </row>
    <row r="152" spans="1:12" ht="15.75">
      <c r="A152" s="5"/>
      <c r="B152" s="368"/>
      <c r="C152" s="358"/>
      <c r="D152" s="121"/>
      <c r="E152" s="121"/>
      <c r="F152" s="61"/>
      <c r="G152" s="61"/>
      <c r="H152" s="61"/>
      <c r="I152" s="61"/>
      <c r="J152" s="61"/>
      <c r="K152" s="61"/>
      <c r="L152" s="121"/>
    </row>
    <row r="153" spans="1:12" ht="15.75">
      <c r="A153" s="5"/>
      <c r="B153" s="367" t="s">
        <v>1305</v>
      </c>
      <c r="C153" s="356" t="s">
        <v>1728</v>
      </c>
      <c r="D153" s="121">
        <v>1</v>
      </c>
      <c r="E153" s="121" t="s">
        <v>1641</v>
      </c>
      <c r="F153" s="61" t="s">
        <v>87</v>
      </c>
      <c r="G153" s="61" t="s">
        <v>1642</v>
      </c>
      <c r="H153" s="61"/>
      <c r="I153" s="61"/>
      <c r="J153" s="61"/>
      <c r="K153" s="61"/>
      <c r="L153" s="121"/>
    </row>
    <row r="154" spans="1:12" ht="15.75">
      <c r="A154" s="5"/>
      <c r="B154" s="368"/>
      <c r="C154" s="357"/>
      <c r="D154" s="121">
        <v>2</v>
      </c>
      <c r="E154" s="121" t="s">
        <v>142</v>
      </c>
      <c r="F154" s="61" t="s">
        <v>122</v>
      </c>
      <c r="G154" s="61"/>
      <c r="H154" s="61"/>
      <c r="I154" s="61"/>
      <c r="J154" s="61"/>
      <c r="K154" s="61"/>
      <c r="L154" s="121"/>
    </row>
    <row r="155" spans="1:12" ht="15.75">
      <c r="A155" s="5"/>
      <c r="B155" s="368"/>
      <c r="C155" s="357"/>
      <c r="D155" s="180">
        <v>3</v>
      </c>
      <c r="E155" s="121"/>
      <c r="F155" s="61" t="s">
        <v>125</v>
      </c>
      <c r="G155" s="61">
        <v>100</v>
      </c>
      <c r="H155" s="61"/>
      <c r="I155" s="61"/>
      <c r="J155" s="61"/>
      <c r="K155" s="61"/>
      <c r="L155" s="121"/>
    </row>
    <row r="156" spans="1:12" ht="15.75">
      <c r="A156" s="5"/>
      <c r="B156" s="368"/>
      <c r="C156" s="357"/>
      <c r="D156" s="180">
        <v>4</v>
      </c>
      <c r="E156" s="128" t="s">
        <v>1376</v>
      </c>
      <c r="F156" s="61" t="s">
        <v>130</v>
      </c>
      <c r="G156" s="61" t="s">
        <v>162</v>
      </c>
      <c r="H156" s="61" t="s">
        <v>1294</v>
      </c>
      <c r="I156" s="61"/>
      <c r="J156" s="61"/>
      <c r="K156" s="61"/>
      <c r="L156" s="121"/>
    </row>
    <row r="157" spans="1:12" ht="15.75">
      <c r="A157" s="5"/>
      <c r="B157" s="368"/>
      <c r="C157" s="357"/>
      <c r="D157" s="180">
        <v>5</v>
      </c>
      <c r="E157" s="128"/>
      <c r="F157" s="61" t="s">
        <v>131</v>
      </c>
      <c r="G157" s="61" t="s">
        <v>162</v>
      </c>
      <c r="H157" s="61">
        <v>1</v>
      </c>
      <c r="I157" s="61"/>
      <c r="J157" s="61"/>
      <c r="K157" s="61"/>
      <c r="L157" s="121"/>
    </row>
    <row r="158" spans="1:12" ht="15.75">
      <c r="A158" s="5"/>
      <c r="B158" s="368"/>
      <c r="C158" s="357"/>
      <c r="D158" s="180">
        <v>6</v>
      </c>
      <c r="E158" s="180"/>
      <c r="F158" s="61" t="s">
        <v>1933</v>
      </c>
      <c r="G158" s="61">
        <v>100</v>
      </c>
      <c r="H158" s="61"/>
      <c r="I158" s="61"/>
      <c r="J158" s="61"/>
      <c r="K158" s="61"/>
      <c r="L158" s="180"/>
    </row>
    <row r="159" spans="1:12" ht="15.75">
      <c r="A159" s="5"/>
      <c r="B159" s="368"/>
      <c r="C159" s="357"/>
      <c r="D159" s="180">
        <v>7</v>
      </c>
      <c r="E159" s="128"/>
      <c r="F159" s="61" t="s">
        <v>135</v>
      </c>
      <c r="G159" s="61">
        <v>6</v>
      </c>
      <c r="H159" s="61" t="s">
        <v>1294</v>
      </c>
      <c r="I159" s="61" t="s">
        <v>162</v>
      </c>
      <c r="J159" s="61"/>
      <c r="K159" s="61"/>
      <c r="L159" s="121"/>
    </row>
    <row r="160" spans="1:12" ht="15.75">
      <c r="A160" s="5"/>
      <c r="B160" s="368"/>
      <c r="C160" s="357"/>
      <c r="D160" s="180">
        <v>8</v>
      </c>
      <c r="E160" s="180"/>
      <c r="F160" s="61" t="s">
        <v>1933</v>
      </c>
      <c r="G160" s="61">
        <v>100</v>
      </c>
      <c r="H160" s="61"/>
      <c r="I160" s="61"/>
      <c r="J160" s="61"/>
      <c r="K160" s="61"/>
      <c r="L160" s="180"/>
    </row>
    <row r="161" spans="1:12" ht="15.75">
      <c r="A161" s="5"/>
      <c r="B161" s="368"/>
      <c r="C161" s="357"/>
      <c r="D161" s="180">
        <v>9</v>
      </c>
      <c r="E161" s="128"/>
      <c r="F161" s="61" t="s">
        <v>1372</v>
      </c>
      <c r="G161" s="61" t="s">
        <v>1371</v>
      </c>
      <c r="H161" s="61" t="s">
        <v>1294</v>
      </c>
      <c r="I161" s="61"/>
      <c r="J161" s="61"/>
      <c r="K161" s="61"/>
      <c r="L161" s="121"/>
    </row>
    <row r="162" spans="1:12" ht="15.75">
      <c r="A162" s="5"/>
      <c r="B162" s="368"/>
      <c r="C162" s="357"/>
      <c r="D162" s="180">
        <v>10</v>
      </c>
      <c r="E162" s="128"/>
      <c r="F162" s="61" t="s">
        <v>1379</v>
      </c>
      <c r="G162" s="61" t="s">
        <v>1371</v>
      </c>
      <c r="H162" s="61" t="s">
        <v>1374</v>
      </c>
      <c r="I162" s="61"/>
      <c r="J162" s="61"/>
      <c r="K162" s="61"/>
      <c r="L162" s="121"/>
    </row>
    <row r="163" spans="1:12" ht="15.75">
      <c r="A163" s="5"/>
      <c r="B163" s="368"/>
      <c r="C163" s="357"/>
      <c r="D163" s="180">
        <v>11</v>
      </c>
      <c r="E163" s="128"/>
      <c r="F163" s="61" t="s">
        <v>134</v>
      </c>
      <c r="G163" s="61">
        <v>8</v>
      </c>
      <c r="H163" s="61" t="s">
        <v>1371</v>
      </c>
      <c r="I163" s="61">
        <v>3</v>
      </c>
      <c r="J163" s="61"/>
      <c r="K163" s="61"/>
      <c r="L163" s="128"/>
    </row>
    <row r="164" spans="1:12" ht="15.75">
      <c r="A164" s="5"/>
      <c r="B164" s="368"/>
      <c r="C164" s="357"/>
      <c r="D164" s="180">
        <v>12</v>
      </c>
      <c r="E164" s="128"/>
      <c r="F164" s="61" t="s">
        <v>1372</v>
      </c>
      <c r="G164" s="61" t="s">
        <v>1371</v>
      </c>
      <c r="H164" s="61" t="s">
        <v>1294</v>
      </c>
      <c r="I164" s="61"/>
      <c r="J164" s="61"/>
      <c r="K164" s="61"/>
      <c r="L164" s="128"/>
    </row>
    <row r="165" spans="1:12" ht="15.75">
      <c r="A165" s="5"/>
      <c r="B165" s="368"/>
      <c r="C165" s="357"/>
      <c r="D165" s="180">
        <v>13</v>
      </c>
      <c r="E165" s="128"/>
      <c r="F165" s="61" t="s">
        <v>1372</v>
      </c>
      <c r="G165" s="61" t="s">
        <v>1373</v>
      </c>
      <c r="H165" s="61" t="s">
        <v>1294</v>
      </c>
      <c r="I165" s="61"/>
      <c r="J165" s="61"/>
      <c r="K165" s="61"/>
      <c r="L165" s="128"/>
    </row>
    <row r="166" spans="1:12" ht="15.75">
      <c r="A166" s="5"/>
      <c r="B166" s="368"/>
      <c r="C166" s="357"/>
      <c r="D166" s="180">
        <v>14</v>
      </c>
      <c r="E166" s="128"/>
      <c r="F166" s="61" t="s">
        <v>1375</v>
      </c>
      <c r="G166" s="61" t="s">
        <v>1373</v>
      </c>
      <c r="H166" s="61">
        <v>1</v>
      </c>
      <c r="I166" s="61"/>
      <c r="J166" s="61"/>
      <c r="K166" s="61"/>
      <c r="L166" s="128"/>
    </row>
    <row r="167" spans="1:12" ht="15.75">
      <c r="A167" s="5"/>
      <c r="B167" s="368"/>
      <c r="C167" s="357"/>
      <c r="D167" s="180">
        <v>15</v>
      </c>
      <c r="E167" s="121" t="s">
        <v>166</v>
      </c>
      <c r="F167" s="61" t="s">
        <v>127</v>
      </c>
      <c r="G167" s="61" t="s">
        <v>1331</v>
      </c>
      <c r="H167" s="61" t="s">
        <v>162</v>
      </c>
      <c r="I167" s="61">
        <v>1</v>
      </c>
      <c r="J167" s="61"/>
      <c r="K167" s="61"/>
      <c r="L167" s="121"/>
    </row>
    <row r="168" spans="1:12" ht="15.75">
      <c r="A168" s="5"/>
      <c r="B168" s="368"/>
      <c r="C168" s="357"/>
      <c r="D168" s="180">
        <v>16</v>
      </c>
      <c r="E168" s="180"/>
      <c r="F168" s="61" t="s">
        <v>1933</v>
      </c>
      <c r="G168" s="61">
        <v>100</v>
      </c>
      <c r="H168" s="61"/>
      <c r="I168" s="61"/>
      <c r="J168" s="61"/>
      <c r="K168" s="61"/>
      <c r="L168" s="180"/>
    </row>
    <row r="169" spans="1:12" ht="15.75">
      <c r="A169" s="5"/>
      <c r="B169" s="368"/>
      <c r="C169" s="357"/>
      <c r="D169" s="180">
        <v>17</v>
      </c>
      <c r="E169" s="121"/>
      <c r="F169" s="61" t="s">
        <v>135</v>
      </c>
      <c r="G169" s="61">
        <v>16</v>
      </c>
      <c r="H169" s="61" t="s">
        <v>1294</v>
      </c>
      <c r="I169" s="61" t="s">
        <v>1301</v>
      </c>
      <c r="J169" s="61"/>
      <c r="K169" s="61"/>
      <c r="L169" s="121"/>
    </row>
    <row r="170" spans="1:12" ht="15.75">
      <c r="A170" s="5"/>
      <c r="B170" s="368"/>
      <c r="C170" s="357"/>
      <c r="D170" s="180">
        <v>18</v>
      </c>
      <c r="E170" s="180" t="s">
        <v>1524</v>
      </c>
      <c r="F170" s="61" t="s">
        <v>81</v>
      </c>
      <c r="G170" s="61" t="s">
        <v>1517</v>
      </c>
      <c r="H170" s="61"/>
      <c r="I170" s="61"/>
      <c r="J170" s="61"/>
      <c r="K170" s="61"/>
      <c r="L170" s="180"/>
    </row>
    <row r="171" spans="1:12" ht="15.75">
      <c r="A171" s="5"/>
      <c r="B171" s="368"/>
      <c r="C171" s="357"/>
      <c r="D171" s="180">
        <v>19</v>
      </c>
      <c r="E171" s="121" t="s">
        <v>163</v>
      </c>
      <c r="F171" s="61" t="s">
        <v>164</v>
      </c>
      <c r="G171" s="61">
        <v>1</v>
      </c>
      <c r="H171" s="61">
        <v>4</v>
      </c>
      <c r="I171" s="61" t="s">
        <v>165</v>
      </c>
      <c r="J171" s="61"/>
      <c r="K171" s="61"/>
      <c r="L171" s="121"/>
    </row>
    <row r="172" spans="1:12" ht="15.75">
      <c r="A172" s="5"/>
      <c r="B172" s="368"/>
      <c r="C172" s="357"/>
      <c r="D172" s="180">
        <v>20</v>
      </c>
      <c r="E172" s="121" t="s">
        <v>166</v>
      </c>
      <c r="F172" s="61" t="s">
        <v>127</v>
      </c>
      <c r="G172" s="61" t="s">
        <v>1331</v>
      </c>
      <c r="H172" s="61" t="s">
        <v>162</v>
      </c>
      <c r="I172" s="61">
        <v>5</v>
      </c>
      <c r="J172" s="61"/>
      <c r="K172" s="61"/>
      <c r="L172" s="121"/>
    </row>
    <row r="173" spans="1:12" ht="15.75">
      <c r="A173" s="5"/>
      <c r="B173" s="368"/>
      <c r="C173" s="357"/>
      <c r="D173" s="180">
        <v>21</v>
      </c>
      <c r="E173" s="121" t="s">
        <v>194</v>
      </c>
      <c r="F173" s="61" t="s">
        <v>125</v>
      </c>
      <c r="G173" s="61" t="s">
        <v>1546</v>
      </c>
      <c r="H173" s="61"/>
      <c r="I173" s="61"/>
      <c r="J173" s="61"/>
      <c r="K173" s="61"/>
      <c r="L173" s="121"/>
    </row>
    <row r="174" spans="1:12" ht="15.75">
      <c r="A174" s="5"/>
      <c r="B174" s="368"/>
      <c r="C174" s="357"/>
      <c r="D174" s="180">
        <v>22</v>
      </c>
      <c r="E174" s="180" t="s">
        <v>1525</v>
      </c>
      <c r="F174" s="61" t="s">
        <v>81</v>
      </c>
      <c r="G174" s="61" t="s">
        <v>196</v>
      </c>
      <c r="H174" s="61" t="s">
        <v>197</v>
      </c>
      <c r="I174" s="61" t="s">
        <v>197</v>
      </c>
      <c r="J174" s="61"/>
      <c r="K174" s="61"/>
      <c r="L174" s="180"/>
    </row>
    <row r="175" spans="1:12" ht="15.75">
      <c r="A175" s="5"/>
      <c r="B175" s="368"/>
      <c r="C175" s="357"/>
      <c r="D175" s="180">
        <v>23</v>
      </c>
      <c r="E175" s="180"/>
      <c r="F175" s="61" t="s">
        <v>81</v>
      </c>
      <c r="G175" s="61" t="s">
        <v>198</v>
      </c>
      <c r="H175" s="61" t="s">
        <v>199</v>
      </c>
      <c r="I175" s="61" t="s">
        <v>197</v>
      </c>
      <c r="J175" s="61" t="s">
        <v>197</v>
      </c>
      <c r="K175" s="61">
        <v>1</v>
      </c>
      <c r="L175" s="180"/>
    </row>
    <row r="176" spans="1:12" ht="15.75">
      <c r="A176" s="5"/>
      <c r="B176" s="368"/>
      <c r="C176" s="357"/>
      <c r="D176" s="180">
        <v>24</v>
      </c>
      <c r="E176" s="121" t="s">
        <v>146</v>
      </c>
      <c r="F176" s="61" t="s">
        <v>123</v>
      </c>
      <c r="G176" s="61"/>
      <c r="H176" s="61"/>
      <c r="I176" s="61"/>
      <c r="J176" s="61"/>
      <c r="K176" s="61"/>
      <c r="L176" s="121"/>
    </row>
    <row r="177" spans="1:12" ht="15.75">
      <c r="A177" s="5"/>
      <c r="B177" s="368"/>
      <c r="C177" s="358"/>
      <c r="D177" s="121"/>
      <c r="E177" s="121"/>
      <c r="F177" s="61"/>
      <c r="G177" s="61"/>
      <c r="H177" s="61"/>
      <c r="I177" s="61"/>
      <c r="J177" s="61"/>
      <c r="K177" s="61"/>
      <c r="L177" s="121"/>
    </row>
    <row r="178" spans="1:12" ht="15.75">
      <c r="A178" s="5"/>
      <c r="B178" s="367" t="s">
        <v>1306</v>
      </c>
      <c r="C178" s="356" t="s">
        <v>1728</v>
      </c>
      <c r="D178" s="121">
        <v>1</v>
      </c>
      <c r="E178" s="121" t="s">
        <v>1641</v>
      </c>
      <c r="F178" s="61" t="s">
        <v>87</v>
      </c>
      <c r="G178" s="61" t="s">
        <v>1642</v>
      </c>
      <c r="H178" s="61"/>
      <c r="I178" s="61"/>
      <c r="J178" s="61"/>
      <c r="K178" s="61"/>
      <c r="L178" s="121"/>
    </row>
    <row r="179" spans="1:12" ht="15.75">
      <c r="A179" s="5"/>
      <c r="B179" s="368"/>
      <c r="C179" s="357"/>
      <c r="D179" s="121">
        <v>2</v>
      </c>
      <c r="E179" s="121" t="s">
        <v>142</v>
      </c>
      <c r="F179" s="61" t="s">
        <v>122</v>
      </c>
      <c r="G179" s="61"/>
      <c r="H179" s="61"/>
      <c r="I179" s="61"/>
      <c r="J179" s="61"/>
      <c r="K179" s="61"/>
      <c r="L179" s="121"/>
    </row>
    <row r="180" spans="1:12" ht="15.75">
      <c r="A180" s="5"/>
      <c r="B180" s="368"/>
      <c r="C180" s="357"/>
      <c r="D180" s="128">
        <v>3</v>
      </c>
      <c r="E180" s="121"/>
      <c r="F180" s="61" t="s">
        <v>125</v>
      </c>
      <c r="G180" s="61">
        <v>100</v>
      </c>
      <c r="H180" s="61"/>
      <c r="I180" s="61"/>
      <c r="J180" s="61"/>
      <c r="K180" s="61"/>
      <c r="L180" s="121"/>
    </row>
    <row r="181" spans="1:12" ht="15.75">
      <c r="A181" s="5"/>
      <c r="B181" s="368"/>
      <c r="C181" s="357"/>
      <c r="D181" s="128">
        <v>4</v>
      </c>
      <c r="E181" s="128" t="s">
        <v>1376</v>
      </c>
      <c r="F181" s="61" t="s">
        <v>130</v>
      </c>
      <c r="G181" s="61" t="s">
        <v>162</v>
      </c>
      <c r="H181" s="61" t="s">
        <v>1294</v>
      </c>
      <c r="I181" s="61"/>
      <c r="J181" s="61"/>
      <c r="K181" s="61"/>
      <c r="L181" s="121"/>
    </row>
    <row r="182" spans="1:12" ht="15.75">
      <c r="A182" s="5"/>
      <c r="B182" s="368"/>
      <c r="C182" s="357"/>
      <c r="D182" s="128">
        <v>5</v>
      </c>
      <c r="E182" s="128"/>
      <c r="F182" s="61" t="s">
        <v>131</v>
      </c>
      <c r="G182" s="61" t="s">
        <v>162</v>
      </c>
      <c r="H182" s="61">
        <v>1</v>
      </c>
      <c r="I182" s="61"/>
      <c r="J182" s="61"/>
      <c r="K182" s="61"/>
      <c r="L182" s="121"/>
    </row>
    <row r="183" spans="1:12" ht="15.75">
      <c r="A183" s="5"/>
      <c r="B183" s="368"/>
      <c r="C183" s="357"/>
      <c r="D183" s="180">
        <v>6</v>
      </c>
      <c r="E183" s="180"/>
      <c r="F183" s="61" t="s">
        <v>1933</v>
      </c>
      <c r="G183" s="61">
        <v>100</v>
      </c>
      <c r="H183" s="61"/>
      <c r="I183" s="61"/>
      <c r="J183" s="61"/>
      <c r="K183" s="61"/>
      <c r="L183" s="180"/>
    </row>
    <row r="184" spans="1:12" ht="15.75">
      <c r="A184" s="5"/>
      <c r="B184" s="368"/>
      <c r="C184" s="357"/>
      <c r="D184" s="180">
        <v>7</v>
      </c>
      <c r="E184" s="128"/>
      <c r="F184" s="61" t="s">
        <v>135</v>
      </c>
      <c r="G184" s="61">
        <v>6</v>
      </c>
      <c r="H184" s="61" t="s">
        <v>1294</v>
      </c>
      <c r="I184" s="61" t="s">
        <v>162</v>
      </c>
      <c r="J184" s="61"/>
      <c r="K184" s="61"/>
      <c r="L184" s="121"/>
    </row>
    <row r="185" spans="1:12" ht="15.75">
      <c r="A185" s="5"/>
      <c r="B185" s="368"/>
      <c r="C185" s="357"/>
      <c r="D185" s="180">
        <v>8</v>
      </c>
      <c r="E185" s="180"/>
      <c r="F185" s="61" t="s">
        <v>1933</v>
      </c>
      <c r="G185" s="61">
        <v>100</v>
      </c>
      <c r="H185" s="61"/>
      <c r="I185" s="61"/>
      <c r="J185" s="61"/>
      <c r="K185" s="61"/>
      <c r="L185" s="180"/>
    </row>
    <row r="186" spans="1:12" ht="15.75">
      <c r="A186" s="5"/>
      <c r="B186" s="368"/>
      <c r="C186" s="357"/>
      <c r="D186" s="180">
        <v>9</v>
      </c>
      <c r="E186" s="128"/>
      <c r="F186" s="61" t="s">
        <v>1372</v>
      </c>
      <c r="G186" s="61" t="s">
        <v>1371</v>
      </c>
      <c r="H186" s="61" t="s">
        <v>1294</v>
      </c>
      <c r="I186" s="61"/>
      <c r="J186" s="61"/>
      <c r="K186" s="61"/>
      <c r="L186" s="121"/>
    </row>
    <row r="187" spans="1:12" ht="15.75">
      <c r="A187" s="5"/>
      <c r="B187" s="368"/>
      <c r="C187" s="357"/>
      <c r="D187" s="180">
        <v>10</v>
      </c>
      <c r="E187" s="128"/>
      <c r="F187" s="61" t="s">
        <v>1379</v>
      </c>
      <c r="G187" s="61" t="s">
        <v>1371</v>
      </c>
      <c r="H187" s="61" t="s">
        <v>1374</v>
      </c>
      <c r="I187" s="61"/>
      <c r="J187" s="61"/>
      <c r="K187" s="61"/>
      <c r="L187" s="121"/>
    </row>
    <row r="188" spans="1:12" ht="15.75">
      <c r="A188" s="5"/>
      <c r="B188" s="368"/>
      <c r="C188" s="357"/>
      <c r="D188" s="180">
        <v>11</v>
      </c>
      <c r="E188" s="128"/>
      <c r="F188" s="61" t="s">
        <v>134</v>
      </c>
      <c r="G188" s="61">
        <v>8</v>
      </c>
      <c r="H188" s="61" t="s">
        <v>1371</v>
      </c>
      <c r="I188" s="61">
        <v>3</v>
      </c>
      <c r="J188" s="61"/>
      <c r="K188" s="61"/>
      <c r="L188" s="128"/>
    </row>
    <row r="189" spans="1:12" ht="15.75">
      <c r="A189" s="5"/>
      <c r="B189" s="368"/>
      <c r="C189" s="357"/>
      <c r="D189" s="180">
        <v>12</v>
      </c>
      <c r="E189" s="128"/>
      <c r="F189" s="61" t="s">
        <v>1372</v>
      </c>
      <c r="G189" s="61" t="s">
        <v>1371</v>
      </c>
      <c r="H189" s="61" t="s">
        <v>1294</v>
      </c>
      <c r="I189" s="61"/>
      <c r="J189" s="61"/>
      <c r="K189" s="61"/>
      <c r="L189" s="128"/>
    </row>
    <row r="190" spans="1:12" ht="15.75">
      <c r="A190" s="5"/>
      <c r="B190" s="368"/>
      <c r="C190" s="357"/>
      <c r="D190" s="180">
        <v>13</v>
      </c>
      <c r="E190" s="128"/>
      <c r="F190" s="61" t="s">
        <v>1372</v>
      </c>
      <c r="G190" s="61" t="s">
        <v>1373</v>
      </c>
      <c r="H190" s="61" t="s">
        <v>1294</v>
      </c>
      <c r="I190" s="61"/>
      <c r="J190" s="61"/>
      <c r="K190" s="61"/>
      <c r="L190" s="128"/>
    </row>
    <row r="191" spans="1:12" ht="15.75">
      <c r="A191" s="5"/>
      <c r="B191" s="368"/>
      <c r="C191" s="357"/>
      <c r="D191" s="180">
        <v>14</v>
      </c>
      <c r="E191" s="128"/>
      <c r="F191" s="61" t="s">
        <v>1375</v>
      </c>
      <c r="G191" s="61" t="s">
        <v>1373</v>
      </c>
      <c r="H191" s="61">
        <v>1</v>
      </c>
      <c r="I191" s="61"/>
      <c r="J191" s="61"/>
      <c r="K191" s="61"/>
      <c r="L191" s="128"/>
    </row>
    <row r="192" spans="1:12" ht="15.75">
      <c r="A192" s="5"/>
      <c r="B192" s="368"/>
      <c r="C192" s="357"/>
      <c r="D192" s="180">
        <v>15</v>
      </c>
      <c r="E192" s="121" t="s">
        <v>166</v>
      </c>
      <c r="F192" s="61" t="s">
        <v>127</v>
      </c>
      <c r="G192" s="61" t="s">
        <v>1331</v>
      </c>
      <c r="H192" s="61" t="s">
        <v>162</v>
      </c>
      <c r="I192" s="61">
        <v>1</v>
      </c>
      <c r="J192" s="61"/>
      <c r="K192" s="61"/>
      <c r="L192" s="121"/>
    </row>
    <row r="193" spans="1:12" ht="15.75">
      <c r="A193" s="5"/>
      <c r="B193" s="368"/>
      <c r="C193" s="357"/>
      <c r="D193" s="180">
        <v>16</v>
      </c>
      <c r="E193" s="180"/>
      <c r="F193" s="61" t="s">
        <v>1933</v>
      </c>
      <c r="G193" s="61">
        <v>100</v>
      </c>
      <c r="H193" s="61"/>
      <c r="I193" s="61"/>
      <c r="J193" s="61"/>
      <c r="K193" s="61"/>
      <c r="L193" s="180"/>
    </row>
    <row r="194" spans="1:12" ht="15.75">
      <c r="A194" s="5"/>
      <c r="B194" s="368"/>
      <c r="C194" s="357"/>
      <c r="D194" s="180">
        <v>17</v>
      </c>
      <c r="E194" s="121"/>
      <c r="F194" s="61" t="s">
        <v>135</v>
      </c>
      <c r="G194" s="61">
        <v>16</v>
      </c>
      <c r="H194" s="61" t="s">
        <v>1294</v>
      </c>
      <c r="I194" s="61" t="s">
        <v>1301</v>
      </c>
      <c r="J194" s="61"/>
      <c r="K194" s="61"/>
      <c r="L194" s="121"/>
    </row>
    <row r="195" spans="1:12" ht="15.75">
      <c r="A195" s="5"/>
      <c r="B195" s="368"/>
      <c r="C195" s="357"/>
      <c r="D195" s="180">
        <v>18</v>
      </c>
      <c r="E195" s="121" t="s">
        <v>163</v>
      </c>
      <c r="F195" s="61" t="s">
        <v>164</v>
      </c>
      <c r="G195" s="61">
        <v>1</v>
      </c>
      <c r="H195" s="61">
        <v>4</v>
      </c>
      <c r="I195" s="61" t="s">
        <v>165</v>
      </c>
      <c r="J195" s="61"/>
      <c r="K195" s="61"/>
      <c r="L195" s="121"/>
    </row>
    <row r="196" spans="1:12" ht="15.75">
      <c r="A196" s="5"/>
      <c r="B196" s="368"/>
      <c r="C196" s="357"/>
      <c r="D196" s="180">
        <v>19</v>
      </c>
      <c r="E196" s="121" t="s">
        <v>166</v>
      </c>
      <c r="F196" s="61" t="s">
        <v>127</v>
      </c>
      <c r="G196" s="61" t="s">
        <v>1331</v>
      </c>
      <c r="H196" s="61" t="s">
        <v>162</v>
      </c>
      <c r="I196" s="61">
        <v>5</v>
      </c>
      <c r="J196" s="61"/>
      <c r="K196" s="61"/>
      <c r="L196" s="121"/>
    </row>
    <row r="197" spans="1:12" ht="15.75">
      <c r="A197" s="5"/>
      <c r="B197" s="368"/>
      <c r="C197" s="357"/>
      <c r="D197" s="180">
        <v>20</v>
      </c>
      <c r="E197" s="121" t="s">
        <v>318</v>
      </c>
      <c r="F197" s="61" t="s">
        <v>125</v>
      </c>
      <c r="G197" s="61">
        <v>5000</v>
      </c>
      <c r="H197" s="61"/>
      <c r="I197" s="61"/>
      <c r="J197" s="61"/>
      <c r="K197" s="61"/>
      <c r="L197" s="121"/>
    </row>
    <row r="198" spans="1:12" ht="15.75">
      <c r="A198" s="5"/>
      <c r="B198" s="368"/>
      <c r="C198" s="357"/>
      <c r="D198" s="180">
        <v>21</v>
      </c>
      <c r="E198" s="121" t="s">
        <v>146</v>
      </c>
      <c r="F198" s="61" t="s">
        <v>123</v>
      </c>
      <c r="G198" s="61"/>
      <c r="H198" s="61"/>
      <c r="I198" s="61"/>
      <c r="J198" s="61"/>
      <c r="K198" s="61"/>
      <c r="L198" s="121"/>
    </row>
    <row r="199" spans="1:12" ht="15.75">
      <c r="A199" s="5"/>
      <c r="B199" s="368"/>
      <c r="C199" s="358"/>
      <c r="D199" s="121"/>
      <c r="E199" s="121"/>
      <c r="F199" s="61"/>
      <c r="G199" s="61"/>
      <c r="H199" s="61"/>
      <c r="I199" s="61"/>
      <c r="J199" s="61"/>
      <c r="K199" s="61"/>
      <c r="L199" s="121"/>
    </row>
    <row r="200" spans="1:12" ht="15.75">
      <c r="A200" s="5"/>
      <c r="B200" s="367" t="s">
        <v>1308</v>
      </c>
      <c r="C200" s="356" t="s">
        <v>1728</v>
      </c>
      <c r="D200" s="121">
        <v>1</v>
      </c>
      <c r="E200" s="121" t="s">
        <v>1641</v>
      </c>
      <c r="F200" s="61" t="s">
        <v>87</v>
      </c>
      <c r="G200" s="61" t="s">
        <v>1642</v>
      </c>
      <c r="H200" s="61"/>
      <c r="I200" s="61"/>
      <c r="J200" s="61"/>
      <c r="K200" s="61"/>
      <c r="L200" s="121"/>
    </row>
    <row r="201" spans="1:12" ht="15.75">
      <c r="A201" s="5"/>
      <c r="B201" s="368"/>
      <c r="C201" s="357"/>
      <c r="D201" s="121">
        <v>2</v>
      </c>
      <c r="E201" s="121" t="s">
        <v>142</v>
      </c>
      <c r="F201" s="61" t="s">
        <v>122</v>
      </c>
      <c r="G201" s="61"/>
      <c r="H201" s="61"/>
      <c r="I201" s="61"/>
      <c r="J201" s="61"/>
      <c r="K201" s="61"/>
      <c r="L201" s="121"/>
    </row>
    <row r="202" spans="1:12" ht="15.75">
      <c r="A202" s="5"/>
      <c r="B202" s="368"/>
      <c r="C202" s="357"/>
      <c r="D202" s="180">
        <v>3</v>
      </c>
      <c r="E202" s="121"/>
      <c r="F202" s="61" t="s">
        <v>125</v>
      </c>
      <c r="G202" s="61">
        <v>100</v>
      </c>
      <c r="H202" s="61"/>
      <c r="I202" s="61"/>
      <c r="J202" s="61"/>
      <c r="K202" s="61"/>
      <c r="L202" s="121"/>
    </row>
    <row r="203" spans="1:12" ht="15.75">
      <c r="A203" s="5"/>
      <c r="B203" s="368"/>
      <c r="C203" s="357"/>
      <c r="D203" s="180">
        <v>4</v>
      </c>
      <c r="E203" s="128" t="s">
        <v>1376</v>
      </c>
      <c r="F203" s="61" t="s">
        <v>130</v>
      </c>
      <c r="G203" s="61" t="s">
        <v>162</v>
      </c>
      <c r="H203" s="61" t="s">
        <v>1294</v>
      </c>
      <c r="I203" s="61"/>
      <c r="J203" s="61"/>
      <c r="K203" s="61"/>
      <c r="L203" s="121"/>
    </row>
    <row r="204" spans="1:12" ht="15.75">
      <c r="A204" s="5"/>
      <c r="B204" s="368"/>
      <c r="C204" s="357"/>
      <c r="D204" s="180">
        <v>5</v>
      </c>
      <c r="E204" s="128"/>
      <c r="F204" s="61" t="s">
        <v>131</v>
      </c>
      <c r="G204" s="61" t="s">
        <v>162</v>
      </c>
      <c r="H204" s="61">
        <v>1</v>
      </c>
      <c r="I204" s="61"/>
      <c r="J204" s="61"/>
      <c r="K204" s="61"/>
      <c r="L204" s="121"/>
    </row>
    <row r="205" spans="1:12" ht="15.75">
      <c r="A205" s="5"/>
      <c r="B205" s="368"/>
      <c r="C205" s="357"/>
      <c r="D205" s="180">
        <v>6</v>
      </c>
      <c r="E205" s="180"/>
      <c r="F205" s="61" t="s">
        <v>1933</v>
      </c>
      <c r="G205" s="61">
        <v>100</v>
      </c>
      <c r="H205" s="61"/>
      <c r="I205" s="61"/>
      <c r="J205" s="61"/>
      <c r="K205" s="61"/>
      <c r="L205" s="180"/>
    </row>
    <row r="206" spans="1:12" ht="15.75">
      <c r="A206" s="5"/>
      <c r="B206" s="368"/>
      <c r="C206" s="357"/>
      <c r="D206" s="180">
        <v>7</v>
      </c>
      <c r="E206" s="128"/>
      <c r="F206" s="61" t="s">
        <v>135</v>
      </c>
      <c r="G206" s="61">
        <v>6</v>
      </c>
      <c r="H206" s="61" t="s">
        <v>1294</v>
      </c>
      <c r="I206" s="61" t="s">
        <v>162</v>
      </c>
      <c r="J206" s="61"/>
      <c r="K206" s="61"/>
      <c r="L206" s="121"/>
    </row>
    <row r="207" spans="1:12" ht="15.75">
      <c r="A207" s="5"/>
      <c r="B207" s="368"/>
      <c r="C207" s="357"/>
      <c r="D207" s="180">
        <v>8</v>
      </c>
      <c r="E207" s="180"/>
      <c r="F207" s="61" t="s">
        <v>1933</v>
      </c>
      <c r="G207" s="61">
        <v>100</v>
      </c>
      <c r="H207" s="61"/>
      <c r="I207" s="61"/>
      <c r="J207" s="61"/>
      <c r="K207" s="61"/>
      <c r="L207" s="180"/>
    </row>
    <row r="208" spans="1:12" ht="15.75">
      <c r="A208" s="5"/>
      <c r="B208" s="368"/>
      <c r="C208" s="357"/>
      <c r="D208" s="180">
        <v>9</v>
      </c>
      <c r="E208" s="128"/>
      <c r="F208" s="61" t="s">
        <v>1372</v>
      </c>
      <c r="G208" s="61" t="s">
        <v>1371</v>
      </c>
      <c r="H208" s="61" t="s">
        <v>1294</v>
      </c>
      <c r="I208" s="61"/>
      <c r="J208" s="61"/>
      <c r="K208" s="61"/>
      <c r="L208" s="121"/>
    </row>
    <row r="209" spans="1:12" ht="15.75">
      <c r="A209" s="5"/>
      <c r="B209" s="368"/>
      <c r="C209" s="357"/>
      <c r="D209" s="180">
        <v>10</v>
      </c>
      <c r="E209" s="128"/>
      <c r="F209" s="61" t="s">
        <v>1379</v>
      </c>
      <c r="G209" s="61" t="s">
        <v>1371</v>
      </c>
      <c r="H209" s="61" t="s">
        <v>1374</v>
      </c>
      <c r="I209" s="61"/>
      <c r="J209" s="61"/>
      <c r="K209" s="61"/>
      <c r="L209" s="121"/>
    </row>
    <row r="210" spans="1:12" ht="15.75">
      <c r="A210" s="5"/>
      <c r="B210" s="368"/>
      <c r="C210" s="357"/>
      <c r="D210" s="180">
        <v>11</v>
      </c>
      <c r="E210" s="128"/>
      <c r="F210" s="61" t="s">
        <v>134</v>
      </c>
      <c r="G210" s="61">
        <v>8</v>
      </c>
      <c r="H210" s="61" t="s">
        <v>1371</v>
      </c>
      <c r="I210" s="61">
        <v>3</v>
      </c>
      <c r="J210" s="61"/>
      <c r="K210" s="61"/>
      <c r="L210" s="128"/>
    </row>
    <row r="211" spans="1:12" ht="15.75">
      <c r="A211" s="5"/>
      <c r="B211" s="368"/>
      <c r="C211" s="357"/>
      <c r="D211" s="180">
        <v>12</v>
      </c>
      <c r="E211" s="128"/>
      <c r="F211" s="61" t="s">
        <v>1372</v>
      </c>
      <c r="G211" s="61" t="s">
        <v>1371</v>
      </c>
      <c r="H211" s="61" t="s">
        <v>1294</v>
      </c>
      <c r="I211" s="61"/>
      <c r="J211" s="61"/>
      <c r="K211" s="61"/>
      <c r="L211" s="128"/>
    </row>
    <row r="212" spans="1:12" ht="15.75">
      <c r="A212" s="5"/>
      <c r="B212" s="368"/>
      <c r="C212" s="357"/>
      <c r="D212" s="180">
        <v>13</v>
      </c>
      <c r="E212" s="128"/>
      <c r="F212" s="61" t="s">
        <v>1372</v>
      </c>
      <c r="G212" s="61" t="s">
        <v>1373</v>
      </c>
      <c r="H212" s="61" t="s">
        <v>1294</v>
      </c>
      <c r="I212" s="61"/>
      <c r="J212" s="61"/>
      <c r="K212" s="61"/>
      <c r="L212" s="128"/>
    </row>
    <row r="213" spans="1:12" ht="15.75">
      <c r="A213" s="5"/>
      <c r="B213" s="368"/>
      <c r="C213" s="357"/>
      <c r="D213" s="180">
        <v>14</v>
      </c>
      <c r="E213" s="128"/>
      <c r="F213" s="61" t="s">
        <v>1375</v>
      </c>
      <c r="G213" s="61" t="s">
        <v>1373</v>
      </c>
      <c r="H213" s="61">
        <v>5</v>
      </c>
      <c r="I213" s="61"/>
      <c r="J213" s="61"/>
      <c r="K213" s="61"/>
      <c r="L213" s="128"/>
    </row>
    <row r="214" spans="1:12" ht="15.75">
      <c r="A214" s="5"/>
      <c r="B214" s="368"/>
      <c r="C214" s="357"/>
      <c r="D214" s="180">
        <v>15</v>
      </c>
      <c r="E214" s="121" t="s">
        <v>166</v>
      </c>
      <c r="F214" s="61" t="s">
        <v>127</v>
      </c>
      <c r="G214" s="61" t="s">
        <v>1331</v>
      </c>
      <c r="H214" s="61" t="s">
        <v>162</v>
      </c>
      <c r="I214" s="61">
        <v>1</v>
      </c>
      <c r="J214" s="61"/>
      <c r="K214" s="61"/>
      <c r="L214" s="121"/>
    </row>
    <row r="215" spans="1:12" ht="15.75">
      <c r="A215" s="5"/>
      <c r="B215" s="368"/>
      <c r="C215" s="357"/>
      <c r="D215" s="180">
        <v>16</v>
      </c>
      <c r="E215" s="180"/>
      <c r="F215" s="61" t="s">
        <v>1933</v>
      </c>
      <c r="G215" s="61">
        <v>100</v>
      </c>
      <c r="H215" s="61"/>
      <c r="I215" s="61"/>
      <c r="J215" s="61"/>
      <c r="K215" s="61"/>
      <c r="L215" s="180"/>
    </row>
    <row r="216" spans="1:12" ht="15.75">
      <c r="A216" s="5"/>
      <c r="B216" s="368"/>
      <c r="C216" s="357"/>
      <c r="D216" s="180">
        <v>17</v>
      </c>
      <c r="E216" s="121"/>
      <c r="F216" s="61" t="s">
        <v>135</v>
      </c>
      <c r="G216" s="61">
        <v>16</v>
      </c>
      <c r="H216" s="61" t="s">
        <v>1294</v>
      </c>
      <c r="I216" s="61" t="s">
        <v>1301</v>
      </c>
      <c r="J216" s="61"/>
      <c r="K216" s="61"/>
      <c r="L216" s="121"/>
    </row>
    <row r="217" spans="1:12" ht="15.75">
      <c r="A217" s="5"/>
      <c r="B217" s="368"/>
      <c r="C217" s="357"/>
      <c r="D217" s="180">
        <v>18</v>
      </c>
      <c r="E217" s="180" t="s">
        <v>1524</v>
      </c>
      <c r="F217" s="61" t="s">
        <v>81</v>
      </c>
      <c r="G217" s="61" t="s">
        <v>1517</v>
      </c>
      <c r="H217" s="61"/>
      <c r="I217" s="61"/>
      <c r="J217" s="61"/>
      <c r="K217" s="61"/>
      <c r="L217" s="180"/>
    </row>
    <row r="218" spans="1:12" ht="15.75">
      <c r="A218" s="5"/>
      <c r="B218" s="368"/>
      <c r="C218" s="357"/>
      <c r="D218" s="180">
        <v>19</v>
      </c>
      <c r="E218" s="121" t="s">
        <v>163</v>
      </c>
      <c r="F218" s="61" t="s">
        <v>164</v>
      </c>
      <c r="G218" s="61">
        <v>1</v>
      </c>
      <c r="H218" s="61">
        <v>4</v>
      </c>
      <c r="I218" s="61" t="s">
        <v>165</v>
      </c>
      <c r="J218" s="61"/>
      <c r="K218" s="61"/>
      <c r="L218" s="121"/>
    </row>
    <row r="219" spans="1:12" ht="15.75">
      <c r="A219" s="5"/>
      <c r="B219" s="368"/>
      <c r="C219" s="357"/>
      <c r="D219" s="180">
        <v>20</v>
      </c>
      <c r="E219" s="121"/>
      <c r="F219" s="61" t="s">
        <v>132</v>
      </c>
      <c r="G219" s="61" t="s">
        <v>1301</v>
      </c>
      <c r="H219" s="61">
        <v>1</v>
      </c>
      <c r="I219" s="61"/>
      <c r="J219" s="61"/>
      <c r="K219" s="61"/>
      <c r="L219" s="121"/>
    </row>
    <row r="220" spans="1:12" ht="15.75">
      <c r="A220" s="5"/>
      <c r="B220" s="368"/>
      <c r="C220" s="357"/>
      <c r="D220" s="180">
        <v>21</v>
      </c>
      <c r="E220" s="121" t="s">
        <v>166</v>
      </c>
      <c r="F220" s="61" t="s">
        <v>127</v>
      </c>
      <c r="G220" s="61" t="s">
        <v>1331</v>
      </c>
      <c r="H220" s="61" t="s">
        <v>1301</v>
      </c>
      <c r="I220" s="61">
        <v>3</v>
      </c>
      <c r="J220" s="61"/>
      <c r="K220" s="61"/>
      <c r="L220" s="121"/>
    </row>
    <row r="221" spans="1:12" ht="15.75">
      <c r="A221" s="5"/>
      <c r="B221" s="368"/>
      <c r="C221" s="357"/>
      <c r="D221" s="180">
        <v>22</v>
      </c>
      <c r="E221" s="121" t="s">
        <v>194</v>
      </c>
      <c r="F221" s="61" t="s">
        <v>125</v>
      </c>
      <c r="G221" s="61" t="s">
        <v>1546</v>
      </c>
      <c r="H221" s="61"/>
      <c r="I221" s="61"/>
      <c r="J221" s="61"/>
      <c r="K221" s="61"/>
      <c r="L221" s="121"/>
    </row>
    <row r="222" spans="1:12" ht="15.75">
      <c r="A222" s="5"/>
      <c r="B222" s="368"/>
      <c r="C222" s="357"/>
      <c r="D222" s="180">
        <v>23</v>
      </c>
      <c r="E222" s="180" t="s">
        <v>1525</v>
      </c>
      <c r="F222" s="61" t="s">
        <v>81</v>
      </c>
      <c r="G222" s="61" t="s">
        <v>196</v>
      </c>
      <c r="H222" s="61" t="s">
        <v>197</v>
      </c>
      <c r="I222" s="61" t="s">
        <v>197</v>
      </c>
      <c r="J222" s="61"/>
      <c r="K222" s="61"/>
      <c r="L222" s="180"/>
    </row>
    <row r="223" spans="1:12" ht="15.75">
      <c r="A223" s="5"/>
      <c r="B223" s="368"/>
      <c r="C223" s="357"/>
      <c r="D223" s="180">
        <v>24</v>
      </c>
      <c r="E223" s="180"/>
      <c r="F223" s="61" t="s">
        <v>81</v>
      </c>
      <c r="G223" s="61" t="s">
        <v>198</v>
      </c>
      <c r="H223" s="61" t="s">
        <v>199</v>
      </c>
      <c r="I223" s="61" t="s">
        <v>197</v>
      </c>
      <c r="J223" s="61" t="s">
        <v>197</v>
      </c>
      <c r="K223" s="61">
        <v>1</v>
      </c>
      <c r="L223" s="180"/>
    </row>
    <row r="224" spans="1:12" ht="15.75">
      <c r="A224" s="5"/>
      <c r="B224" s="368"/>
      <c r="C224" s="357"/>
      <c r="D224" s="180">
        <v>25</v>
      </c>
      <c r="E224" s="121" t="s">
        <v>146</v>
      </c>
      <c r="F224" s="61" t="s">
        <v>123</v>
      </c>
      <c r="G224" s="61"/>
      <c r="H224" s="61"/>
      <c r="I224" s="61"/>
      <c r="J224" s="61"/>
      <c r="K224" s="61"/>
      <c r="L224" s="121"/>
    </row>
    <row r="225" spans="1:12" ht="15.75">
      <c r="A225" s="5"/>
      <c r="B225" s="368"/>
      <c r="C225" s="358"/>
      <c r="D225" s="121"/>
      <c r="E225" s="121"/>
      <c r="F225" s="61"/>
      <c r="G225" s="61"/>
      <c r="H225" s="61"/>
      <c r="I225" s="61"/>
      <c r="J225" s="61"/>
      <c r="K225" s="61"/>
      <c r="L225" s="121"/>
    </row>
    <row r="226" spans="1:12" ht="15.75">
      <c r="A226" s="5"/>
      <c r="B226" s="367" t="s">
        <v>1309</v>
      </c>
      <c r="C226" s="356" t="s">
        <v>1728</v>
      </c>
      <c r="D226" s="121">
        <v>1</v>
      </c>
      <c r="E226" s="121" t="s">
        <v>1641</v>
      </c>
      <c r="F226" s="61" t="s">
        <v>87</v>
      </c>
      <c r="G226" s="61" t="s">
        <v>1642</v>
      </c>
      <c r="H226" s="61"/>
      <c r="I226" s="61"/>
      <c r="J226" s="61"/>
      <c r="K226" s="61"/>
      <c r="L226" s="121"/>
    </row>
    <row r="227" spans="1:12" ht="15.75">
      <c r="A227" s="5"/>
      <c r="B227" s="368"/>
      <c r="C227" s="357"/>
      <c r="D227" s="121">
        <v>2</v>
      </c>
      <c r="E227" s="121" t="s">
        <v>142</v>
      </c>
      <c r="F227" s="61" t="s">
        <v>122</v>
      </c>
      <c r="G227" s="61"/>
      <c r="H227" s="61"/>
      <c r="I227" s="61"/>
      <c r="J227" s="61"/>
      <c r="K227" s="61"/>
      <c r="L227" s="121"/>
    </row>
    <row r="228" spans="1:12" ht="15.75">
      <c r="A228" s="5"/>
      <c r="B228" s="368"/>
      <c r="C228" s="357"/>
      <c r="D228" s="128">
        <v>3</v>
      </c>
      <c r="E228" s="121"/>
      <c r="F228" s="61" t="s">
        <v>125</v>
      </c>
      <c r="G228" s="61">
        <v>100</v>
      </c>
      <c r="H228" s="61"/>
      <c r="I228" s="61"/>
      <c r="J228" s="61"/>
      <c r="K228" s="61"/>
      <c r="L228" s="121"/>
    </row>
    <row r="229" spans="1:12" ht="15.75">
      <c r="A229" s="5"/>
      <c r="B229" s="368"/>
      <c r="C229" s="357"/>
      <c r="D229" s="128">
        <v>4</v>
      </c>
      <c r="E229" s="128" t="s">
        <v>1376</v>
      </c>
      <c r="F229" s="61" t="s">
        <v>130</v>
      </c>
      <c r="G229" s="61" t="s">
        <v>162</v>
      </c>
      <c r="H229" s="61" t="s">
        <v>1294</v>
      </c>
      <c r="I229" s="61"/>
      <c r="J229" s="61"/>
      <c r="K229" s="61"/>
      <c r="L229" s="121"/>
    </row>
    <row r="230" spans="1:12" ht="15.75">
      <c r="A230" s="5"/>
      <c r="B230" s="368"/>
      <c r="C230" s="357"/>
      <c r="D230" s="128">
        <v>5</v>
      </c>
      <c r="E230" s="128"/>
      <c r="F230" s="61" t="s">
        <v>131</v>
      </c>
      <c r="G230" s="61" t="s">
        <v>162</v>
      </c>
      <c r="H230" s="61">
        <v>1</v>
      </c>
      <c r="I230" s="61"/>
      <c r="J230" s="61"/>
      <c r="K230" s="61"/>
      <c r="L230" s="121"/>
    </row>
    <row r="231" spans="1:12" ht="15.75">
      <c r="A231" s="5"/>
      <c r="B231" s="368"/>
      <c r="C231" s="357"/>
      <c r="D231" s="180">
        <v>6</v>
      </c>
      <c r="E231" s="180"/>
      <c r="F231" s="61" t="s">
        <v>1933</v>
      </c>
      <c r="G231" s="61">
        <v>100</v>
      </c>
      <c r="H231" s="61"/>
      <c r="I231" s="61"/>
      <c r="J231" s="61"/>
      <c r="K231" s="61"/>
      <c r="L231" s="180"/>
    </row>
    <row r="232" spans="1:12" ht="15.75">
      <c r="A232" s="5"/>
      <c r="B232" s="368"/>
      <c r="C232" s="357"/>
      <c r="D232" s="180">
        <v>7</v>
      </c>
      <c r="E232" s="128"/>
      <c r="F232" s="61" t="s">
        <v>135</v>
      </c>
      <c r="G232" s="61">
        <v>6</v>
      </c>
      <c r="H232" s="61" t="s">
        <v>1294</v>
      </c>
      <c r="I232" s="61" t="s">
        <v>162</v>
      </c>
      <c r="J232" s="61"/>
      <c r="K232" s="61"/>
      <c r="L232" s="121"/>
    </row>
    <row r="233" spans="1:12" ht="15.75">
      <c r="A233" s="5"/>
      <c r="B233" s="368"/>
      <c r="C233" s="357"/>
      <c r="D233" s="180">
        <v>8</v>
      </c>
      <c r="E233" s="180"/>
      <c r="F233" s="61" t="s">
        <v>1933</v>
      </c>
      <c r="G233" s="61">
        <v>100</v>
      </c>
      <c r="H233" s="61"/>
      <c r="I233" s="61"/>
      <c r="J233" s="61"/>
      <c r="K233" s="61"/>
      <c r="L233" s="180"/>
    </row>
    <row r="234" spans="1:12" ht="15.75">
      <c r="A234" s="5"/>
      <c r="B234" s="368"/>
      <c r="C234" s="357"/>
      <c r="D234" s="180">
        <v>9</v>
      </c>
      <c r="E234" s="128"/>
      <c r="F234" s="61" t="s">
        <v>1372</v>
      </c>
      <c r="G234" s="61" t="s">
        <v>1371</v>
      </c>
      <c r="H234" s="61" t="s">
        <v>1294</v>
      </c>
      <c r="I234" s="61"/>
      <c r="J234" s="61"/>
      <c r="K234" s="61"/>
      <c r="L234" s="121"/>
    </row>
    <row r="235" spans="1:12" ht="15.75">
      <c r="A235" s="5"/>
      <c r="B235" s="368"/>
      <c r="C235" s="357"/>
      <c r="D235" s="180">
        <v>10</v>
      </c>
      <c r="E235" s="128"/>
      <c r="F235" s="61" t="s">
        <v>1379</v>
      </c>
      <c r="G235" s="61" t="s">
        <v>1371</v>
      </c>
      <c r="H235" s="61" t="s">
        <v>1374</v>
      </c>
      <c r="I235" s="61"/>
      <c r="J235" s="61"/>
      <c r="K235" s="61"/>
      <c r="L235" s="121"/>
    </row>
    <row r="236" spans="1:12" ht="15.75">
      <c r="A236" s="5"/>
      <c r="B236" s="368"/>
      <c r="C236" s="357"/>
      <c r="D236" s="180">
        <v>11</v>
      </c>
      <c r="E236" s="128"/>
      <c r="F236" s="61" t="s">
        <v>134</v>
      </c>
      <c r="G236" s="61">
        <v>8</v>
      </c>
      <c r="H236" s="61" t="s">
        <v>1371</v>
      </c>
      <c r="I236" s="61">
        <v>3</v>
      </c>
      <c r="J236" s="61"/>
      <c r="K236" s="61"/>
      <c r="L236" s="128"/>
    </row>
    <row r="237" spans="1:12" ht="15.75">
      <c r="A237" s="5"/>
      <c r="B237" s="368"/>
      <c r="C237" s="357"/>
      <c r="D237" s="180">
        <v>12</v>
      </c>
      <c r="E237" s="128"/>
      <c r="F237" s="61" t="s">
        <v>1372</v>
      </c>
      <c r="G237" s="61" t="s">
        <v>1371</v>
      </c>
      <c r="H237" s="61" t="s">
        <v>1294</v>
      </c>
      <c r="I237" s="61"/>
      <c r="J237" s="61"/>
      <c r="K237" s="61"/>
      <c r="L237" s="128"/>
    </row>
    <row r="238" spans="1:12" ht="15.75">
      <c r="A238" s="5"/>
      <c r="B238" s="368"/>
      <c r="C238" s="357"/>
      <c r="D238" s="180">
        <v>13</v>
      </c>
      <c r="E238" s="128"/>
      <c r="F238" s="61" t="s">
        <v>1372</v>
      </c>
      <c r="G238" s="61" t="s">
        <v>1373</v>
      </c>
      <c r="H238" s="61" t="s">
        <v>1294</v>
      </c>
      <c r="I238" s="61"/>
      <c r="J238" s="61"/>
      <c r="K238" s="61"/>
      <c r="L238" s="128"/>
    </row>
    <row r="239" spans="1:12" ht="15.75">
      <c r="A239" s="5"/>
      <c r="B239" s="368"/>
      <c r="C239" s="357"/>
      <c r="D239" s="180">
        <v>14</v>
      </c>
      <c r="E239" s="128"/>
      <c r="F239" s="61" t="s">
        <v>1375</v>
      </c>
      <c r="G239" s="61" t="s">
        <v>1373</v>
      </c>
      <c r="H239" s="61">
        <v>5</v>
      </c>
      <c r="I239" s="61"/>
      <c r="J239" s="61"/>
      <c r="K239" s="61"/>
      <c r="L239" s="128"/>
    </row>
    <row r="240" spans="1:12" ht="15.75">
      <c r="A240" s="5"/>
      <c r="B240" s="368"/>
      <c r="C240" s="357"/>
      <c r="D240" s="180">
        <v>15</v>
      </c>
      <c r="E240" s="121" t="s">
        <v>166</v>
      </c>
      <c r="F240" s="61" t="s">
        <v>127</v>
      </c>
      <c r="G240" s="61" t="s">
        <v>1331</v>
      </c>
      <c r="H240" s="61" t="s">
        <v>162</v>
      </c>
      <c r="I240" s="61">
        <v>1</v>
      </c>
      <c r="J240" s="61"/>
      <c r="K240" s="61"/>
      <c r="L240" s="121"/>
    </row>
    <row r="241" spans="1:12" ht="15.75">
      <c r="A241" s="5"/>
      <c r="B241" s="368"/>
      <c r="C241" s="357"/>
      <c r="D241" s="180">
        <v>16</v>
      </c>
      <c r="E241" s="180"/>
      <c r="F241" s="61" t="s">
        <v>1933</v>
      </c>
      <c r="G241" s="61">
        <v>100</v>
      </c>
      <c r="H241" s="61"/>
      <c r="I241" s="61"/>
      <c r="J241" s="61"/>
      <c r="K241" s="61"/>
      <c r="L241" s="180"/>
    </row>
    <row r="242" spans="1:12" ht="15.75">
      <c r="A242" s="5"/>
      <c r="B242" s="368"/>
      <c r="C242" s="357"/>
      <c r="D242" s="180">
        <v>17</v>
      </c>
      <c r="E242" s="121"/>
      <c r="F242" s="61" t="s">
        <v>135</v>
      </c>
      <c r="G242" s="61">
        <v>16</v>
      </c>
      <c r="H242" s="61" t="s">
        <v>1294</v>
      </c>
      <c r="I242" s="61" t="s">
        <v>1301</v>
      </c>
      <c r="J242" s="61"/>
      <c r="K242" s="61"/>
      <c r="L242" s="121"/>
    </row>
    <row r="243" spans="1:12" ht="15.75">
      <c r="A243" s="5"/>
      <c r="B243" s="368"/>
      <c r="C243" s="357"/>
      <c r="D243" s="180">
        <v>18</v>
      </c>
      <c r="E243" s="121" t="s">
        <v>163</v>
      </c>
      <c r="F243" s="61" t="s">
        <v>164</v>
      </c>
      <c r="G243" s="61">
        <v>1</v>
      </c>
      <c r="H243" s="61">
        <v>4</v>
      </c>
      <c r="I243" s="61" t="s">
        <v>165</v>
      </c>
      <c r="J243" s="61"/>
      <c r="K243" s="61"/>
      <c r="L243" s="121"/>
    </row>
    <row r="244" spans="1:12" ht="15.75">
      <c r="A244" s="5"/>
      <c r="B244" s="368"/>
      <c r="C244" s="357"/>
      <c r="D244" s="180">
        <v>19</v>
      </c>
      <c r="E244" s="121"/>
      <c r="F244" s="61" t="s">
        <v>132</v>
      </c>
      <c r="G244" s="61" t="s">
        <v>1301</v>
      </c>
      <c r="H244" s="61">
        <v>1</v>
      </c>
      <c r="I244" s="61"/>
      <c r="J244" s="61"/>
      <c r="K244" s="61"/>
      <c r="L244" s="121"/>
    </row>
    <row r="245" spans="1:12" ht="15.75">
      <c r="A245" s="5"/>
      <c r="B245" s="368"/>
      <c r="C245" s="357"/>
      <c r="D245" s="180">
        <v>20</v>
      </c>
      <c r="E245" s="121" t="s">
        <v>166</v>
      </c>
      <c r="F245" s="61" t="s">
        <v>127</v>
      </c>
      <c r="G245" s="61" t="s">
        <v>1331</v>
      </c>
      <c r="H245" s="61" t="s">
        <v>1301</v>
      </c>
      <c r="I245" s="61">
        <v>3</v>
      </c>
      <c r="J245" s="61"/>
      <c r="K245" s="61"/>
      <c r="L245" s="121"/>
    </row>
    <row r="246" spans="1:12" ht="15.75">
      <c r="A246" s="5"/>
      <c r="B246" s="368"/>
      <c r="C246" s="357"/>
      <c r="D246" s="180">
        <v>21</v>
      </c>
      <c r="E246" s="121" t="s">
        <v>318</v>
      </c>
      <c r="F246" s="61" t="s">
        <v>125</v>
      </c>
      <c r="G246" s="61">
        <v>5000</v>
      </c>
      <c r="H246" s="61"/>
      <c r="I246" s="61"/>
      <c r="J246" s="61"/>
      <c r="K246" s="61"/>
      <c r="L246" s="121"/>
    </row>
    <row r="247" spans="1:12" ht="15.75">
      <c r="A247" s="5"/>
      <c r="B247" s="368"/>
      <c r="C247" s="357"/>
      <c r="D247" s="180">
        <v>22</v>
      </c>
      <c r="E247" s="121" t="s">
        <v>146</v>
      </c>
      <c r="F247" s="61" t="s">
        <v>123</v>
      </c>
      <c r="G247" s="61"/>
      <c r="H247" s="61"/>
      <c r="I247" s="61"/>
      <c r="J247" s="61"/>
      <c r="K247" s="61"/>
      <c r="L247" s="121"/>
    </row>
    <row r="248" spans="1:12" ht="15.75">
      <c r="A248" s="5"/>
      <c r="B248" s="368"/>
      <c r="C248" s="358"/>
      <c r="D248" s="121"/>
      <c r="E248" s="121"/>
      <c r="F248" s="61"/>
      <c r="G248" s="61"/>
      <c r="H248" s="61"/>
      <c r="I248" s="61"/>
      <c r="J248" s="61"/>
      <c r="K248" s="61"/>
      <c r="L248" s="121"/>
    </row>
    <row r="249" spans="1:12" ht="15.75">
      <c r="A249" s="5"/>
      <c r="B249" s="367" t="s">
        <v>1310</v>
      </c>
      <c r="C249" s="356" t="s">
        <v>1728</v>
      </c>
      <c r="D249" s="121">
        <v>1</v>
      </c>
      <c r="E249" s="121" t="s">
        <v>1641</v>
      </c>
      <c r="F249" s="61" t="s">
        <v>87</v>
      </c>
      <c r="G249" s="61" t="s">
        <v>1642</v>
      </c>
      <c r="H249" s="61"/>
      <c r="I249" s="61"/>
      <c r="J249" s="61"/>
      <c r="K249" s="61"/>
      <c r="L249" s="121"/>
    </row>
    <row r="250" spans="1:12" ht="15.75">
      <c r="A250" s="5"/>
      <c r="B250" s="368"/>
      <c r="C250" s="357"/>
      <c r="D250" s="121">
        <v>2</v>
      </c>
      <c r="E250" s="121" t="s">
        <v>142</v>
      </c>
      <c r="F250" s="61" t="s">
        <v>122</v>
      </c>
      <c r="G250" s="61"/>
      <c r="H250" s="61"/>
      <c r="I250" s="61"/>
      <c r="J250" s="61"/>
      <c r="K250" s="61"/>
      <c r="L250" s="121"/>
    </row>
    <row r="251" spans="1:12" ht="15.75">
      <c r="A251" s="5"/>
      <c r="B251" s="368"/>
      <c r="C251" s="357"/>
      <c r="D251" s="180">
        <v>3</v>
      </c>
      <c r="E251" s="121"/>
      <c r="F251" s="61" t="s">
        <v>125</v>
      </c>
      <c r="G251" s="61">
        <v>100</v>
      </c>
      <c r="H251" s="61"/>
      <c r="I251" s="61"/>
      <c r="J251" s="61"/>
      <c r="K251" s="61"/>
      <c r="L251" s="121"/>
    </row>
    <row r="252" spans="1:12" ht="15.75">
      <c r="A252" s="5"/>
      <c r="B252" s="368"/>
      <c r="C252" s="357"/>
      <c r="D252" s="180">
        <v>4</v>
      </c>
      <c r="E252" s="128" t="s">
        <v>1376</v>
      </c>
      <c r="F252" s="61" t="s">
        <v>130</v>
      </c>
      <c r="G252" s="61" t="s">
        <v>162</v>
      </c>
      <c r="H252" s="61" t="s">
        <v>1294</v>
      </c>
      <c r="I252" s="61"/>
      <c r="J252" s="61"/>
      <c r="K252" s="61"/>
      <c r="L252" s="121"/>
    </row>
    <row r="253" spans="1:12" ht="15.75">
      <c r="A253" s="5"/>
      <c r="B253" s="368"/>
      <c r="C253" s="357"/>
      <c r="D253" s="180">
        <v>5</v>
      </c>
      <c r="E253" s="128"/>
      <c r="F253" s="61" t="s">
        <v>131</v>
      </c>
      <c r="G253" s="61" t="s">
        <v>162</v>
      </c>
      <c r="H253" s="61">
        <v>1</v>
      </c>
      <c r="I253" s="61"/>
      <c r="J253" s="61"/>
      <c r="K253" s="61"/>
      <c r="L253" s="121"/>
    </row>
    <row r="254" spans="1:12" ht="15.75">
      <c r="A254" s="5"/>
      <c r="B254" s="368"/>
      <c r="C254" s="357"/>
      <c r="D254" s="180">
        <v>6</v>
      </c>
      <c r="E254" s="180"/>
      <c r="F254" s="61" t="s">
        <v>1933</v>
      </c>
      <c r="G254" s="61">
        <v>100</v>
      </c>
      <c r="H254" s="61"/>
      <c r="I254" s="61"/>
      <c r="J254" s="61"/>
      <c r="K254" s="61"/>
      <c r="L254" s="180"/>
    </row>
    <row r="255" spans="1:12" ht="15.75">
      <c r="A255" s="5"/>
      <c r="B255" s="368"/>
      <c r="C255" s="357"/>
      <c r="D255" s="180">
        <v>7</v>
      </c>
      <c r="E255" s="128"/>
      <c r="F255" s="61" t="s">
        <v>135</v>
      </c>
      <c r="G255" s="61">
        <v>6</v>
      </c>
      <c r="H255" s="61" t="s">
        <v>1294</v>
      </c>
      <c r="I255" s="61" t="s">
        <v>162</v>
      </c>
      <c r="J255" s="61"/>
      <c r="K255" s="61"/>
      <c r="L255" s="121"/>
    </row>
    <row r="256" spans="1:12" ht="15.75">
      <c r="A256" s="5"/>
      <c r="B256" s="368"/>
      <c r="C256" s="357"/>
      <c r="D256" s="180">
        <v>8</v>
      </c>
      <c r="E256" s="180"/>
      <c r="F256" s="61" t="s">
        <v>1933</v>
      </c>
      <c r="G256" s="61">
        <v>100</v>
      </c>
      <c r="H256" s="61"/>
      <c r="I256" s="61"/>
      <c r="J256" s="61"/>
      <c r="K256" s="61"/>
      <c r="L256" s="180"/>
    </row>
    <row r="257" spans="1:12" ht="15.75">
      <c r="A257" s="5"/>
      <c r="B257" s="368"/>
      <c r="C257" s="357"/>
      <c r="D257" s="180">
        <v>9</v>
      </c>
      <c r="E257" s="128"/>
      <c r="F257" s="61" t="s">
        <v>1372</v>
      </c>
      <c r="G257" s="61" t="s">
        <v>1371</v>
      </c>
      <c r="H257" s="61" t="s">
        <v>1294</v>
      </c>
      <c r="I257" s="61"/>
      <c r="J257" s="61"/>
      <c r="K257" s="61"/>
      <c r="L257" s="121"/>
    </row>
    <row r="258" spans="1:12" ht="15.75">
      <c r="A258" s="5"/>
      <c r="B258" s="368"/>
      <c r="C258" s="357"/>
      <c r="D258" s="180">
        <v>10</v>
      </c>
      <c r="E258" s="128"/>
      <c r="F258" s="61" t="s">
        <v>1379</v>
      </c>
      <c r="G258" s="61" t="s">
        <v>1371</v>
      </c>
      <c r="H258" s="61" t="s">
        <v>1374</v>
      </c>
      <c r="I258" s="61"/>
      <c r="J258" s="61"/>
      <c r="K258" s="61"/>
      <c r="L258" s="121"/>
    </row>
    <row r="259" spans="1:12" ht="15.75">
      <c r="A259" s="5"/>
      <c r="B259" s="368"/>
      <c r="C259" s="357"/>
      <c r="D259" s="180">
        <v>11</v>
      </c>
      <c r="E259" s="128"/>
      <c r="F259" s="61" t="s">
        <v>134</v>
      </c>
      <c r="G259" s="61">
        <v>8</v>
      </c>
      <c r="H259" s="61" t="s">
        <v>1371</v>
      </c>
      <c r="I259" s="61">
        <v>3</v>
      </c>
      <c r="J259" s="61"/>
      <c r="K259" s="61"/>
      <c r="L259" s="128"/>
    </row>
    <row r="260" spans="1:12" ht="15.75">
      <c r="A260" s="5"/>
      <c r="B260" s="368"/>
      <c r="C260" s="357"/>
      <c r="D260" s="180">
        <v>12</v>
      </c>
      <c r="E260" s="128"/>
      <c r="F260" s="61" t="s">
        <v>1372</v>
      </c>
      <c r="G260" s="61" t="s">
        <v>1371</v>
      </c>
      <c r="H260" s="61" t="s">
        <v>1294</v>
      </c>
      <c r="I260" s="61"/>
      <c r="J260" s="61"/>
      <c r="K260" s="61"/>
      <c r="L260" s="128"/>
    </row>
    <row r="261" spans="1:12" ht="15.75">
      <c r="A261" s="5"/>
      <c r="B261" s="368"/>
      <c r="C261" s="357"/>
      <c r="D261" s="180">
        <v>13</v>
      </c>
      <c r="E261" s="128"/>
      <c r="F261" s="61" t="s">
        <v>1372</v>
      </c>
      <c r="G261" s="61" t="s">
        <v>1373</v>
      </c>
      <c r="H261" s="61" t="s">
        <v>1294</v>
      </c>
      <c r="I261" s="61"/>
      <c r="J261" s="61"/>
      <c r="K261" s="61"/>
      <c r="L261" s="128"/>
    </row>
    <row r="262" spans="1:12" ht="15.75">
      <c r="A262" s="5"/>
      <c r="B262" s="368"/>
      <c r="C262" s="357"/>
      <c r="D262" s="180">
        <v>14</v>
      </c>
      <c r="E262" s="128"/>
      <c r="F262" s="61" t="s">
        <v>1375</v>
      </c>
      <c r="G262" s="61" t="s">
        <v>1373</v>
      </c>
      <c r="H262" s="61">
        <v>1</v>
      </c>
      <c r="I262" s="61"/>
      <c r="J262" s="61"/>
      <c r="K262" s="61"/>
      <c r="L262" s="128"/>
    </row>
    <row r="263" spans="1:12" ht="15.75">
      <c r="A263" s="5"/>
      <c r="B263" s="368"/>
      <c r="C263" s="357"/>
      <c r="D263" s="180">
        <v>15</v>
      </c>
      <c r="E263" s="121" t="s">
        <v>166</v>
      </c>
      <c r="F263" s="61" t="s">
        <v>127</v>
      </c>
      <c r="G263" s="61" t="s">
        <v>1331</v>
      </c>
      <c r="H263" s="61" t="s">
        <v>162</v>
      </c>
      <c r="I263" s="61">
        <v>1</v>
      </c>
      <c r="J263" s="61"/>
      <c r="K263" s="61"/>
      <c r="L263" s="121"/>
    </row>
    <row r="264" spans="1:12" ht="15.75">
      <c r="A264" s="5"/>
      <c r="B264" s="368"/>
      <c r="C264" s="357"/>
      <c r="D264" s="180">
        <v>16</v>
      </c>
      <c r="E264" s="180"/>
      <c r="F264" s="61" t="s">
        <v>1933</v>
      </c>
      <c r="G264" s="61">
        <v>100</v>
      </c>
      <c r="H264" s="61"/>
      <c r="I264" s="61"/>
      <c r="J264" s="61"/>
      <c r="K264" s="61"/>
      <c r="L264" s="180"/>
    </row>
    <row r="265" spans="1:12" ht="15.75">
      <c r="A265" s="5"/>
      <c r="B265" s="368"/>
      <c r="C265" s="357"/>
      <c r="D265" s="180">
        <v>17</v>
      </c>
      <c r="E265" s="121"/>
      <c r="F265" s="61" t="s">
        <v>135</v>
      </c>
      <c r="G265" s="61">
        <v>16</v>
      </c>
      <c r="H265" s="61" t="s">
        <v>1294</v>
      </c>
      <c r="I265" s="61" t="s">
        <v>1301</v>
      </c>
      <c r="J265" s="61"/>
      <c r="K265" s="61"/>
      <c r="L265" s="121"/>
    </row>
    <row r="266" spans="1:12" ht="15.75">
      <c r="A266" s="5"/>
      <c r="B266" s="368"/>
      <c r="C266" s="357"/>
      <c r="D266" s="180">
        <v>18</v>
      </c>
      <c r="E266" s="180" t="s">
        <v>1524</v>
      </c>
      <c r="F266" s="61" t="s">
        <v>81</v>
      </c>
      <c r="G266" s="61" t="s">
        <v>1517</v>
      </c>
      <c r="H266" s="61"/>
      <c r="I266" s="61"/>
      <c r="J266" s="61"/>
      <c r="K266" s="61"/>
      <c r="L266" s="180"/>
    </row>
    <row r="267" spans="1:12" ht="15.75">
      <c r="A267" s="5"/>
      <c r="B267" s="368"/>
      <c r="C267" s="357"/>
      <c r="D267" s="180">
        <v>19</v>
      </c>
      <c r="E267" s="121" t="s">
        <v>163</v>
      </c>
      <c r="F267" s="61" t="s">
        <v>164</v>
      </c>
      <c r="G267" s="61">
        <v>1</v>
      </c>
      <c r="H267" s="61">
        <v>4</v>
      </c>
      <c r="I267" s="61" t="s">
        <v>165</v>
      </c>
      <c r="J267" s="61"/>
      <c r="K267" s="61"/>
      <c r="L267" s="121"/>
    </row>
    <row r="268" spans="1:12" ht="15.75">
      <c r="A268" s="5"/>
      <c r="B268" s="368"/>
      <c r="C268" s="357"/>
      <c r="D268" s="180">
        <v>20</v>
      </c>
      <c r="E268" s="121" t="s">
        <v>166</v>
      </c>
      <c r="F268" s="61" t="s">
        <v>127</v>
      </c>
      <c r="G268" s="61" t="s">
        <v>1331</v>
      </c>
      <c r="H268" s="61" t="s">
        <v>1301</v>
      </c>
      <c r="I268" s="61">
        <v>3</v>
      </c>
      <c r="J268" s="61"/>
      <c r="K268" s="61"/>
      <c r="L268" s="121"/>
    </row>
    <row r="269" spans="1:12" ht="15.75">
      <c r="A269" s="5"/>
      <c r="B269" s="368"/>
      <c r="C269" s="357"/>
      <c r="D269" s="180">
        <v>21</v>
      </c>
      <c r="E269" s="121" t="s">
        <v>194</v>
      </c>
      <c r="F269" s="61" t="s">
        <v>125</v>
      </c>
      <c r="G269" s="61" t="s">
        <v>1546</v>
      </c>
      <c r="H269" s="61"/>
      <c r="I269" s="61"/>
      <c r="J269" s="61"/>
      <c r="K269" s="61"/>
      <c r="L269" s="121"/>
    </row>
    <row r="270" spans="1:12" ht="15.75">
      <c r="A270" s="5"/>
      <c r="B270" s="368"/>
      <c r="C270" s="357"/>
      <c r="D270" s="180">
        <v>22</v>
      </c>
      <c r="E270" s="180" t="s">
        <v>1525</v>
      </c>
      <c r="F270" s="61" t="s">
        <v>81</v>
      </c>
      <c r="G270" s="61" t="s">
        <v>196</v>
      </c>
      <c r="H270" s="61" t="s">
        <v>197</v>
      </c>
      <c r="I270" s="61" t="s">
        <v>197</v>
      </c>
      <c r="J270" s="61"/>
      <c r="K270" s="61"/>
      <c r="L270" s="180"/>
    </row>
    <row r="271" spans="1:12" ht="15.75">
      <c r="A271" s="5"/>
      <c r="B271" s="368"/>
      <c r="C271" s="357"/>
      <c r="D271" s="180">
        <v>23</v>
      </c>
      <c r="E271" s="180"/>
      <c r="F271" s="61" t="s">
        <v>81</v>
      </c>
      <c r="G271" s="61" t="s">
        <v>198</v>
      </c>
      <c r="H271" s="61" t="s">
        <v>199</v>
      </c>
      <c r="I271" s="61" t="s">
        <v>197</v>
      </c>
      <c r="J271" s="61" t="s">
        <v>197</v>
      </c>
      <c r="K271" s="61">
        <v>1</v>
      </c>
      <c r="L271" s="180"/>
    </row>
    <row r="272" spans="1:12" ht="15.75">
      <c r="A272" s="5"/>
      <c r="B272" s="368"/>
      <c r="C272" s="357"/>
      <c r="D272" s="180">
        <v>24</v>
      </c>
      <c r="E272" s="121" t="s">
        <v>146</v>
      </c>
      <c r="F272" s="61" t="s">
        <v>123</v>
      </c>
      <c r="G272" s="61"/>
      <c r="H272" s="61"/>
      <c r="I272" s="61"/>
      <c r="J272" s="61"/>
      <c r="K272" s="61"/>
      <c r="L272" s="121"/>
    </row>
    <row r="273" spans="1:12" ht="15.75">
      <c r="A273" s="5"/>
      <c r="B273" s="368"/>
      <c r="C273" s="358"/>
      <c r="D273" s="121"/>
      <c r="E273" s="121"/>
      <c r="F273" s="61"/>
      <c r="G273" s="61"/>
      <c r="H273" s="61"/>
      <c r="I273" s="61"/>
      <c r="J273" s="61"/>
      <c r="K273" s="61"/>
      <c r="L273" s="121"/>
    </row>
    <row r="274" spans="1:12" ht="15.75">
      <c r="A274" s="5"/>
      <c r="B274" s="367" t="s">
        <v>1311</v>
      </c>
      <c r="C274" s="356" t="s">
        <v>1728</v>
      </c>
      <c r="D274" s="121">
        <v>1</v>
      </c>
      <c r="E274" s="121" t="s">
        <v>1641</v>
      </c>
      <c r="F274" s="61" t="s">
        <v>87</v>
      </c>
      <c r="G274" s="61" t="s">
        <v>1642</v>
      </c>
      <c r="H274" s="61"/>
      <c r="I274" s="61"/>
      <c r="J274" s="61"/>
      <c r="K274" s="61"/>
      <c r="L274" s="121"/>
    </row>
    <row r="275" spans="1:12" ht="15.75">
      <c r="A275" s="5"/>
      <c r="B275" s="368"/>
      <c r="C275" s="357"/>
      <c r="D275" s="121">
        <v>2</v>
      </c>
      <c r="E275" s="121" t="s">
        <v>142</v>
      </c>
      <c r="F275" s="61" t="s">
        <v>122</v>
      </c>
      <c r="G275" s="61"/>
      <c r="H275" s="61"/>
      <c r="I275" s="61"/>
      <c r="J275" s="61"/>
      <c r="K275" s="61"/>
      <c r="L275" s="121"/>
    </row>
    <row r="276" spans="1:12" ht="15.75">
      <c r="A276" s="5"/>
      <c r="B276" s="368"/>
      <c r="C276" s="357"/>
      <c r="D276" s="128">
        <v>3</v>
      </c>
      <c r="E276" s="121"/>
      <c r="F276" s="61" t="s">
        <v>125</v>
      </c>
      <c r="G276" s="61">
        <v>100</v>
      </c>
      <c r="H276" s="61"/>
      <c r="I276" s="61"/>
      <c r="J276" s="61"/>
      <c r="K276" s="61"/>
      <c r="L276" s="121"/>
    </row>
    <row r="277" spans="1:12" ht="15.75">
      <c r="A277" s="5"/>
      <c r="B277" s="368"/>
      <c r="C277" s="357"/>
      <c r="D277" s="128">
        <v>4</v>
      </c>
      <c r="E277" s="128" t="s">
        <v>1376</v>
      </c>
      <c r="F277" s="61" t="s">
        <v>130</v>
      </c>
      <c r="G277" s="61" t="s">
        <v>162</v>
      </c>
      <c r="H277" s="61" t="s">
        <v>1294</v>
      </c>
      <c r="I277" s="61"/>
      <c r="J277" s="61"/>
      <c r="K277" s="61"/>
      <c r="L277" s="121"/>
    </row>
    <row r="278" spans="1:12" ht="15.75">
      <c r="A278" s="5"/>
      <c r="B278" s="368"/>
      <c r="C278" s="357"/>
      <c r="D278" s="128">
        <v>5</v>
      </c>
      <c r="E278" s="128"/>
      <c r="F278" s="61" t="s">
        <v>131</v>
      </c>
      <c r="G278" s="61" t="s">
        <v>162</v>
      </c>
      <c r="H278" s="61">
        <v>1</v>
      </c>
      <c r="I278" s="61"/>
      <c r="J278" s="61"/>
      <c r="K278" s="61"/>
      <c r="L278" s="121"/>
    </row>
    <row r="279" spans="1:12" ht="15.75">
      <c r="A279" s="5"/>
      <c r="B279" s="368"/>
      <c r="C279" s="357"/>
      <c r="D279" s="180">
        <v>6</v>
      </c>
      <c r="E279" s="180"/>
      <c r="F279" s="61" t="s">
        <v>1933</v>
      </c>
      <c r="G279" s="61">
        <v>100</v>
      </c>
      <c r="H279" s="61"/>
      <c r="I279" s="61"/>
      <c r="J279" s="61"/>
      <c r="K279" s="61"/>
      <c r="L279" s="180"/>
    </row>
    <row r="280" spans="1:12" ht="15.75">
      <c r="A280" s="5"/>
      <c r="B280" s="368"/>
      <c r="C280" s="357"/>
      <c r="D280" s="180">
        <v>7</v>
      </c>
      <c r="E280" s="128"/>
      <c r="F280" s="61" t="s">
        <v>135</v>
      </c>
      <c r="G280" s="61">
        <v>6</v>
      </c>
      <c r="H280" s="61" t="s">
        <v>1294</v>
      </c>
      <c r="I280" s="61" t="s">
        <v>162</v>
      </c>
      <c r="J280" s="61"/>
      <c r="K280" s="61"/>
      <c r="L280" s="121"/>
    </row>
    <row r="281" spans="1:12" ht="15.75">
      <c r="A281" s="5"/>
      <c r="B281" s="368"/>
      <c r="C281" s="357"/>
      <c r="D281" s="180">
        <v>8</v>
      </c>
      <c r="E281" s="180"/>
      <c r="F281" s="61" t="s">
        <v>1933</v>
      </c>
      <c r="G281" s="61">
        <v>100</v>
      </c>
      <c r="H281" s="61"/>
      <c r="I281" s="61"/>
      <c r="J281" s="61"/>
      <c r="K281" s="61"/>
      <c r="L281" s="180"/>
    </row>
    <row r="282" spans="1:12" ht="15.75">
      <c r="A282" s="5"/>
      <c r="B282" s="368"/>
      <c r="C282" s="357"/>
      <c r="D282" s="180">
        <v>9</v>
      </c>
      <c r="E282" s="128"/>
      <c r="F282" s="61" t="s">
        <v>1372</v>
      </c>
      <c r="G282" s="61" t="s">
        <v>1371</v>
      </c>
      <c r="H282" s="61" t="s">
        <v>1294</v>
      </c>
      <c r="I282" s="61"/>
      <c r="J282" s="61"/>
      <c r="K282" s="61"/>
      <c r="L282" s="121"/>
    </row>
    <row r="283" spans="1:12" ht="15.75">
      <c r="A283" s="5"/>
      <c r="B283" s="368"/>
      <c r="C283" s="357"/>
      <c r="D283" s="180">
        <v>10</v>
      </c>
      <c r="E283" s="128"/>
      <c r="F283" s="61" t="s">
        <v>1379</v>
      </c>
      <c r="G283" s="61" t="s">
        <v>1371</v>
      </c>
      <c r="H283" s="61" t="s">
        <v>1374</v>
      </c>
      <c r="I283" s="61"/>
      <c r="J283" s="61"/>
      <c r="K283" s="61"/>
      <c r="L283" s="121"/>
    </row>
    <row r="284" spans="1:12" ht="15.75">
      <c r="A284" s="5"/>
      <c r="B284" s="368"/>
      <c r="C284" s="357"/>
      <c r="D284" s="180">
        <v>11</v>
      </c>
      <c r="E284" s="128"/>
      <c r="F284" s="61" t="s">
        <v>134</v>
      </c>
      <c r="G284" s="61">
        <v>8</v>
      </c>
      <c r="H284" s="61" t="s">
        <v>1371</v>
      </c>
      <c r="I284" s="61">
        <v>3</v>
      </c>
      <c r="J284" s="61"/>
      <c r="K284" s="61"/>
      <c r="L284" s="128"/>
    </row>
    <row r="285" spans="1:12" ht="15.75">
      <c r="A285" s="5"/>
      <c r="B285" s="368"/>
      <c r="C285" s="357"/>
      <c r="D285" s="180">
        <v>12</v>
      </c>
      <c r="E285" s="128"/>
      <c r="F285" s="61" t="s">
        <v>1372</v>
      </c>
      <c r="G285" s="61" t="s">
        <v>1371</v>
      </c>
      <c r="H285" s="61" t="s">
        <v>1294</v>
      </c>
      <c r="I285" s="61"/>
      <c r="J285" s="61"/>
      <c r="K285" s="61"/>
      <c r="L285" s="128"/>
    </row>
    <row r="286" spans="1:12" ht="15.75">
      <c r="A286" s="5"/>
      <c r="B286" s="368"/>
      <c r="C286" s="357"/>
      <c r="D286" s="180">
        <v>13</v>
      </c>
      <c r="E286" s="128"/>
      <c r="F286" s="61" t="s">
        <v>1372</v>
      </c>
      <c r="G286" s="61" t="s">
        <v>1373</v>
      </c>
      <c r="H286" s="61" t="s">
        <v>1294</v>
      </c>
      <c r="I286" s="61"/>
      <c r="J286" s="61"/>
      <c r="K286" s="61"/>
      <c r="L286" s="128"/>
    </row>
    <row r="287" spans="1:12" ht="15.75">
      <c r="A287" s="5"/>
      <c r="B287" s="368"/>
      <c r="C287" s="357"/>
      <c r="D287" s="180">
        <v>14</v>
      </c>
      <c r="E287" s="128"/>
      <c r="F287" s="61" t="s">
        <v>1375</v>
      </c>
      <c r="G287" s="61" t="s">
        <v>1373</v>
      </c>
      <c r="H287" s="61">
        <v>1</v>
      </c>
      <c r="I287" s="61"/>
      <c r="J287" s="61"/>
      <c r="K287" s="61"/>
      <c r="L287" s="128"/>
    </row>
    <row r="288" spans="1:12" ht="15.75">
      <c r="A288" s="5"/>
      <c r="B288" s="368"/>
      <c r="C288" s="357"/>
      <c r="D288" s="180">
        <v>15</v>
      </c>
      <c r="E288" s="121" t="s">
        <v>166</v>
      </c>
      <c r="F288" s="61" t="s">
        <v>127</v>
      </c>
      <c r="G288" s="61" t="s">
        <v>1331</v>
      </c>
      <c r="H288" s="61" t="s">
        <v>162</v>
      </c>
      <c r="I288" s="61">
        <v>1</v>
      </c>
      <c r="J288" s="61"/>
      <c r="K288" s="61"/>
      <c r="L288" s="121"/>
    </row>
    <row r="289" spans="1:12" ht="15.75">
      <c r="A289" s="5"/>
      <c r="B289" s="368"/>
      <c r="C289" s="357"/>
      <c r="D289" s="180">
        <v>16</v>
      </c>
      <c r="E289" s="180"/>
      <c r="F289" s="61" t="s">
        <v>1933</v>
      </c>
      <c r="G289" s="61">
        <v>100</v>
      </c>
      <c r="H289" s="61"/>
      <c r="I289" s="61"/>
      <c r="J289" s="61"/>
      <c r="K289" s="61"/>
      <c r="L289" s="180"/>
    </row>
    <row r="290" spans="1:12" ht="15.75">
      <c r="A290" s="5"/>
      <c r="B290" s="368"/>
      <c r="C290" s="357"/>
      <c r="D290" s="180">
        <v>17</v>
      </c>
      <c r="E290" s="121"/>
      <c r="F290" s="61" t="s">
        <v>135</v>
      </c>
      <c r="G290" s="61">
        <v>16</v>
      </c>
      <c r="H290" s="61" t="s">
        <v>1294</v>
      </c>
      <c r="I290" s="61" t="s">
        <v>1301</v>
      </c>
      <c r="J290" s="61"/>
      <c r="K290" s="61"/>
      <c r="L290" s="121"/>
    </row>
    <row r="291" spans="1:12" ht="15.75">
      <c r="A291" s="5"/>
      <c r="B291" s="368"/>
      <c r="C291" s="357"/>
      <c r="D291" s="180">
        <v>18</v>
      </c>
      <c r="E291" s="121" t="s">
        <v>163</v>
      </c>
      <c r="F291" s="61" t="s">
        <v>164</v>
      </c>
      <c r="G291" s="61">
        <v>1</v>
      </c>
      <c r="H291" s="61">
        <v>4</v>
      </c>
      <c r="I291" s="61" t="s">
        <v>165</v>
      </c>
      <c r="J291" s="61"/>
      <c r="K291" s="61"/>
      <c r="L291" s="121"/>
    </row>
    <row r="292" spans="1:12" ht="15.75">
      <c r="A292" s="5"/>
      <c r="B292" s="368"/>
      <c r="C292" s="357"/>
      <c r="D292" s="180">
        <v>19</v>
      </c>
      <c r="E292" s="121" t="s">
        <v>166</v>
      </c>
      <c r="F292" s="61" t="s">
        <v>127</v>
      </c>
      <c r="G292" s="61" t="s">
        <v>1331</v>
      </c>
      <c r="H292" s="61" t="s">
        <v>1301</v>
      </c>
      <c r="I292" s="61">
        <v>3</v>
      </c>
      <c r="J292" s="61"/>
      <c r="K292" s="61"/>
      <c r="L292" s="121"/>
    </row>
    <row r="293" spans="1:12" ht="15.75">
      <c r="A293" s="5"/>
      <c r="B293" s="368"/>
      <c r="C293" s="357"/>
      <c r="D293" s="180">
        <v>20</v>
      </c>
      <c r="E293" s="121" t="s">
        <v>318</v>
      </c>
      <c r="F293" s="61" t="s">
        <v>125</v>
      </c>
      <c r="G293" s="61">
        <v>5000</v>
      </c>
      <c r="H293" s="61"/>
      <c r="I293" s="61"/>
      <c r="J293" s="61"/>
      <c r="K293" s="61"/>
      <c r="L293" s="121"/>
    </row>
    <row r="294" spans="1:12" ht="15.75">
      <c r="A294" s="5"/>
      <c r="B294" s="368"/>
      <c r="C294" s="357"/>
      <c r="D294" s="180">
        <v>21</v>
      </c>
      <c r="E294" s="121" t="s">
        <v>146</v>
      </c>
      <c r="F294" s="61" t="s">
        <v>123</v>
      </c>
      <c r="G294" s="61"/>
      <c r="H294" s="61"/>
      <c r="I294" s="61"/>
      <c r="J294" s="61"/>
      <c r="K294" s="61"/>
      <c r="L294" s="121"/>
    </row>
    <row r="295" spans="1:12" ht="15.75">
      <c r="A295" s="5"/>
      <c r="B295" s="368"/>
      <c r="C295" s="358"/>
      <c r="D295" s="121"/>
      <c r="E295" s="121"/>
      <c r="F295" s="61"/>
      <c r="G295" s="61"/>
      <c r="H295" s="61"/>
      <c r="I295" s="61"/>
      <c r="J295" s="61"/>
      <c r="K295" s="61"/>
      <c r="L295" s="121"/>
    </row>
    <row r="296" spans="1:12" ht="15.75">
      <c r="A296" s="5"/>
      <c r="B296" s="367" t="s">
        <v>1312</v>
      </c>
      <c r="C296" s="356" t="s">
        <v>1728</v>
      </c>
      <c r="D296" s="121">
        <v>1</v>
      </c>
      <c r="E296" s="121" t="s">
        <v>1641</v>
      </c>
      <c r="F296" s="61" t="s">
        <v>87</v>
      </c>
      <c r="G296" s="61" t="s">
        <v>1642</v>
      </c>
      <c r="H296" s="61"/>
      <c r="I296" s="61"/>
      <c r="J296" s="61"/>
      <c r="K296" s="61"/>
      <c r="L296" s="121"/>
    </row>
    <row r="297" spans="1:12" ht="15.75">
      <c r="A297" s="5"/>
      <c r="B297" s="368"/>
      <c r="C297" s="357"/>
      <c r="D297" s="121">
        <v>2</v>
      </c>
      <c r="E297" s="121" t="s">
        <v>142</v>
      </c>
      <c r="F297" s="61" t="s">
        <v>122</v>
      </c>
      <c r="G297" s="61"/>
      <c r="H297" s="61"/>
      <c r="I297" s="61"/>
      <c r="J297" s="61"/>
      <c r="K297" s="61"/>
      <c r="L297" s="121"/>
    </row>
    <row r="298" spans="1:12" ht="15.75">
      <c r="A298" s="5"/>
      <c r="B298" s="368"/>
      <c r="C298" s="357"/>
      <c r="D298" s="180">
        <v>3</v>
      </c>
      <c r="E298" s="121"/>
      <c r="F298" s="61" t="s">
        <v>125</v>
      </c>
      <c r="G298" s="61">
        <v>100</v>
      </c>
      <c r="H298" s="61"/>
      <c r="I298" s="61"/>
      <c r="J298" s="61"/>
      <c r="K298" s="61"/>
      <c r="L298" s="121"/>
    </row>
    <row r="299" spans="1:12" ht="15.75">
      <c r="A299" s="5"/>
      <c r="B299" s="368"/>
      <c r="C299" s="357"/>
      <c r="D299" s="180">
        <v>4</v>
      </c>
      <c r="E299" s="128" t="s">
        <v>1376</v>
      </c>
      <c r="F299" s="61" t="s">
        <v>130</v>
      </c>
      <c r="G299" s="61" t="s">
        <v>162</v>
      </c>
      <c r="H299" s="61" t="s">
        <v>1294</v>
      </c>
      <c r="I299" s="61"/>
      <c r="J299" s="61"/>
      <c r="K299" s="61"/>
      <c r="L299" s="121"/>
    </row>
    <row r="300" spans="1:12" ht="15.75">
      <c r="A300" s="5"/>
      <c r="B300" s="368"/>
      <c r="C300" s="357"/>
      <c r="D300" s="180">
        <v>5</v>
      </c>
      <c r="E300" s="128"/>
      <c r="F300" s="61" t="s">
        <v>131</v>
      </c>
      <c r="G300" s="61" t="s">
        <v>162</v>
      </c>
      <c r="H300" s="61">
        <v>1</v>
      </c>
      <c r="I300" s="61"/>
      <c r="J300" s="61"/>
      <c r="K300" s="61"/>
      <c r="L300" s="121"/>
    </row>
    <row r="301" spans="1:12" ht="15.75">
      <c r="A301" s="5"/>
      <c r="B301" s="368"/>
      <c r="C301" s="357"/>
      <c r="D301" s="180">
        <v>6</v>
      </c>
      <c r="E301" s="180"/>
      <c r="F301" s="61" t="s">
        <v>1933</v>
      </c>
      <c r="G301" s="61">
        <v>100</v>
      </c>
      <c r="H301" s="61"/>
      <c r="I301" s="61"/>
      <c r="J301" s="61"/>
      <c r="K301" s="61"/>
      <c r="L301" s="180"/>
    </row>
    <row r="302" spans="1:12" ht="15.75">
      <c r="A302" s="5"/>
      <c r="B302" s="368"/>
      <c r="C302" s="357"/>
      <c r="D302" s="180">
        <v>7</v>
      </c>
      <c r="E302" s="128"/>
      <c r="F302" s="61" t="s">
        <v>135</v>
      </c>
      <c r="G302" s="61">
        <v>6</v>
      </c>
      <c r="H302" s="61" t="s">
        <v>1294</v>
      </c>
      <c r="I302" s="61" t="s">
        <v>162</v>
      </c>
      <c r="J302" s="61"/>
      <c r="K302" s="61"/>
      <c r="L302" s="121"/>
    </row>
    <row r="303" spans="1:12" ht="15.75">
      <c r="A303" s="5"/>
      <c r="B303" s="368"/>
      <c r="C303" s="357"/>
      <c r="D303" s="180">
        <v>8</v>
      </c>
      <c r="E303" s="180"/>
      <c r="F303" s="61" t="s">
        <v>1933</v>
      </c>
      <c r="G303" s="61">
        <v>100</v>
      </c>
      <c r="H303" s="61"/>
      <c r="I303" s="61"/>
      <c r="J303" s="61"/>
      <c r="K303" s="61"/>
      <c r="L303" s="180"/>
    </row>
    <row r="304" spans="1:12" ht="15.75">
      <c r="A304" s="5"/>
      <c r="B304" s="368"/>
      <c r="C304" s="357"/>
      <c r="D304" s="180">
        <v>9</v>
      </c>
      <c r="E304" s="128"/>
      <c r="F304" s="61" t="s">
        <v>1372</v>
      </c>
      <c r="G304" s="61" t="s">
        <v>1371</v>
      </c>
      <c r="H304" s="61" t="s">
        <v>1294</v>
      </c>
      <c r="I304" s="61"/>
      <c r="J304" s="61"/>
      <c r="K304" s="61"/>
      <c r="L304" s="121"/>
    </row>
    <row r="305" spans="1:12" ht="15.75">
      <c r="A305" s="5"/>
      <c r="B305" s="368"/>
      <c r="C305" s="357"/>
      <c r="D305" s="180">
        <v>10</v>
      </c>
      <c r="E305" s="128"/>
      <c r="F305" s="61" t="s">
        <v>1379</v>
      </c>
      <c r="G305" s="61" t="s">
        <v>1371</v>
      </c>
      <c r="H305" s="61" t="s">
        <v>1374</v>
      </c>
      <c r="I305" s="61"/>
      <c r="J305" s="61"/>
      <c r="K305" s="61"/>
      <c r="L305" s="121"/>
    </row>
    <row r="306" spans="1:12" ht="15.75">
      <c r="A306" s="5"/>
      <c r="B306" s="368"/>
      <c r="C306" s="357"/>
      <c r="D306" s="180">
        <v>11</v>
      </c>
      <c r="E306" s="128"/>
      <c r="F306" s="61" t="s">
        <v>134</v>
      </c>
      <c r="G306" s="61">
        <v>8</v>
      </c>
      <c r="H306" s="61" t="s">
        <v>1371</v>
      </c>
      <c r="I306" s="61">
        <v>3</v>
      </c>
      <c r="J306" s="61"/>
      <c r="K306" s="61"/>
      <c r="L306" s="128"/>
    </row>
    <row r="307" spans="1:12" ht="15.75">
      <c r="A307" s="5"/>
      <c r="B307" s="368"/>
      <c r="C307" s="357"/>
      <c r="D307" s="180">
        <v>12</v>
      </c>
      <c r="E307" s="128"/>
      <c r="F307" s="61" t="s">
        <v>1372</v>
      </c>
      <c r="G307" s="61" t="s">
        <v>1371</v>
      </c>
      <c r="H307" s="61" t="s">
        <v>1294</v>
      </c>
      <c r="I307" s="61"/>
      <c r="J307" s="61"/>
      <c r="K307" s="61"/>
      <c r="L307" s="128"/>
    </row>
    <row r="308" spans="1:12" ht="15.75">
      <c r="A308" s="5"/>
      <c r="B308" s="368"/>
      <c r="C308" s="357"/>
      <c r="D308" s="180">
        <v>13</v>
      </c>
      <c r="E308" s="128"/>
      <c r="F308" s="61" t="s">
        <v>1372</v>
      </c>
      <c r="G308" s="61" t="s">
        <v>1373</v>
      </c>
      <c r="H308" s="61" t="s">
        <v>1294</v>
      </c>
      <c r="I308" s="61"/>
      <c r="J308" s="61"/>
      <c r="K308" s="61"/>
      <c r="L308" s="128"/>
    </row>
    <row r="309" spans="1:12" ht="15.75">
      <c r="A309" s="5"/>
      <c r="B309" s="368"/>
      <c r="C309" s="357"/>
      <c r="D309" s="180">
        <v>14</v>
      </c>
      <c r="E309" s="128"/>
      <c r="F309" s="61" t="s">
        <v>1375</v>
      </c>
      <c r="G309" s="61" t="s">
        <v>1373</v>
      </c>
      <c r="H309" s="61">
        <v>1</v>
      </c>
      <c r="I309" s="61"/>
      <c r="J309" s="61"/>
      <c r="K309" s="61"/>
      <c r="L309" s="128"/>
    </row>
    <row r="310" spans="1:12" ht="15.75">
      <c r="A310" s="5"/>
      <c r="B310" s="368"/>
      <c r="C310" s="357"/>
      <c r="D310" s="180">
        <v>15</v>
      </c>
      <c r="E310" s="121" t="s">
        <v>166</v>
      </c>
      <c r="F310" s="61" t="s">
        <v>127</v>
      </c>
      <c r="G310" s="61" t="s">
        <v>1331</v>
      </c>
      <c r="H310" s="61" t="s">
        <v>162</v>
      </c>
      <c r="I310" s="61">
        <v>1</v>
      </c>
      <c r="J310" s="61"/>
      <c r="K310" s="61"/>
      <c r="L310" s="121"/>
    </row>
    <row r="311" spans="1:12" ht="15.75">
      <c r="A311" s="5"/>
      <c r="B311" s="368"/>
      <c r="C311" s="357"/>
      <c r="D311" s="180">
        <v>16</v>
      </c>
      <c r="E311" s="180"/>
      <c r="F311" s="61" t="s">
        <v>1933</v>
      </c>
      <c r="G311" s="61">
        <v>100</v>
      </c>
      <c r="H311" s="61"/>
      <c r="I311" s="61"/>
      <c r="J311" s="61"/>
      <c r="K311" s="61"/>
      <c r="L311" s="180"/>
    </row>
    <row r="312" spans="1:12" ht="15.75">
      <c r="A312" s="5"/>
      <c r="B312" s="368"/>
      <c r="C312" s="357"/>
      <c r="D312" s="180">
        <v>17</v>
      </c>
      <c r="E312" s="121"/>
      <c r="F312" s="61" t="s">
        <v>135</v>
      </c>
      <c r="G312" s="61">
        <v>16</v>
      </c>
      <c r="H312" s="61" t="s">
        <v>1294</v>
      </c>
      <c r="I312" s="61" t="s">
        <v>1301</v>
      </c>
      <c r="J312" s="61"/>
      <c r="K312" s="61"/>
      <c r="L312" s="121"/>
    </row>
    <row r="313" spans="1:12" ht="15.75">
      <c r="A313" s="5"/>
      <c r="B313" s="368"/>
      <c r="C313" s="357"/>
      <c r="D313" s="180">
        <v>18</v>
      </c>
      <c r="E313" s="180" t="s">
        <v>1524</v>
      </c>
      <c r="F313" s="61" t="s">
        <v>81</v>
      </c>
      <c r="G313" s="61" t="s">
        <v>1517</v>
      </c>
      <c r="H313" s="61"/>
      <c r="I313" s="61"/>
      <c r="J313" s="61"/>
      <c r="K313" s="61"/>
      <c r="L313" s="180"/>
    </row>
    <row r="314" spans="1:12" ht="15.75">
      <c r="A314" s="5"/>
      <c r="B314" s="368"/>
      <c r="C314" s="357"/>
      <c r="D314" s="180">
        <v>19</v>
      </c>
      <c r="E314" s="121" t="s">
        <v>163</v>
      </c>
      <c r="F314" s="61" t="s">
        <v>164</v>
      </c>
      <c r="G314" s="61">
        <v>1</v>
      </c>
      <c r="H314" s="61">
        <v>4</v>
      </c>
      <c r="I314" s="61" t="s">
        <v>165</v>
      </c>
      <c r="J314" s="61"/>
      <c r="K314" s="61"/>
      <c r="L314" s="121"/>
    </row>
    <row r="315" spans="1:12" ht="15.75">
      <c r="A315" s="5"/>
      <c r="B315" s="368"/>
      <c r="C315" s="357"/>
      <c r="D315" s="180">
        <v>20</v>
      </c>
      <c r="E315" s="121" t="s">
        <v>166</v>
      </c>
      <c r="F315" s="61" t="s">
        <v>127</v>
      </c>
      <c r="G315" s="61" t="s">
        <v>1331</v>
      </c>
      <c r="H315" s="61" t="s">
        <v>1301</v>
      </c>
      <c r="I315" s="61">
        <v>5</v>
      </c>
      <c r="J315" s="61"/>
      <c r="K315" s="61"/>
      <c r="L315" s="121"/>
    </row>
    <row r="316" spans="1:12" ht="15.75">
      <c r="A316" s="5"/>
      <c r="B316" s="368"/>
      <c r="C316" s="357"/>
      <c r="D316" s="180">
        <v>21</v>
      </c>
      <c r="E316" s="121" t="s">
        <v>194</v>
      </c>
      <c r="F316" s="61" t="s">
        <v>125</v>
      </c>
      <c r="G316" s="61" t="s">
        <v>1546</v>
      </c>
      <c r="H316" s="61"/>
      <c r="I316" s="61"/>
      <c r="J316" s="61"/>
      <c r="K316" s="61"/>
      <c r="L316" s="121"/>
    </row>
    <row r="317" spans="1:12" ht="15.75">
      <c r="A317" s="5"/>
      <c r="B317" s="368"/>
      <c r="C317" s="357"/>
      <c r="D317" s="180">
        <v>22</v>
      </c>
      <c r="E317" s="180" t="s">
        <v>1525</v>
      </c>
      <c r="F317" s="61" t="s">
        <v>81</v>
      </c>
      <c r="G317" s="61" t="s">
        <v>196</v>
      </c>
      <c r="H317" s="61" t="s">
        <v>197</v>
      </c>
      <c r="I317" s="61" t="s">
        <v>197</v>
      </c>
      <c r="J317" s="61"/>
      <c r="K317" s="61"/>
      <c r="L317" s="180"/>
    </row>
    <row r="318" spans="1:12" ht="15.75">
      <c r="A318" s="5"/>
      <c r="B318" s="368"/>
      <c r="C318" s="357"/>
      <c r="D318" s="180">
        <v>23</v>
      </c>
      <c r="E318" s="180"/>
      <c r="F318" s="61" t="s">
        <v>81</v>
      </c>
      <c r="G318" s="61" t="s">
        <v>198</v>
      </c>
      <c r="H318" s="61" t="s">
        <v>199</v>
      </c>
      <c r="I318" s="61" t="s">
        <v>197</v>
      </c>
      <c r="J318" s="61" t="s">
        <v>197</v>
      </c>
      <c r="K318" s="61">
        <v>1</v>
      </c>
      <c r="L318" s="180"/>
    </row>
    <row r="319" spans="1:12" ht="15.75">
      <c r="A319" s="5"/>
      <c r="B319" s="368"/>
      <c r="C319" s="357"/>
      <c r="D319" s="180">
        <v>24</v>
      </c>
      <c r="E319" s="121" t="s">
        <v>146</v>
      </c>
      <c r="F319" s="61" t="s">
        <v>123</v>
      </c>
      <c r="G319" s="61"/>
      <c r="H319" s="61"/>
      <c r="I319" s="61"/>
      <c r="J319" s="61"/>
      <c r="K319" s="61"/>
      <c r="L319" s="121"/>
    </row>
    <row r="320" spans="1:12" ht="15.75">
      <c r="A320" s="5"/>
      <c r="B320" s="368"/>
      <c r="C320" s="358"/>
      <c r="D320" s="121"/>
      <c r="E320" s="121"/>
      <c r="F320" s="61"/>
      <c r="G320" s="61"/>
      <c r="H320" s="61"/>
      <c r="I320" s="61"/>
      <c r="J320" s="61"/>
      <c r="K320" s="61"/>
      <c r="L320" s="121"/>
    </row>
    <row r="321" spans="1:12" ht="15.75">
      <c r="A321" s="5"/>
      <c r="B321" s="367" t="s">
        <v>1313</v>
      </c>
      <c r="C321" s="356" t="s">
        <v>1728</v>
      </c>
      <c r="D321" s="121">
        <v>1</v>
      </c>
      <c r="E321" s="121" t="s">
        <v>1641</v>
      </c>
      <c r="F321" s="61" t="s">
        <v>87</v>
      </c>
      <c r="G321" s="61" t="s">
        <v>1642</v>
      </c>
      <c r="H321" s="61"/>
      <c r="I321" s="61"/>
      <c r="J321" s="61"/>
      <c r="K321" s="61"/>
      <c r="L321" s="121"/>
    </row>
    <row r="322" spans="1:12" ht="15.75">
      <c r="A322" s="5"/>
      <c r="B322" s="368"/>
      <c r="C322" s="357"/>
      <c r="D322" s="121">
        <v>2</v>
      </c>
      <c r="E322" s="121" t="s">
        <v>142</v>
      </c>
      <c r="F322" s="61" t="s">
        <v>122</v>
      </c>
      <c r="G322" s="61"/>
      <c r="H322" s="61"/>
      <c r="I322" s="61"/>
      <c r="J322" s="61"/>
      <c r="K322" s="61"/>
      <c r="L322" s="121"/>
    </row>
    <row r="323" spans="1:12" ht="15.75">
      <c r="A323" s="5"/>
      <c r="B323" s="368"/>
      <c r="C323" s="357"/>
      <c r="D323" s="128">
        <v>3</v>
      </c>
      <c r="E323" s="121"/>
      <c r="F323" s="61" t="s">
        <v>125</v>
      </c>
      <c r="G323" s="61">
        <v>100</v>
      </c>
      <c r="H323" s="61"/>
      <c r="I323" s="61"/>
      <c r="J323" s="61"/>
      <c r="K323" s="61"/>
      <c r="L323" s="121"/>
    </row>
    <row r="324" spans="1:12" ht="15.75">
      <c r="A324" s="5"/>
      <c r="B324" s="368"/>
      <c r="C324" s="357"/>
      <c r="D324" s="128">
        <v>4</v>
      </c>
      <c r="E324" s="128" t="s">
        <v>1376</v>
      </c>
      <c r="F324" s="61" t="s">
        <v>130</v>
      </c>
      <c r="G324" s="61" t="s">
        <v>162</v>
      </c>
      <c r="H324" s="61" t="s">
        <v>1294</v>
      </c>
      <c r="I324" s="61"/>
      <c r="J324" s="61"/>
      <c r="K324" s="61"/>
      <c r="L324" s="121"/>
    </row>
    <row r="325" spans="1:12" ht="15.75">
      <c r="A325" s="5"/>
      <c r="B325" s="368"/>
      <c r="C325" s="357"/>
      <c r="D325" s="128">
        <v>5</v>
      </c>
      <c r="E325" s="128"/>
      <c r="F325" s="61" t="s">
        <v>131</v>
      </c>
      <c r="G325" s="61" t="s">
        <v>162</v>
      </c>
      <c r="H325" s="61">
        <v>1</v>
      </c>
      <c r="I325" s="61"/>
      <c r="J325" s="61"/>
      <c r="K325" s="61"/>
      <c r="L325" s="121"/>
    </row>
    <row r="326" spans="1:12" ht="15.75">
      <c r="A326" s="5"/>
      <c r="B326" s="368"/>
      <c r="C326" s="357"/>
      <c r="D326" s="180">
        <v>6</v>
      </c>
      <c r="E326" s="180"/>
      <c r="F326" s="61" t="s">
        <v>1933</v>
      </c>
      <c r="G326" s="61">
        <v>100</v>
      </c>
      <c r="H326" s="61"/>
      <c r="I326" s="61"/>
      <c r="J326" s="61"/>
      <c r="K326" s="61"/>
      <c r="L326" s="180"/>
    </row>
    <row r="327" spans="1:12" ht="15.75">
      <c r="A327" s="5"/>
      <c r="B327" s="368"/>
      <c r="C327" s="357"/>
      <c r="D327" s="180">
        <v>7</v>
      </c>
      <c r="E327" s="128"/>
      <c r="F327" s="61" t="s">
        <v>135</v>
      </c>
      <c r="G327" s="61">
        <v>6</v>
      </c>
      <c r="H327" s="61" t="s">
        <v>1294</v>
      </c>
      <c r="I327" s="61" t="s">
        <v>162</v>
      </c>
      <c r="J327" s="61"/>
      <c r="K327" s="61"/>
      <c r="L327" s="121"/>
    </row>
    <row r="328" spans="1:12" ht="15.75">
      <c r="A328" s="5"/>
      <c r="B328" s="368"/>
      <c r="C328" s="357"/>
      <c r="D328" s="180">
        <v>8</v>
      </c>
      <c r="E328" s="180"/>
      <c r="F328" s="61" t="s">
        <v>1933</v>
      </c>
      <c r="G328" s="61">
        <v>100</v>
      </c>
      <c r="H328" s="61"/>
      <c r="I328" s="61"/>
      <c r="J328" s="61"/>
      <c r="K328" s="61"/>
      <c r="L328" s="180"/>
    </row>
    <row r="329" spans="1:12" ht="15.75">
      <c r="A329" s="5"/>
      <c r="B329" s="368"/>
      <c r="C329" s="357"/>
      <c r="D329" s="180">
        <v>9</v>
      </c>
      <c r="E329" s="128"/>
      <c r="F329" s="61" t="s">
        <v>1372</v>
      </c>
      <c r="G329" s="61" t="s">
        <v>1371</v>
      </c>
      <c r="H329" s="61" t="s">
        <v>1294</v>
      </c>
      <c r="I329" s="61"/>
      <c r="J329" s="61"/>
      <c r="K329" s="61"/>
      <c r="L329" s="121"/>
    </row>
    <row r="330" spans="1:12" ht="15.75">
      <c r="A330" s="5"/>
      <c r="B330" s="368"/>
      <c r="C330" s="357"/>
      <c r="D330" s="180">
        <v>10</v>
      </c>
      <c r="E330" s="128"/>
      <c r="F330" s="61" t="s">
        <v>1379</v>
      </c>
      <c r="G330" s="61" t="s">
        <v>1371</v>
      </c>
      <c r="H330" s="61" t="s">
        <v>1374</v>
      </c>
      <c r="I330" s="61"/>
      <c r="J330" s="61"/>
      <c r="K330" s="61"/>
      <c r="L330" s="121"/>
    </row>
    <row r="331" spans="1:12" ht="15.75">
      <c r="A331" s="5"/>
      <c r="B331" s="368"/>
      <c r="C331" s="357"/>
      <c r="D331" s="180">
        <v>11</v>
      </c>
      <c r="E331" s="128"/>
      <c r="F331" s="61" t="s">
        <v>134</v>
      </c>
      <c r="G331" s="61">
        <v>8</v>
      </c>
      <c r="H331" s="61" t="s">
        <v>1371</v>
      </c>
      <c r="I331" s="61">
        <v>3</v>
      </c>
      <c r="J331" s="61"/>
      <c r="K331" s="61"/>
      <c r="L331" s="128"/>
    </row>
    <row r="332" spans="1:12" ht="15.75">
      <c r="A332" s="5"/>
      <c r="B332" s="368"/>
      <c r="C332" s="357"/>
      <c r="D332" s="180">
        <v>12</v>
      </c>
      <c r="E332" s="128"/>
      <c r="F332" s="61" t="s">
        <v>1372</v>
      </c>
      <c r="G332" s="61" t="s">
        <v>1371</v>
      </c>
      <c r="H332" s="61" t="s">
        <v>1294</v>
      </c>
      <c r="I332" s="61"/>
      <c r="J332" s="61"/>
      <c r="K332" s="61"/>
      <c r="L332" s="128"/>
    </row>
    <row r="333" spans="1:12" ht="15.75">
      <c r="A333" s="5"/>
      <c r="B333" s="368"/>
      <c r="C333" s="357"/>
      <c r="D333" s="180">
        <v>13</v>
      </c>
      <c r="E333" s="128"/>
      <c r="F333" s="61" t="s">
        <v>1372</v>
      </c>
      <c r="G333" s="61" t="s">
        <v>1373</v>
      </c>
      <c r="H333" s="61" t="s">
        <v>1294</v>
      </c>
      <c r="I333" s="61"/>
      <c r="J333" s="61"/>
      <c r="K333" s="61"/>
      <c r="L333" s="128"/>
    </row>
    <row r="334" spans="1:12" ht="15.75">
      <c r="A334" s="5"/>
      <c r="B334" s="368"/>
      <c r="C334" s="357"/>
      <c r="D334" s="180">
        <v>14</v>
      </c>
      <c r="E334" s="128"/>
      <c r="F334" s="61" t="s">
        <v>1375</v>
      </c>
      <c r="G334" s="61" t="s">
        <v>1373</v>
      </c>
      <c r="H334" s="61">
        <v>1</v>
      </c>
      <c r="I334" s="61"/>
      <c r="J334" s="61"/>
      <c r="K334" s="61"/>
      <c r="L334" s="128"/>
    </row>
    <row r="335" spans="1:12" ht="15.75">
      <c r="A335" s="5"/>
      <c r="B335" s="368"/>
      <c r="C335" s="357"/>
      <c r="D335" s="180">
        <v>15</v>
      </c>
      <c r="E335" s="121" t="s">
        <v>166</v>
      </c>
      <c r="F335" s="61" t="s">
        <v>127</v>
      </c>
      <c r="G335" s="61" t="s">
        <v>1331</v>
      </c>
      <c r="H335" s="61" t="s">
        <v>162</v>
      </c>
      <c r="I335" s="61">
        <v>1</v>
      </c>
      <c r="J335" s="61"/>
      <c r="K335" s="61"/>
      <c r="L335" s="121"/>
    </row>
    <row r="336" spans="1:12" ht="15.75">
      <c r="A336" s="5"/>
      <c r="B336" s="368"/>
      <c r="C336" s="357"/>
      <c r="D336" s="180">
        <v>16</v>
      </c>
      <c r="E336" s="180"/>
      <c r="F336" s="61" t="s">
        <v>1933</v>
      </c>
      <c r="G336" s="61">
        <v>100</v>
      </c>
      <c r="H336" s="61"/>
      <c r="I336" s="61"/>
      <c r="J336" s="61"/>
      <c r="K336" s="61"/>
      <c r="L336" s="180"/>
    </row>
    <row r="337" spans="1:12" ht="15.75">
      <c r="A337" s="5"/>
      <c r="B337" s="368"/>
      <c r="C337" s="357"/>
      <c r="D337" s="180">
        <v>17</v>
      </c>
      <c r="E337" s="121"/>
      <c r="F337" s="61" t="s">
        <v>135</v>
      </c>
      <c r="G337" s="61">
        <v>16</v>
      </c>
      <c r="H337" s="61" t="s">
        <v>1294</v>
      </c>
      <c r="I337" s="61" t="s">
        <v>1301</v>
      </c>
      <c r="J337" s="61"/>
      <c r="K337" s="61"/>
      <c r="L337" s="121"/>
    </row>
    <row r="338" spans="1:12" ht="15.75">
      <c r="A338" s="5"/>
      <c r="B338" s="368"/>
      <c r="C338" s="357"/>
      <c r="D338" s="180">
        <v>18</v>
      </c>
      <c r="E338" s="121" t="s">
        <v>163</v>
      </c>
      <c r="F338" s="61" t="s">
        <v>164</v>
      </c>
      <c r="G338" s="61">
        <v>1</v>
      </c>
      <c r="H338" s="61">
        <v>4</v>
      </c>
      <c r="I338" s="61" t="s">
        <v>165</v>
      </c>
      <c r="J338" s="61"/>
      <c r="K338" s="61"/>
      <c r="L338" s="121"/>
    </row>
    <row r="339" spans="1:12" ht="15.75">
      <c r="A339" s="5"/>
      <c r="B339" s="368"/>
      <c r="C339" s="357"/>
      <c r="D339" s="180">
        <v>19</v>
      </c>
      <c r="E339" s="121" t="s">
        <v>166</v>
      </c>
      <c r="F339" s="61" t="s">
        <v>127</v>
      </c>
      <c r="G339" s="61" t="s">
        <v>1331</v>
      </c>
      <c r="H339" s="61" t="s">
        <v>1301</v>
      </c>
      <c r="I339" s="61">
        <v>5</v>
      </c>
      <c r="J339" s="61"/>
      <c r="K339" s="61"/>
      <c r="L339" s="121"/>
    </row>
    <row r="340" spans="1:12" ht="15.75">
      <c r="A340" s="5"/>
      <c r="B340" s="368"/>
      <c r="C340" s="357"/>
      <c r="D340" s="180">
        <v>20</v>
      </c>
      <c r="E340" s="121" t="s">
        <v>318</v>
      </c>
      <c r="F340" s="61" t="s">
        <v>125</v>
      </c>
      <c r="G340" s="61">
        <v>5000</v>
      </c>
      <c r="H340" s="61"/>
      <c r="I340" s="61"/>
      <c r="J340" s="61"/>
      <c r="K340" s="61"/>
      <c r="L340" s="121"/>
    </row>
    <row r="341" spans="1:12" ht="15.75">
      <c r="A341" s="5"/>
      <c r="B341" s="368"/>
      <c r="C341" s="357"/>
      <c r="D341" s="180">
        <v>21</v>
      </c>
      <c r="E341" s="121" t="s">
        <v>146</v>
      </c>
      <c r="F341" s="61" t="s">
        <v>123</v>
      </c>
      <c r="G341" s="61"/>
      <c r="H341" s="61"/>
      <c r="I341" s="61"/>
      <c r="J341" s="61"/>
      <c r="K341" s="61"/>
      <c r="L341" s="121"/>
    </row>
    <row r="342" spans="1:12" ht="15.75">
      <c r="A342" s="5"/>
      <c r="B342" s="368"/>
      <c r="C342" s="358"/>
      <c r="D342" s="121"/>
      <c r="E342" s="121"/>
      <c r="F342" s="61"/>
      <c r="G342" s="61"/>
      <c r="H342" s="61"/>
      <c r="I342" s="61"/>
      <c r="J342" s="61"/>
      <c r="K342" s="61"/>
      <c r="L342" s="121"/>
    </row>
    <row r="343" spans="1:12" ht="15.75">
      <c r="A343" s="5"/>
      <c r="B343" s="367" t="s">
        <v>1314</v>
      </c>
      <c r="C343" s="356" t="s">
        <v>1728</v>
      </c>
      <c r="D343" s="121">
        <v>1</v>
      </c>
      <c r="E343" s="121" t="s">
        <v>1641</v>
      </c>
      <c r="F343" s="61" t="s">
        <v>87</v>
      </c>
      <c r="G343" s="61" t="s">
        <v>1642</v>
      </c>
      <c r="H343" s="61"/>
      <c r="I343" s="61"/>
      <c r="J343" s="61"/>
      <c r="K343" s="61"/>
      <c r="L343" s="121"/>
    </row>
    <row r="344" spans="1:12" ht="15.75">
      <c r="A344" s="5"/>
      <c r="B344" s="368"/>
      <c r="C344" s="357"/>
      <c r="D344" s="121">
        <v>2</v>
      </c>
      <c r="E344" s="121" t="s">
        <v>142</v>
      </c>
      <c r="F344" s="61" t="s">
        <v>122</v>
      </c>
      <c r="G344" s="61"/>
      <c r="H344" s="61"/>
      <c r="I344" s="61"/>
      <c r="J344" s="61"/>
      <c r="K344" s="61"/>
      <c r="L344" s="121"/>
    </row>
    <row r="345" spans="1:12" ht="15.75">
      <c r="A345" s="5"/>
      <c r="B345" s="368"/>
      <c r="C345" s="357"/>
      <c r="D345" s="180">
        <v>3</v>
      </c>
      <c r="E345" s="121"/>
      <c r="F345" s="61" t="s">
        <v>125</v>
      </c>
      <c r="G345" s="61">
        <v>100</v>
      </c>
      <c r="H345" s="61"/>
      <c r="I345" s="61"/>
      <c r="J345" s="61"/>
      <c r="K345" s="61"/>
      <c r="L345" s="121"/>
    </row>
    <row r="346" spans="1:12" ht="15.75">
      <c r="A346" s="5"/>
      <c r="B346" s="368"/>
      <c r="C346" s="357"/>
      <c r="D346" s="180">
        <v>4</v>
      </c>
      <c r="E346" s="128" t="s">
        <v>1376</v>
      </c>
      <c r="F346" s="61" t="s">
        <v>130</v>
      </c>
      <c r="G346" s="61" t="s">
        <v>162</v>
      </c>
      <c r="H346" s="61" t="s">
        <v>1294</v>
      </c>
      <c r="I346" s="61"/>
      <c r="J346" s="61"/>
      <c r="K346" s="61"/>
      <c r="L346" s="121"/>
    </row>
    <row r="347" spans="1:12" ht="15.75">
      <c r="A347" s="5"/>
      <c r="B347" s="368"/>
      <c r="C347" s="357"/>
      <c r="D347" s="180">
        <v>5</v>
      </c>
      <c r="E347" s="128"/>
      <c r="F347" s="61" t="s">
        <v>131</v>
      </c>
      <c r="G347" s="61" t="s">
        <v>162</v>
      </c>
      <c r="H347" s="61">
        <v>1</v>
      </c>
      <c r="I347" s="61"/>
      <c r="J347" s="61"/>
      <c r="K347" s="61"/>
      <c r="L347" s="121"/>
    </row>
    <row r="348" spans="1:12" ht="15.75">
      <c r="A348" s="5"/>
      <c r="B348" s="368"/>
      <c r="C348" s="357"/>
      <c r="D348" s="180">
        <v>6</v>
      </c>
      <c r="E348" s="180"/>
      <c r="F348" s="61" t="s">
        <v>1933</v>
      </c>
      <c r="G348" s="61">
        <v>100</v>
      </c>
      <c r="H348" s="61"/>
      <c r="I348" s="61"/>
      <c r="J348" s="61"/>
      <c r="K348" s="61"/>
      <c r="L348" s="180"/>
    </row>
    <row r="349" spans="1:12" ht="15.75">
      <c r="A349" s="5"/>
      <c r="B349" s="368"/>
      <c r="C349" s="357"/>
      <c r="D349" s="180">
        <v>7</v>
      </c>
      <c r="E349" s="128"/>
      <c r="F349" s="61" t="s">
        <v>135</v>
      </c>
      <c r="G349" s="61">
        <v>6</v>
      </c>
      <c r="H349" s="61" t="s">
        <v>1294</v>
      </c>
      <c r="I349" s="61" t="s">
        <v>162</v>
      </c>
      <c r="J349" s="61"/>
      <c r="K349" s="61"/>
      <c r="L349" s="121"/>
    </row>
    <row r="350" spans="1:12" ht="15.75">
      <c r="A350" s="5"/>
      <c r="B350" s="368"/>
      <c r="C350" s="357"/>
      <c r="D350" s="180">
        <v>8</v>
      </c>
      <c r="E350" s="180"/>
      <c r="F350" s="61" t="s">
        <v>1933</v>
      </c>
      <c r="G350" s="61">
        <v>100</v>
      </c>
      <c r="H350" s="61"/>
      <c r="I350" s="61"/>
      <c r="J350" s="61"/>
      <c r="K350" s="61"/>
      <c r="L350" s="180"/>
    </row>
    <row r="351" spans="1:12" ht="15.75">
      <c r="A351" s="5"/>
      <c r="B351" s="368"/>
      <c r="C351" s="357"/>
      <c r="D351" s="180">
        <v>9</v>
      </c>
      <c r="E351" s="128"/>
      <c r="F351" s="61" t="s">
        <v>1372</v>
      </c>
      <c r="G351" s="61" t="s">
        <v>1371</v>
      </c>
      <c r="H351" s="61" t="s">
        <v>1294</v>
      </c>
      <c r="I351" s="61"/>
      <c r="J351" s="61"/>
      <c r="K351" s="61"/>
      <c r="L351" s="121"/>
    </row>
    <row r="352" spans="1:12" ht="15.75">
      <c r="A352" s="5"/>
      <c r="B352" s="368"/>
      <c r="C352" s="357"/>
      <c r="D352" s="180">
        <v>10</v>
      </c>
      <c r="E352" s="128"/>
      <c r="F352" s="61" t="s">
        <v>1379</v>
      </c>
      <c r="G352" s="61" t="s">
        <v>1371</v>
      </c>
      <c r="H352" s="61" t="s">
        <v>1374</v>
      </c>
      <c r="I352" s="61"/>
      <c r="J352" s="61"/>
      <c r="K352" s="61"/>
      <c r="L352" s="121"/>
    </row>
    <row r="353" spans="1:12" ht="15.75">
      <c r="A353" s="5"/>
      <c r="B353" s="368"/>
      <c r="C353" s="357"/>
      <c r="D353" s="180">
        <v>11</v>
      </c>
      <c r="E353" s="128"/>
      <c r="F353" s="61" t="s">
        <v>134</v>
      </c>
      <c r="G353" s="61">
        <v>8</v>
      </c>
      <c r="H353" s="61" t="s">
        <v>1371</v>
      </c>
      <c r="I353" s="61">
        <v>3</v>
      </c>
      <c r="J353" s="61"/>
      <c r="K353" s="61"/>
      <c r="L353" s="121"/>
    </row>
    <row r="354" spans="1:12" ht="15.75">
      <c r="A354" s="5"/>
      <c r="B354" s="368"/>
      <c r="C354" s="357"/>
      <c r="D354" s="180">
        <v>12</v>
      </c>
      <c r="E354" s="128"/>
      <c r="F354" s="61" t="s">
        <v>1372</v>
      </c>
      <c r="G354" s="61" t="s">
        <v>1371</v>
      </c>
      <c r="H354" s="61" t="s">
        <v>1294</v>
      </c>
      <c r="I354" s="61"/>
      <c r="J354" s="61"/>
      <c r="K354" s="61"/>
      <c r="L354" s="128"/>
    </row>
    <row r="355" spans="1:12" ht="15.75">
      <c r="A355" s="5"/>
      <c r="B355" s="368"/>
      <c r="C355" s="357"/>
      <c r="D355" s="180">
        <v>13</v>
      </c>
      <c r="E355" s="128"/>
      <c r="F355" s="61" t="s">
        <v>1375</v>
      </c>
      <c r="G355" s="61" t="s">
        <v>1371</v>
      </c>
      <c r="H355" s="61">
        <v>1</v>
      </c>
      <c r="I355" s="61"/>
      <c r="J355" s="61"/>
      <c r="K355" s="61"/>
      <c r="L355" s="128"/>
    </row>
    <row r="356" spans="1:12" ht="15.75">
      <c r="A356" s="5"/>
      <c r="B356" s="368"/>
      <c r="C356" s="357"/>
      <c r="D356" s="180">
        <v>14</v>
      </c>
      <c r="E356" s="128"/>
      <c r="F356" s="61" t="s">
        <v>1372</v>
      </c>
      <c r="G356" s="61" t="s">
        <v>1373</v>
      </c>
      <c r="H356" s="61" t="s">
        <v>1294</v>
      </c>
      <c r="I356" s="61"/>
      <c r="J356" s="61"/>
      <c r="K356" s="61"/>
      <c r="L356" s="128"/>
    </row>
    <row r="357" spans="1:12" ht="15.75">
      <c r="A357" s="5"/>
      <c r="B357" s="368"/>
      <c r="C357" s="357"/>
      <c r="D357" s="180">
        <v>15</v>
      </c>
      <c r="E357" s="128"/>
      <c r="F357" s="61" t="s">
        <v>1375</v>
      </c>
      <c r="G357" s="61" t="s">
        <v>1373</v>
      </c>
      <c r="H357" s="61">
        <v>4</v>
      </c>
      <c r="I357" s="61"/>
      <c r="J357" s="61"/>
      <c r="K357" s="61"/>
      <c r="L357" s="128"/>
    </row>
    <row r="358" spans="1:12" ht="15.75">
      <c r="A358" s="5"/>
      <c r="B358" s="368"/>
      <c r="C358" s="357"/>
      <c r="D358" s="180">
        <v>16</v>
      </c>
      <c r="E358" s="121" t="s">
        <v>166</v>
      </c>
      <c r="F358" s="61" t="s">
        <v>127</v>
      </c>
      <c r="G358" s="61" t="s">
        <v>1331</v>
      </c>
      <c r="H358" s="61" t="s">
        <v>162</v>
      </c>
      <c r="I358" s="61">
        <v>1</v>
      </c>
      <c r="J358" s="61"/>
      <c r="K358" s="61"/>
      <c r="L358" s="121"/>
    </row>
    <row r="359" spans="1:12" ht="15.75">
      <c r="A359" s="5"/>
      <c r="B359" s="368"/>
      <c r="C359" s="357"/>
      <c r="D359" s="180">
        <v>17</v>
      </c>
      <c r="E359" s="180"/>
      <c r="F359" s="61" t="s">
        <v>1933</v>
      </c>
      <c r="G359" s="61">
        <v>100</v>
      </c>
      <c r="H359" s="61"/>
      <c r="I359" s="61"/>
      <c r="J359" s="61"/>
      <c r="K359" s="61"/>
      <c r="L359" s="180"/>
    </row>
    <row r="360" spans="1:12" ht="15.75">
      <c r="A360" s="5"/>
      <c r="B360" s="368"/>
      <c r="C360" s="357"/>
      <c r="D360" s="180">
        <v>18</v>
      </c>
      <c r="E360" s="121"/>
      <c r="F360" s="61" t="s">
        <v>135</v>
      </c>
      <c r="G360" s="61">
        <v>17</v>
      </c>
      <c r="H360" s="61" t="s">
        <v>1294</v>
      </c>
      <c r="I360" s="61" t="s">
        <v>1301</v>
      </c>
      <c r="J360" s="61"/>
      <c r="K360" s="61"/>
      <c r="L360" s="121"/>
    </row>
    <row r="361" spans="1:12" ht="15.75">
      <c r="A361" s="5"/>
      <c r="B361" s="368"/>
      <c r="C361" s="357"/>
      <c r="D361" s="180">
        <v>19</v>
      </c>
      <c r="E361" s="180" t="s">
        <v>1524</v>
      </c>
      <c r="F361" s="61" t="s">
        <v>81</v>
      </c>
      <c r="G361" s="61" t="s">
        <v>1517</v>
      </c>
      <c r="H361" s="61"/>
      <c r="I361" s="61"/>
      <c r="J361" s="61"/>
      <c r="K361" s="61"/>
      <c r="L361" s="180"/>
    </row>
    <row r="362" spans="1:12" ht="15.75">
      <c r="A362" s="5"/>
      <c r="B362" s="368"/>
      <c r="C362" s="357"/>
      <c r="D362" s="180">
        <v>20</v>
      </c>
      <c r="E362" s="121" t="s">
        <v>163</v>
      </c>
      <c r="F362" s="61" t="s">
        <v>164</v>
      </c>
      <c r="G362" s="61">
        <v>1</v>
      </c>
      <c r="H362" s="61">
        <v>4</v>
      </c>
      <c r="I362" s="61" t="s">
        <v>165</v>
      </c>
      <c r="J362" s="61"/>
      <c r="K362" s="61"/>
      <c r="L362" s="121"/>
    </row>
    <row r="363" spans="1:12" ht="15.75">
      <c r="A363" s="5"/>
      <c r="B363" s="368"/>
      <c r="C363" s="357"/>
      <c r="D363" s="180">
        <v>21</v>
      </c>
      <c r="E363" s="121"/>
      <c r="F363" s="61" t="s">
        <v>131</v>
      </c>
      <c r="G363" s="61" t="s">
        <v>1301</v>
      </c>
      <c r="H363" s="61">
        <v>1</v>
      </c>
      <c r="I363" s="61"/>
      <c r="J363" s="61"/>
      <c r="K363" s="61"/>
      <c r="L363" s="121"/>
    </row>
    <row r="364" spans="1:12" ht="15.75">
      <c r="A364" s="5"/>
      <c r="B364" s="368"/>
      <c r="C364" s="357"/>
      <c r="D364" s="180">
        <v>22</v>
      </c>
      <c r="E364" s="121" t="s">
        <v>166</v>
      </c>
      <c r="F364" s="61" t="s">
        <v>127</v>
      </c>
      <c r="G364" s="61" t="s">
        <v>1331</v>
      </c>
      <c r="H364" s="61" t="s">
        <v>1301</v>
      </c>
      <c r="I364" s="61">
        <v>3</v>
      </c>
      <c r="J364" s="61"/>
      <c r="K364" s="61"/>
      <c r="L364" s="121"/>
    </row>
    <row r="365" spans="1:12" ht="15.75">
      <c r="A365" s="5"/>
      <c r="B365" s="368"/>
      <c r="C365" s="357"/>
      <c r="D365" s="180">
        <v>23</v>
      </c>
      <c r="E365" s="121" t="s">
        <v>194</v>
      </c>
      <c r="F365" s="61" t="s">
        <v>125</v>
      </c>
      <c r="G365" s="61" t="s">
        <v>1546</v>
      </c>
      <c r="H365" s="61"/>
      <c r="I365" s="61"/>
      <c r="J365" s="61"/>
      <c r="K365" s="61"/>
      <c r="L365" s="121"/>
    </row>
    <row r="366" spans="1:12" ht="15.75">
      <c r="A366" s="5"/>
      <c r="B366" s="368"/>
      <c r="C366" s="357"/>
      <c r="D366" s="180">
        <v>24</v>
      </c>
      <c r="E366" s="180" t="s">
        <v>1525</v>
      </c>
      <c r="F366" s="61" t="s">
        <v>81</v>
      </c>
      <c r="G366" s="61" t="s">
        <v>196</v>
      </c>
      <c r="H366" s="61" t="s">
        <v>197</v>
      </c>
      <c r="I366" s="61" t="s">
        <v>197</v>
      </c>
      <c r="J366" s="61"/>
      <c r="K366" s="61"/>
      <c r="L366" s="180"/>
    </row>
    <row r="367" spans="1:12" ht="15.75">
      <c r="A367" s="5"/>
      <c r="B367" s="368"/>
      <c r="C367" s="357"/>
      <c r="D367" s="180">
        <v>25</v>
      </c>
      <c r="E367" s="180"/>
      <c r="F367" s="61" t="s">
        <v>81</v>
      </c>
      <c r="G367" s="61" t="s">
        <v>198</v>
      </c>
      <c r="H367" s="61" t="s">
        <v>199</v>
      </c>
      <c r="I367" s="61" t="s">
        <v>197</v>
      </c>
      <c r="J367" s="61" t="s">
        <v>197</v>
      </c>
      <c r="K367" s="61">
        <v>1</v>
      </c>
      <c r="L367" s="180"/>
    </row>
    <row r="368" spans="1:12" ht="15.75">
      <c r="A368" s="5"/>
      <c r="B368" s="368"/>
      <c r="C368" s="357"/>
      <c r="D368" s="180">
        <v>26</v>
      </c>
      <c r="E368" s="121" t="s">
        <v>146</v>
      </c>
      <c r="F368" s="61" t="s">
        <v>123</v>
      </c>
      <c r="G368" s="61"/>
      <c r="H368" s="61"/>
      <c r="I368" s="61"/>
      <c r="J368" s="61"/>
      <c r="K368" s="61"/>
      <c r="L368" s="121"/>
    </row>
    <row r="369" spans="1:12" ht="15.75">
      <c r="A369" s="5"/>
      <c r="B369" s="368"/>
      <c r="C369" s="358"/>
      <c r="D369" s="121"/>
      <c r="E369" s="121"/>
      <c r="F369" s="61"/>
      <c r="G369" s="61"/>
      <c r="H369" s="61"/>
      <c r="I369" s="61"/>
      <c r="J369" s="61"/>
      <c r="K369" s="61"/>
      <c r="L369" s="121"/>
    </row>
    <row r="370" spans="1:12" ht="15.75">
      <c r="A370" s="5"/>
      <c r="B370" s="367" t="s">
        <v>1315</v>
      </c>
      <c r="C370" s="356" t="s">
        <v>1728</v>
      </c>
      <c r="D370" s="121">
        <v>1</v>
      </c>
      <c r="E370" s="121" t="s">
        <v>1641</v>
      </c>
      <c r="F370" s="61" t="s">
        <v>87</v>
      </c>
      <c r="G370" s="61" t="s">
        <v>1642</v>
      </c>
      <c r="H370" s="61"/>
      <c r="I370" s="61"/>
      <c r="J370" s="61"/>
      <c r="K370" s="61"/>
      <c r="L370" s="121"/>
    </row>
    <row r="371" spans="1:12" ht="15.75">
      <c r="A371" s="5"/>
      <c r="B371" s="368"/>
      <c r="C371" s="357"/>
      <c r="D371" s="121">
        <v>2</v>
      </c>
      <c r="E371" s="121" t="s">
        <v>142</v>
      </c>
      <c r="F371" s="61" t="s">
        <v>122</v>
      </c>
      <c r="G371" s="61"/>
      <c r="H371" s="61"/>
      <c r="I371" s="61"/>
      <c r="J371" s="61"/>
      <c r="K371" s="61"/>
      <c r="L371" s="121"/>
    </row>
    <row r="372" spans="1:12" ht="15.75">
      <c r="A372" s="5"/>
      <c r="B372" s="368"/>
      <c r="C372" s="357"/>
      <c r="D372" s="128">
        <v>3</v>
      </c>
      <c r="E372" s="121"/>
      <c r="F372" s="61" t="s">
        <v>125</v>
      </c>
      <c r="G372" s="61">
        <v>100</v>
      </c>
      <c r="H372" s="61"/>
      <c r="I372" s="61"/>
      <c r="J372" s="61"/>
      <c r="K372" s="61"/>
      <c r="L372" s="121"/>
    </row>
    <row r="373" spans="1:12" ht="15.75">
      <c r="A373" s="5"/>
      <c r="B373" s="368"/>
      <c r="C373" s="357"/>
      <c r="D373" s="128">
        <v>4</v>
      </c>
      <c r="E373" s="128" t="s">
        <v>1376</v>
      </c>
      <c r="F373" s="61" t="s">
        <v>130</v>
      </c>
      <c r="G373" s="61" t="s">
        <v>162</v>
      </c>
      <c r="H373" s="61" t="s">
        <v>1294</v>
      </c>
      <c r="I373" s="61"/>
      <c r="J373" s="61"/>
      <c r="K373" s="61"/>
      <c r="L373" s="121"/>
    </row>
    <row r="374" spans="1:12" ht="15.75">
      <c r="A374" s="5"/>
      <c r="B374" s="368"/>
      <c r="C374" s="357"/>
      <c r="D374" s="128">
        <v>5</v>
      </c>
      <c r="E374" s="128"/>
      <c r="F374" s="61" t="s">
        <v>131</v>
      </c>
      <c r="G374" s="61" t="s">
        <v>162</v>
      </c>
      <c r="H374" s="61">
        <v>1</v>
      </c>
      <c r="I374" s="61"/>
      <c r="J374" s="61"/>
      <c r="K374" s="61"/>
      <c r="L374" s="121"/>
    </row>
    <row r="375" spans="1:12" ht="15.75">
      <c r="A375" s="5"/>
      <c r="B375" s="368"/>
      <c r="C375" s="357"/>
      <c r="D375" s="180">
        <v>6</v>
      </c>
      <c r="E375" s="180"/>
      <c r="F375" s="61" t="s">
        <v>1933</v>
      </c>
      <c r="G375" s="61">
        <v>100</v>
      </c>
      <c r="H375" s="61"/>
      <c r="I375" s="61"/>
      <c r="J375" s="61"/>
      <c r="K375" s="61"/>
      <c r="L375" s="180"/>
    </row>
    <row r="376" spans="1:12" ht="15.75">
      <c r="A376" s="5"/>
      <c r="B376" s="368"/>
      <c r="C376" s="357"/>
      <c r="D376" s="180">
        <v>7</v>
      </c>
      <c r="E376" s="128"/>
      <c r="F376" s="61" t="s">
        <v>135</v>
      </c>
      <c r="G376" s="61">
        <v>6</v>
      </c>
      <c r="H376" s="61" t="s">
        <v>1294</v>
      </c>
      <c r="I376" s="61" t="s">
        <v>162</v>
      </c>
      <c r="J376" s="61"/>
      <c r="K376" s="61"/>
      <c r="L376" s="121"/>
    </row>
    <row r="377" spans="1:12" ht="15.75">
      <c r="A377" s="5"/>
      <c r="B377" s="368"/>
      <c r="C377" s="357"/>
      <c r="D377" s="180">
        <v>8</v>
      </c>
      <c r="E377" s="180"/>
      <c r="F377" s="61" t="s">
        <v>1933</v>
      </c>
      <c r="G377" s="61">
        <v>100</v>
      </c>
      <c r="H377" s="61"/>
      <c r="I377" s="61"/>
      <c r="J377" s="61"/>
      <c r="K377" s="61"/>
      <c r="L377" s="180"/>
    </row>
    <row r="378" spans="1:12" ht="15.75">
      <c r="A378" s="5"/>
      <c r="B378" s="368"/>
      <c r="C378" s="357"/>
      <c r="D378" s="180">
        <v>9</v>
      </c>
      <c r="E378" s="128"/>
      <c r="F378" s="61" t="s">
        <v>1372</v>
      </c>
      <c r="G378" s="61" t="s">
        <v>1371</v>
      </c>
      <c r="H378" s="61" t="s">
        <v>1294</v>
      </c>
      <c r="I378" s="61"/>
      <c r="J378" s="61"/>
      <c r="K378" s="61"/>
      <c r="L378" s="121"/>
    </row>
    <row r="379" spans="1:12" ht="15.75">
      <c r="A379" s="5"/>
      <c r="B379" s="368"/>
      <c r="C379" s="357"/>
      <c r="D379" s="180">
        <v>10</v>
      </c>
      <c r="E379" s="128"/>
      <c r="F379" s="61" t="s">
        <v>1379</v>
      </c>
      <c r="G379" s="61" t="s">
        <v>1371</v>
      </c>
      <c r="H379" s="61" t="s">
        <v>1374</v>
      </c>
      <c r="I379" s="61"/>
      <c r="J379" s="61"/>
      <c r="K379" s="61"/>
      <c r="L379" s="121"/>
    </row>
    <row r="380" spans="1:12" ht="15.75">
      <c r="A380" s="5"/>
      <c r="B380" s="368"/>
      <c r="C380" s="357"/>
      <c r="D380" s="180">
        <v>11</v>
      </c>
      <c r="E380" s="128"/>
      <c r="F380" s="61" t="s">
        <v>134</v>
      </c>
      <c r="G380" s="61">
        <v>8</v>
      </c>
      <c r="H380" s="61" t="s">
        <v>1371</v>
      </c>
      <c r="I380" s="61">
        <v>3</v>
      </c>
      <c r="J380" s="61"/>
      <c r="K380" s="61"/>
      <c r="L380" s="121"/>
    </row>
    <row r="381" spans="1:12" ht="15.75">
      <c r="A381" s="5"/>
      <c r="B381" s="368"/>
      <c r="C381" s="357"/>
      <c r="D381" s="180">
        <v>12</v>
      </c>
      <c r="E381" s="128"/>
      <c r="F381" s="61" t="s">
        <v>1372</v>
      </c>
      <c r="G381" s="61" t="s">
        <v>1371</v>
      </c>
      <c r="H381" s="61" t="s">
        <v>1294</v>
      </c>
      <c r="I381" s="61"/>
      <c r="J381" s="61"/>
      <c r="K381" s="61"/>
      <c r="L381" s="128"/>
    </row>
    <row r="382" spans="1:12" ht="15.75">
      <c r="A382" s="5"/>
      <c r="B382" s="368"/>
      <c r="C382" s="357"/>
      <c r="D382" s="180">
        <v>13</v>
      </c>
      <c r="E382" s="128"/>
      <c r="F382" s="61" t="s">
        <v>1375</v>
      </c>
      <c r="G382" s="61" t="s">
        <v>1371</v>
      </c>
      <c r="H382" s="61">
        <v>1</v>
      </c>
      <c r="I382" s="61"/>
      <c r="J382" s="61"/>
      <c r="K382" s="61"/>
      <c r="L382" s="128"/>
    </row>
    <row r="383" spans="1:12" ht="15.75">
      <c r="A383" s="5"/>
      <c r="B383" s="368"/>
      <c r="C383" s="357"/>
      <c r="D383" s="180">
        <v>14</v>
      </c>
      <c r="E383" s="128"/>
      <c r="F383" s="61" t="s">
        <v>1372</v>
      </c>
      <c r="G383" s="61" t="s">
        <v>1373</v>
      </c>
      <c r="H383" s="61" t="s">
        <v>1294</v>
      </c>
      <c r="I383" s="61"/>
      <c r="J383" s="61"/>
      <c r="K383" s="61"/>
      <c r="L383" s="128"/>
    </row>
    <row r="384" spans="1:12" ht="15.75">
      <c r="A384" s="5"/>
      <c r="B384" s="368"/>
      <c r="C384" s="357"/>
      <c r="D384" s="180">
        <v>15</v>
      </c>
      <c r="E384" s="128"/>
      <c r="F384" s="61" t="s">
        <v>1375</v>
      </c>
      <c r="G384" s="61" t="s">
        <v>1373</v>
      </c>
      <c r="H384" s="61">
        <v>4</v>
      </c>
      <c r="I384" s="61"/>
      <c r="J384" s="61"/>
      <c r="K384" s="61"/>
      <c r="L384" s="128"/>
    </row>
    <row r="385" spans="1:12" ht="15.75">
      <c r="A385" s="5"/>
      <c r="B385" s="368"/>
      <c r="C385" s="357"/>
      <c r="D385" s="180">
        <v>16</v>
      </c>
      <c r="E385" s="121" t="s">
        <v>166</v>
      </c>
      <c r="F385" s="61" t="s">
        <v>127</v>
      </c>
      <c r="G385" s="61" t="s">
        <v>1331</v>
      </c>
      <c r="H385" s="61" t="s">
        <v>162</v>
      </c>
      <c r="I385" s="61">
        <v>1</v>
      </c>
      <c r="J385" s="61"/>
      <c r="K385" s="61"/>
      <c r="L385" s="121"/>
    </row>
    <row r="386" spans="1:12" ht="15.75">
      <c r="A386" s="5"/>
      <c r="B386" s="368"/>
      <c r="C386" s="357"/>
      <c r="D386" s="180">
        <v>17</v>
      </c>
      <c r="E386" s="180"/>
      <c r="F386" s="61" t="s">
        <v>1933</v>
      </c>
      <c r="G386" s="61">
        <v>100</v>
      </c>
      <c r="H386" s="61"/>
      <c r="I386" s="61"/>
      <c r="J386" s="61"/>
      <c r="K386" s="61"/>
      <c r="L386" s="180"/>
    </row>
    <row r="387" spans="1:12" ht="15.75">
      <c r="A387" s="5"/>
      <c r="B387" s="368"/>
      <c r="C387" s="357"/>
      <c r="D387" s="180">
        <v>18</v>
      </c>
      <c r="E387" s="121"/>
      <c r="F387" s="61" t="s">
        <v>135</v>
      </c>
      <c r="G387" s="61">
        <v>17</v>
      </c>
      <c r="H387" s="61" t="s">
        <v>1294</v>
      </c>
      <c r="I387" s="61" t="s">
        <v>1301</v>
      </c>
      <c r="J387" s="61"/>
      <c r="K387" s="61"/>
      <c r="L387" s="121"/>
    </row>
    <row r="388" spans="1:12" ht="15.75">
      <c r="A388" s="5"/>
      <c r="B388" s="368"/>
      <c r="C388" s="357"/>
      <c r="D388" s="180">
        <v>19</v>
      </c>
      <c r="E388" s="121" t="s">
        <v>163</v>
      </c>
      <c r="F388" s="61" t="s">
        <v>164</v>
      </c>
      <c r="G388" s="61">
        <v>1</v>
      </c>
      <c r="H388" s="61">
        <v>4</v>
      </c>
      <c r="I388" s="61" t="s">
        <v>165</v>
      </c>
      <c r="J388" s="61"/>
      <c r="K388" s="61"/>
      <c r="L388" s="121"/>
    </row>
    <row r="389" spans="1:12" ht="15.75">
      <c r="A389" s="5"/>
      <c r="B389" s="368"/>
      <c r="C389" s="357"/>
      <c r="D389" s="180">
        <v>20</v>
      </c>
      <c r="E389" s="121"/>
      <c r="F389" s="61" t="s">
        <v>131</v>
      </c>
      <c r="G389" s="61" t="s">
        <v>1301</v>
      </c>
      <c r="H389" s="61">
        <v>1</v>
      </c>
      <c r="I389" s="61"/>
      <c r="J389" s="61"/>
      <c r="K389" s="61"/>
      <c r="L389" s="121"/>
    </row>
    <row r="390" spans="1:12" ht="15.75">
      <c r="A390" s="5"/>
      <c r="B390" s="368"/>
      <c r="C390" s="357"/>
      <c r="D390" s="180">
        <v>21</v>
      </c>
      <c r="E390" s="121" t="s">
        <v>166</v>
      </c>
      <c r="F390" s="61" t="s">
        <v>127</v>
      </c>
      <c r="G390" s="61" t="s">
        <v>1331</v>
      </c>
      <c r="H390" s="61" t="s">
        <v>1301</v>
      </c>
      <c r="I390" s="61">
        <v>3</v>
      </c>
      <c r="J390" s="61"/>
      <c r="K390" s="61"/>
      <c r="L390" s="121"/>
    </row>
    <row r="391" spans="1:12" ht="15.75">
      <c r="A391" s="5"/>
      <c r="B391" s="368"/>
      <c r="C391" s="357"/>
      <c r="D391" s="180">
        <v>22</v>
      </c>
      <c r="E391" s="121" t="s">
        <v>318</v>
      </c>
      <c r="F391" s="61" t="s">
        <v>125</v>
      </c>
      <c r="G391" s="61">
        <v>5000</v>
      </c>
      <c r="H391" s="61"/>
      <c r="I391" s="61"/>
      <c r="J391" s="61"/>
      <c r="K391" s="61"/>
      <c r="L391" s="121"/>
    </row>
    <row r="392" spans="1:12" ht="15.75">
      <c r="A392" s="5"/>
      <c r="B392" s="368"/>
      <c r="C392" s="357"/>
      <c r="D392" s="180">
        <v>23</v>
      </c>
      <c r="E392" s="121" t="s">
        <v>146</v>
      </c>
      <c r="F392" s="61" t="s">
        <v>123</v>
      </c>
      <c r="G392" s="61"/>
      <c r="H392" s="61"/>
      <c r="I392" s="61"/>
      <c r="J392" s="61"/>
      <c r="K392" s="61"/>
      <c r="L392" s="121"/>
    </row>
    <row r="393" spans="1:12" ht="15.75">
      <c r="A393" s="5"/>
      <c r="B393" s="368"/>
      <c r="C393" s="358"/>
      <c r="D393" s="121"/>
      <c r="E393" s="121"/>
      <c r="F393" s="61"/>
      <c r="G393" s="61"/>
      <c r="H393" s="61"/>
      <c r="I393" s="61"/>
      <c r="J393" s="61"/>
      <c r="K393" s="61"/>
      <c r="L393" s="121"/>
    </row>
    <row r="394" spans="1:12" ht="15.75">
      <c r="A394" s="5"/>
      <c r="B394" s="367" t="s">
        <v>1316</v>
      </c>
      <c r="C394" s="356" t="s">
        <v>1728</v>
      </c>
      <c r="D394" s="124">
        <v>1</v>
      </c>
      <c r="E394" s="124" t="s">
        <v>1641</v>
      </c>
      <c r="F394" s="61" t="s">
        <v>87</v>
      </c>
      <c r="G394" s="61" t="s">
        <v>1642</v>
      </c>
      <c r="H394" s="61"/>
      <c r="I394" s="61"/>
      <c r="J394" s="61"/>
      <c r="K394" s="61"/>
      <c r="L394" s="124"/>
    </row>
    <row r="395" spans="1:12" ht="15.75">
      <c r="A395" s="5"/>
      <c r="B395" s="368"/>
      <c r="C395" s="357"/>
      <c r="D395" s="124">
        <v>2</v>
      </c>
      <c r="E395" s="124" t="s">
        <v>142</v>
      </c>
      <c r="F395" s="61" t="s">
        <v>122</v>
      </c>
      <c r="G395" s="61"/>
      <c r="H395" s="61"/>
      <c r="I395" s="61"/>
      <c r="J395" s="61"/>
      <c r="K395" s="61"/>
      <c r="L395" s="124"/>
    </row>
    <row r="396" spans="1:12" ht="15.75">
      <c r="A396" s="5"/>
      <c r="B396" s="368"/>
      <c r="C396" s="357"/>
      <c r="D396" s="180">
        <v>3</v>
      </c>
      <c r="E396" s="124"/>
      <c r="F396" s="61" t="s">
        <v>125</v>
      </c>
      <c r="G396" s="61">
        <v>100</v>
      </c>
      <c r="H396" s="61"/>
      <c r="I396" s="61"/>
      <c r="J396" s="61"/>
      <c r="K396" s="61"/>
      <c r="L396" s="124"/>
    </row>
    <row r="397" spans="1:12" ht="15.75">
      <c r="A397" s="5"/>
      <c r="B397" s="368"/>
      <c r="C397" s="357"/>
      <c r="D397" s="180">
        <v>4</v>
      </c>
      <c r="E397" s="128" t="s">
        <v>1376</v>
      </c>
      <c r="F397" s="61" t="s">
        <v>130</v>
      </c>
      <c r="G397" s="61" t="s">
        <v>162</v>
      </c>
      <c r="H397" s="61" t="s">
        <v>1294</v>
      </c>
      <c r="I397" s="61"/>
      <c r="J397" s="61"/>
      <c r="K397" s="61"/>
      <c r="L397" s="124"/>
    </row>
    <row r="398" spans="1:12" ht="15.75">
      <c r="A398" s="5"/>
      <c r="B398" s="368"/>
      <c r="C398" s="357"/>
      <c r="D398" s="180">
        <v>5</v>
      </c>
      <c r="E398" s="128"/>
      <c r="F398" s="61" t="s">
        <v>131</v>
      </c>
      <c r="G398" s="61" t="s">
        <v>162</v>
      </c>
      <c r="H398" s="61">
        <v>1</v>
      </c>
      <c r="I398" s="61"/>
      <c r="J398" s="61"/>
      <c r="K398" s="61"/>
      <c r="L398" s="124"/>
    </row>
    <row r="399" spans="1:12" ht="15.75">
      <c r="A399" s="5"/>
      <c r="B399" s="368"/>
      <c r="C399" s="357"/>
      <c r="D399" s="180">
        <v>6</v>
      </c>
      <c r="E399" s="180"/>
      <c r="F399" s="61" t="s">
        <v>1933</v>
      </c>
      <c r="G399" s="61">
        <v>100</v>
      </c>
      <c r="H399" s="61"/>
      <c r="I399" s="61"/>
      <c r="J399" s="61"/>
      <c r="K399" s="61"/>
      <c r="L399" s="180"/>
    </row>
    <row r="400" spans="1:12" ht="15.75">
      <c r="A400" s="5"/>
      <c r="B400" s="368"/>
      <c r="C400" s="357"/>
      <c r="D400" s="180">
        <v>7</v>
      </c>
      <c r="E400" s="128"/>
      <c r="F400" s="61" t="s">
        <v>135</v>
      </c>
      <c r="G400" s="61">
        <v>6</v>
      </c>
      <c r="H400" s="61" t="s">
        <v>1294</v>
      </c>
      <c r="I400" s="61" t="s">
        <v>162</v>
      </c>
      <c r="J400" s="61"/>
      <c r="K400" s="61"/>
      <c r="L400" s="124"/>
    </row>
    <row r="401" spans="1:12" ht="15.75">
      <c r="A401" s="5"/>
      <c r="B401" s="368"/>
      <c r="C401" s="357"/>
      <c r="D401" s="180">
        <v>8</v>
      </c>
      <c r="E401" s="180"/>
      <c r="F401" s="61" t="s">
        <v>1933</v>
      </c>
      <c r="G401" s="61">
        <v>100</v>
      </c>
      <c r="H401" s="61"/>
      <c r="I401" s="61"/>
      <c r="J401" s="61"/>
      <c r="K401" s="61"/>
      <c r="L401" s="180"/>
    </row>
    <row r="402" spans="1:12" ht="15.75">
      <c r="A402" s="5"/>
      <c r="B402" s="368"/>
      <c r="C402" s="357"/>
      <c r="D402" s="180">
        <v>9</v>
      </c>
      <c r="E402" s="128"/>
      <c r="F402" s="61" t="s">
        <v>1372</v>
      </c>
      <c r="G402" s="61" t="s">
        <v>1371</v>
      </c>
      <c r="H402" s="61" t="s">
        <v>1294</v>
      </c>
      <c r="I402" s="61"/>
      <c r="J402" s="61"/>
      <c r="K402" s="61"/>
      <c r="L402" s="124"/>
    </row>
    <row r="403" spans="1:12" ht="15.75">
      <c r="A403" s="5"/>
      <c r="B403" s="368"/>
      <c r="C403" s="357"/>
      <c r="D403" s="180">
        <v>10</v>
      </c>
      <c r="E403" s="128"/>
      <c r="F403" s="61" t="s">
        <v>1379</v>
      </c>
      <c r="G403" s="61" t="s">
        <v>1371</v>
      </c>
      <c r="H403" s="61" t="s">
        <v>1374</v>
      </c>
      <c r="I403" s="61"/>
      <c r="J403" s="61"/>
      <c r="K403" s="61"/>
      <c r="L403" s="124"/>
    </row>
    <row r="404" spans="1:12" ht="15.75">
      <c r="A404" s="5"/>
      <c r="B404" s="368"/>
      <c r="C404" s="357"/>
      <c r="D404" s="180">
        <v>11</v>
      </c>
      <c r="E404" s="128"/>
      <c r="F404" s="61" t="s">
        <v>1377</v>
      </c>
      <c r="G404" s="61">
        <v>8</v>
      </c>
      <c r="H404" s="61">
        <v>2</v>
      </c>
      <c r="I404" s="61" t="s">
        <v>162</v>
      </c>
      <c r="J404" s="61"/>
      <c r="K404" s="61"/>
      <c r="L404" s="128"/>
    </row>
    <row r="405" spans="1:12" ht="15.75">
      <c r="A405" s="5"/>
      <c r="B405" s="368"/>
      <c r="C405" s="357"/>
      <c r="D405" s="180">
        <v>12</v>
      </c>
      <c r="E405" s="128"/>
      <c r="F405" s="61" t="s">
        <v>1372</v>
      </c>
      <c r="G405" s="61" t="s">
        <v>1371</v>
      </c>
      <c r="H405" s="61" t="s">
        <v>1294</v>
      </c>
      <c r="I405" s="61"/>
      <c r="J405" s="61"/>
      <c r="K405" s="61"/>
      <c r="L405" s="128"/>
    </row>
    <row r="406" spans="1:12" ht="15.75">
      <c r="A406" s="5"/>
      <c r="B406" s="368"/>
      <c r="C406" s="357"/>
      <c r="D406" s="180">
        <v>13</v>
      </c>
      <c r="E406" s="128"/>
      <c r="F406" s="61" t="s">
        <v>1372</v>
      </c>
      <c r="G406" s="61" t="s">
        <v>1373</v>
      </c>
      <c r="H406" s="61" t="s">
        <v>1294</v>
      </c>
      <c r="I406" s="61"/>
      <c r="J406" s="61"/>
      <c r="K406" s="61"/>
      <c r="L406" s="128"/>
    </row>
    <row r="407" spans="1:12" ht="15.75">
      <c r="A407" s="5"/>
      <c r="B407" s="368"/>
      <c r="C407" s="357"/>
      <c r="D407" s="180">
        <v>14</v>
      </c>
      <c r="E407" s="128"/>
      <c r="F407" s="61" t="s">
        <v>1375</v>
      </c>
      <c r="G407" s="61" t="s">
        <v>1373</v>
      </c>
      <c r="H407" s="61">
        <v>2</v>
      </c>
      <c r="I407" s="61"/>
      <c r="J407" s="61"/>
      <c r="K407" s="61"/>
      <c r="L407" s="128"/>
    </row>
    <row r="408" spans="1:12" ht="15.75">
      <c r="A408" s="5"/>
      <c r="B408" s="368"/>
      <c r="C408" s="357"/>
      <c r="D408" s="180">
        <v>15</v>
      </c>
      <c r="E408" s="124" t="s">
        <v>166</v>
      </c>
      <c r="F408" s="61" t="s">
        <v>127</v>
      </c>
      <c r="G408" s="61" t="s">
        <v>1331</v>
      </c>
      <c r="H408" s="61" t="s">
        <v>162</v>
      </c>
      <c r="I408" s="61">
        <v>1</v>
      </c>
      <c r="J408" s="61"/>
      <c r="K408" s="61"/>
      <c r="L408" s="124"/>
    </row>
    <row r="409" spans="1:12" ht="15.75">
      <c r="A409" s="5"/>
      <c r="B409" s="368"/>
      <c r="C409" s="357"/>
      <c r="D409" s="180">
        <v>16</v>
      </c>
      <c r="E409" s="180"/>
      <c r="F409" s="61" t="s">
        <v>1933</v>
      </c>
      <c r="G409" s="61">
        <v>100</v>
      </c>
      <c r="H409" s="61"/>
      <c r="I409" s="61"/>
      <c r="J409" s="61"/>
      <c r="K409" s="61"/>
      <c r="L409" s="180"/>
    </row>
    <row r="410" spans="1:12" ht="15.75">
      <c r="A410" s="5"/>
      <c r="B410" s="368"/>
      <c r="C410" s="357"/>
      <c r="D410" s="180">
        <v>17</v>
      </c>
      <c r="E410" s="124"/>
      <c r="F410" s="61" t="s">
        <v>135</v>
      </c>
      <c r="G410" s="61">
        <v>16</v>
      </c>
      <c r="H410" s="61" t="s">
        <v>1294</v>
      </c>
      <c r="I410" s="61" t="s">
        <v>1301</v>
      </c>
      <c r="J410" s="61"/>
      <c r="K410" s="61"/>
      <c r="L410" s="124"/>
    </row>
    <row r="411" spans="1:12" ht="15.75">
      <c r="A411" s="5"/>
      <c r="B411" s="368"/>
      <c r="C411" s="357"/>
      <c r="D411" s="180">
        <v>18</v>
      </c>
      <c r="E411" s="180" t="s">
        <v>1524</v>
      </c>
      <c r="F411" s="61" t="s">
        <v>81</v>
      </c>
      <c r="G411" s="61" t="s">
        <v>1517</v>
      </c>
      <c r="H411" s="61"/>
      <c r="I411" s="61"/>
      <c r="J411" s="61"/>
      <c r="K411" s="61"/>
      <c r="L411" s="180"/>
    </row>
    <row r="412" spans="1:12" ht="15.75">
      <c r="A412" s="5"/>
      <c r="B412" s="368"/>
      <c r="C412" s="357"/>
      <c r="D412" s="180">
        <v>19</v>
      </c>
      <c r="E412" s="124" t="s">
        <v>163</v>
      </c>
      <c r="F412" s="61" t="s">
        <v>164</v>
      </c>
      <c r="G412" s="61">
        <v>1</v>
      </c>
      <c r="H412" s="61">
        <v>4</v>
      </c>
      <c r="I412" s="61" t="s">
        <v>165</v>
      </c>
      <c r="J412" s="61"/>
      <c r="K412" s="61"/>
      <c r="L412" s="124"/>
    </row>
    <row r="413" spans="1:12" ht="15.75">
      <c r="A413" s="5"/>
      <c r="B413" s="368"/>
      <c r="C413" s="357"/>
      <c r="D413" s="180">
        <v>20</v>
      </c>
      <c r="E413" s="124" t="s">
        <v>166</v>
      </c>
      <c r="F413" s="61" t="s">
        <v>127</v>
      </c>
      <c r="G413" s="61" t="s">
        <v>1331</v>
      </c>
      <c r="H413" s="61" t="s">
        <v>162</v>
      </c>
      <c r="I413" s="61">
        <v>3</v>
      </c>
      <c r="J413" s="61"/>
      <c r="K413" s="61"/>
      <c r="L413" s="124"/>
    </row>
    <row r="414" spans="1:12" ht="15.75">
      <c r="A414" s="5"/>
      <c r="B414" s="368"/>
      <c r="C414" s="357"/>
      <c r="D414" s="180">
        <v>21</v>
      </c>
      <c r="E414" s="124" t="s">
        <v>194</v>
      </c>
      <c r="F414" s="61" t="s">
        <v>125</v>
      </c>
      <c r="G414" s="61" t="s">
        <v>1546</v>
      </c>
      <c r="H414" s="61"/>
      <c r="I414" s="61"/>
      <c r="J414" s="61"/>
      <c r="K414" s="61"/>
      <c r="L414" s="124"/>
    </row>
    <row r="415" spans="1:12" ht="15.75">
      <c r="A415" s="5"/>
      <c r="B415" s="368"/>
      <c r="C415" s="357"/>
      <c r="D415" s="180">
        <v>22</v>
      </c>
      <c r="E415" s="180" t="s">
        <v>1525</v>
      </c>
      <c r="F415" s="61" t="s">
        <v>81</v>
      </c>
      <c r="G415" s="61" t="s">
        <v>196</v>
      </c>
      <c r="H415" s="61" t="s">
        <v>197</v>
      </c>
      <c r="I415" s="61" t="s">
        <v>197</v>
      </c>
      <c r="J415" s="61"/>
      <c r="K415" s="61"/>
      <c r="L415" s="180"/>
    </row>
    <row r="416" spans="1:12" ht="15.75">
      <c r="A416" s="5"/>
      <c r="B416" s="368"/>
      <c r="C416" s="357"/>
      <c r="D416" s="180">
        <v>23</v>
      </c>
      <c r="E416" s="180"/>
      <c r="F416" s="61" t="s">
        <v>81</v>
      </c>
      <c r="G416" s="61" t="s">
        <v>198</v>
      </c>
      <c r="H416" s="61" t="s">
        <v>199</v>
      </c>
      <c r="I416" s="61" t="s">
        <v>197</v>
      </c>
      <c r="J416" s="61" t="s">
        <v>197</v>
      </c>
      <c r="K416" s="61">
        <v>1</v>
      </c>
      <c r="L416" s="180"/>
    </row>
    <row r="417" spans="1:12" ht="15.75">
      <c r="A417" s="5"/>
      <c r="B417" s="368"/>
      <c r="C417" s="357"/>
      <c r="D417" s="180">
        <v>24</v>
      </c>
      <c r="E417" s="124" t="s">
        <v>146</v>
      </c>
      <c r="F417" s="61" t="s">
        <v>123</v>
      </c>
      <c r="G417" s="61"/>
      <c r="H417" s="61"/>
      <c r="I417" s="61"/>
      <c r="J417" s="61"/>
      <c r="K417" s="61"/>
      <c r="L417" s="124"/>
    </row>
    <row r="418" spans="1:12" ht="15.75">
      <c r="A418" s="5"/>
      <c r="B418" s="368"/>
      <c r="C418" s="358"/>
      <c r="D418" s="124"/>
      <c r="E418" s="124"/>
      <c r="F418" s="61"/>
      <c r="G418" s="61"/>
      <c r="H418" s="61"/>
      <c r="I418" s="61"/>
      <c r="J418" s="61"/>
      <c r="K418" s="61"/>
      <c r="L418" s="124"/>
    </row>
    <row r="419" spans="1:12" ht="15.75">
      <c r="A419" s="5"/>
      <c r="B419" s="367" t="s">
        <v>1317</v>
      </c>
      <c r="C419" s="356" t="s">
        <v>1728</v>
      </c>
      <c r="D419" s="124">
        <v>1</v>
      </c>
      <c r="E419" s="124" t="s">
        <v>1641</v>
      </c>
      <c r="F419" s="61" t="s">
        <v>87</v>
      </c>
      <c r="G419" s="61" t="s">
        <v>1642</v>
      </c>
      <c r="H419" s="61"/>
      <c r="I419" s="61"/>
      <c r="J419" s="61"/>
      <c r="K419" s="61"/>
      <c r="L419" s="124"/>
    </row>
    <row r="420" spans="1:12" ht="15.75">
      <c r="A420" s="5"/>
      <c r="B420" s="368"/>
      <c r="C420" s="357"/>
      <c r="D420" s="124">
        <v>2</v>
      </c>
      <c r="E420" s="124" t="s">
        <v>142</v>
      </c>
      <c r="F420" s="61" t="s">
        <v>122</v>
      </c>
      <c r="G420" s="61"/>
      <c r="H420" s="61"/>
      <c r="I420" s="61"/>
      <c r="J420" s="61"/>
      <c r="K420" s="61"/>
      <c r="L420" s="124"/>
    </row>
    <row r="421" spans="1:12" ht="15.75">
      <c r="A421" s="5"/>
      <c r="B421" s="368"/>
      <c r="C421" s="357"/>
      <c r="D421" s="128">
        <v>3</v>
      </c>
      <c r="E421" s="124"/>
      <c r="F421" s="61" t="s">
        <v>125</v>
      </c>
      <c r="G421" s="61">
        <v>100</v>
      </c>
      <c r="H421" s="61"/>
      <c r="I421" s="61"/>
      <c r="J421" s="61"/>
      <c r="K421" s="61"/>
      <c r="L421" s="124"/>
    </row>
    <row r="422" spans="1:12" ht="15.75">
      <c r="A422" s="5"/>
      <c r="B422" s="368"/>
      <c r="C422" s="357"/>
      <c r="D422" s="128">
        <v>4</v>
      </c>
      <c r="E422" s="128" t="s">
        <v>1376</v>
      </c>
      <c r="F422" s="61" t="s">
        <v>130</v>
      </c>
      <c r="G422" s="61" t="s">
        <v>162</v>
      </c>
      <c r="H422" s="61" t="s">
        <v>1294</v>
      </c>
      <c r="I422" s="61"/>
      <c r="J422" s="61"/>
      <c r="K422" s="61"/>
      <c r="L422" s="124"/>
    </row>
    <row r="423" spans="1:12" ht="15.75">
      <c r="A423" s="5"/>
      <c r="B423" s="368"/>
      <c r="C423" s="357"/>
      <c r="D423" s="128">
        <v>5</v>
      </c>
      <c r="E423" s="128"/>
      <c r="F423" s="61" t="s">
        <v>131</v>
      </c>
      <c r="G423" s="61" t="s">
        <v>162</v>
      </c>
      <c r="H423" s="61">
        <v>1</v>
      </c>
      <c r="I423" s="61"/>
      <c r="J423" s="61"/>
      <c r="K423" s="61"/>
      <c r="L423" s="124"/>
    </row>
    <row r="424" spans="1:12" ht="15.75">
      <c r="A424" s="5"/>
      <c r="B424" s="368"/>
      <c r="C424" s="357"/>
      <c r="D424" s="180">
        <v>6</v>
      </c>
      <c r="E424" s="180"/>
      <c r="F424" s="61" t="s">
        <v>1933</v>
      </c>
      <c r="G424" s="61">
        <v>100</v>
      </c>
      <c r="H424" s="61"/>
      <c r="I424" s="61"/>
      <c r="J424" s="61"/>
      <c r="K424" s="61"/>
      <c r="L424" s="180"/>
    </row>
    <row r="425" spans="1:12" ht="15.75">
      <c r="A425" s="5"/>
      <c r="B425" s="368"/>
      <c r="C425" s="357"/>
      <c r="D425" s="180">
        <v>7</v>
      </c>
      <c r="E425" s="128"/>
      <c r="F425" s="61" t="s">
        <v>135</v>
      </c>
      <c r="G425" s="61">
        <v>6</v>
      </c>
      <c r="H425" s="61" t="s">
        <v>1294</v>
      </c>
      <c r="I425" s="61" t="s">
        <v>162</v>
      </c>
      <c r="J425" s="61"/>
      <c r="K425" s="61"/>
      <c r="L425" s="124"/>
    </row>
    <row r="426" spans="1:12" ht="15.75">
      <c r="A426" s="5"/>
      <c r="B426" s="368"/>
      <c r="C426" s="357"/>
      <c r="D426" s="180">
        <v>8</v>
      </c>
      <c r="E426" s="180"/>
      <c r="F426" s="61" t="s">
        <v>1933</v>
      </c>
      <c r="G426" s="61">
        <v>100</v>
      </c>
      <c r="H426" s="61"/>
      <c r="I426" s="61"/>
      <c r="J426" s="61"/>
      <c r="K426" s="61"/>
      <c r="L426" s="180"/>
    </row>
    <row r="427" spans="1:12" ht="15.75">
      <c r="A427" s="5"/>
      <c r="B427" s="368"/>
      <c r="C427" s="357"/>
      <c r="D427" s="180">
        <v>9</v>
      </c>
      <c r="E427" s="128"/>
      <c r="F427" s="61" t="s">
        <v>1372</v>
      </c>
      <c r="G427" s="61" t="s">
        <v>1371</v>
      </c>
      <c r="H427" s="61" t="s">
        <v>1294</v>
      </c>
      <c r="I427" s="61"/>
      <c r="J427" s="61"/>
      <c r="K427" s="61"/>
      <c r="L427" s="124"/>
    </row>
    <row r="428" spans="1:12" ht="15.75">
      <c r="A428" s="5"/>
      <c r="B428" s="368"/>
      <c r="C428" s="357"/>
      <c r="D428" s="180">
        <v>10</v>
      </c>
      <c r="E428" s="128"/>
      <c r="F428" s="61" t="s">
        <v>1379</v>
      </c>
      <c r="G428" s="61" t="s">
        <v>1371</v>
      </c>
      <c r="H428" s="61" t="s">
        <v>1374</v>
      </c>
      <c r="I428" s="61"/>
      <c r="J428" s="61"/>
      <c r="K428" s="61"/>
      <c r="L428" s="124"/>
    </row>
    <row r="429" spans="1:12" ht="15.75">
      <c r="A429" s="5"/>
      <c r="B429" s="368"/>
      <c r="C429" s="357"/>
      <c r="D429" s="180">
        <v>11</v>
      </c>
      <c r="E429" s="128"/>
      <c r="F429" s="61" t="s">
        <v>1377</v>
      </c>
      <c r="G429" s="61">
        <v>8</v>
      </c>
      <c r="H429" s="61">
        <v>2</v>
      </c>
      <c r="I429" s="61" t="s">
        <v>162</v>
      </c>
      <c r="J429" s="61"/>
      <c r="K429" s="61"/>
      <c r="L429" s="128"/>
    </row>
    <row r="430" spans="1:12" ht="15.75">
      <c r="A430" s="5"/>
      <c r="B430" s="368"/>
      <c r="C430" s="357"/>
      <c r="D430" s="180">
        <v>12</v>
      </c>
      <c r="E430" s="128"/>
      <c r="F430" s="61" t="s">
        <v>1372</v>
      </c>
      <c r="G430" s="61" t="s">
        <v>1371</v>
      </c>
      <c r="H430" s="61" t="s">
        <v>1294</v>
      </c>
      <c r="I430" s="61"/>
      <c r="J430" s="61"/>
      <c r="K430" s="61"/>
      <c r="L430" s="128"/>
    </row>
    <row r="431" spans="1:12" ht="15.75">
      <c r="A431" s="5"/>
      <c r="B431" s="368"/>
      <c r="C431" s="357"/>
      <c r="D431" s="180">
        <v>13</v>
      </c>
      <c r="E431" s="128"/>
      <c r="F431" s="61" t="s">
        <v>1372</v>
      </c>
      <c r="G431" s="61" t="s">
        <v>1373</v>
      </c>
      <c r="H431" s="61" t="s">
        <v>1294</v>
      </c>
      <c r="I431" s="61"/>
      <c r="J431" s="61"/>
      <c r="K431" s="61"/>
      <c r="L431" s="128"/>
    </row>
    <row r="432" spans="1:12" ht="15.75">
      <c r="A432" s="5"/>
      <c r="B432" s="368"/>
      <c r="C432" s="357"/>
      <c r="D432" s="180">
        <v>14</v>
      </c>
      <c r="E432" s="128"/>
      <c r="F432" s="61" t="s">
        <v>1375</v>
      </c>
      <c r="G432" s="61" t="s">
        <v>1373</v>
      </c>
      <c r="H432" s="61">
        <v>2</v>
      </c>
      <c r="I432" s="61"/>
      <c r="J432" s="61"/>
      <c r="K432" s="61"/>
      <c r="L432" s="128"/>
    </row>
    <row r="433" spans="1:12" ht="15.75">
      <c r="A433" s="5"/>
      <c r="B433" s="368"/>
      <c r="C433" s="357"/>
      <c r="D433" s="180">
        <v>15</v>
      </c>
      <c r="E433" s="124" t="s">
        <v>166</v>
      </c>
      <c r="F433" s="61" t="s">
        <v>127</v>
      </c>
      <c r="G433" s="61" t="s">
        <v>1331</v>
      </c>
      <c r="H433" s="61" t="s">
        <v>162</v>
      </c>
      <c r="I433" s="61">
        <v>1</v>
      </c>
      <c r="J433" s="61"/>
      <c r="K433" s="61"/>
      <c r="L433" s="124"/>
    </row>
    <row r="434" spans="1:12" ht="15.75">
      <c r="A434" s="5"/>
      <c r="B434" s="368"/>
      <c r="C434" s="357"/>
      <c r="D434" s="180">
        <v>16</v>
      </c>
      <c r="E434" s="180"/>
      <c r="F434" s="61" t="s">
        <v>1933</v>
      </c>
      <c r="G434" s="61">
        <v>100</v>
      </c>
      <c r="H434" s="61"/>
      <c r="I434" s="61"/>
      <c r="J434" s="61"/>
      <c r="K434" s="61"/>
      <c r="L434" s="180"/>
    </row>
    <row r="435" spans="1:12" ht="15.75">
      <c r="A435" s="5"/>
      <c r="B435" s="368"/>
      <c r="C435" s="357"/>
      <c r="D435" s="180">
        <v>17</v>
      </c>
      <c r="E435" s="124"/>
      <c r="F435" s="61" t="s">
        <v>135</v>
      </c>
      <c r="G435" s="61">
        <v>16</v>
      </c>
      <c r="H435" s="61" t="s">
        <v>1294</v>
      </c>
      <c r="I435" s="61" t="s">
        <v>1301</v>
      </c>
      <c r="J435" s="61"/>
      <c r="K435" s="61"/>
      <c r="L435" s="124"/>
    </row>
    <row r="436" spans="1:12" ht="15.75">
      <c r="A436" s="5"/>
      <c r="B436" s="368"/>
      <c r="C436" s="357"/>
      <c r="D436" s="180">
        <v>18</v>
      </c>
      <c r="E436" s="124" t="s">
        <v>163</v>
      </c>
      <c r="F436" s="61" t="s">
        <v>164</v>
      </c>
      <c r="G436" s="61">
        <v>1</v>
      </c>
      <c r="H436" s="61">
        <v>4</v>
      </c>
      <c r="I436" s="61" t="s">
        <v>165</v>
      </c>
      <c r="J436" s="61"/>
      <c r="K436" s="61"/>
      <c r="L436" s="124"/>
    </row>
    <row r="437" spans="1:12" ht="15.75">
      <c r="A437" s="5"/>
      <c r="B437" s="368"/>
      <c r="C437" s="357"/>
      <c r="D437" s="180">
        <v>19</v>
      </c>
      <c r="E437" s="124" t="s">
        <v>166</v>
      </c>
      <c r="F437" s="61" t="s">
        <v>127</v>
      </c>
      <c r="G437" s="61" t="s">
        <v>1331</v>
      </c>
      <c r="H437" s="61" t="s">
        <v>162</v>
      </c>
      <c r="I437" s="61">
        <v>3</v>
      </c>
      <c r="J437" s="61"/>
      <c r="K437" s="61"/>
      <c r="L437" s="124"/>
    </row>
    <row r="438" spans="1:12" ht="15.75">
      <c r="A438" s="5"/>
      <c r="B438" s="368"/>
      <c r="C438" s="357"/>
      <c r="D438" s="180">
        <v>20</v>
      </c>
      <c r="E438" s="124" t="s">
        <v>318</v>
      </c>
      <c r="F438" s="61" t="s">
        <v>125</v>
      </c>
      <c r="G438" s="61">
        <v>5000</v>
      </c>
      <c r="H438" s="61"/>
      <c r="I438" s="61"/>
      <c r="J438" s="61"/>
      <c r="K438" s="61"/>
      <c r="L438" s="124"/>
    </row>
    <row r="439" spans="1:12" ht="15.75">
      <c r="A439" s="5"/>
      <c r="B439" s="368"/>
      <c r="C439" s="357"/>
      <c r="D439" s="180">
        <v>21</v>
      </c>
      <c r="E439" s="124" t="s">
        <v>146</v>
      </c>
      <c r="F439" s="61" t="s">
        <v>123</v>
      </c>
      <c r="G439" s="61"/>
      <c r="H439" s="61"/>
      <c r="I439" s="61"/>
      <c r="J439" s="61"/>
      <c r="K439" s="61"/>
      <c r="L439" s="124"/>
    </row>
    <row r="440" spans="1:12" ht="15.75">
      <c r="A440" s="5"/>
      <c r="B440" s="368"/>
      <c r="C440" s="358"/>
      <c r="D440" s="124"/>
      <c r="E440" s="124"/>
      <c r="F440" s="61"/>
      <c r="G440" s="61"/>
      <c r="H440" s="61"/>
      <c r="I440" s="61"/>
      <c r="J440" s="61"/>
      <c r="K440" s="61"/>
      <c r="L440" s="124"/>
    </row>
    <row r="441" spans="1:12" ht="15.75">
      <c r="A441" s="5"/>
      <c r="B441" s="367" t="s">
        <v>1318</v>
      </c>
      <c r="C441" s="356" t="s">
        <v>1728</v>
      </c>
      <c r="D441" s="124">
        <v>1</v>
      </c>
      <c r="E441" s="124" t="s">
        <v>1641</v>
      </c>
      <c r="F441" s="61" t="s">
        <v>87</v>
      </c>
      <c r="G441" s="61" t="s">
        <v>1642</v>
      </c>
      <c r="H441" s="61"/>
      <c r="I441" s="61"/>
      <c r="J441" s="61"/>
      <c r="K441" s="61"/>
      <c r="L441" s="124"/>
    </row>
    <row r="442" spans="1:12" ht="15.75">
      <c r="A442" s="5"/>
      <c r="B442" s="368"/>
      <c r="C442" s="357"/>
      <c r="D442" s="124">
        <v>2</v>
      </c>
      <c r="E442" s="124" t="s">
        <v>142</v>
      </c>
      <c r="F442" s="61" t="s">
        <v>122</v>
      </c>
      <c r="G442" s="61"/>
      <c r="H442" s="61"/>
      <c r="I442" s="61"/>
      <c r="J442" s="61"/>
      <c r="K442" s="61"/>
      <c r="L442" s="124"/>
    </row>
    <row r="443" spans="1:12" ht="15.75">
      <c r="A443" s="5"/>
      <c r="B443" s="368"/>
      <c r="C443" s="357"/>
      <c r="D443" s="180">
        <v>3</v>
      </c>
      <c r="E443" s="124"/>
      <c r="F443" s="61" t="s">
        <v>125</v>
      </c>
      <c r="G443" s="61">
        <v>100</v>
      </c>
      <c r="H443" s="61"/>
      <c r="I443" s="61"/>
      <c r="J443" s="61"/>
      <c r="K443" s="61"/>
      <c r="L443" s="124"/>
    </row>
    <row r="444" spans="1:12" ht="15.75">
      <c r="A444" s="5"/>
      <c r="B444" s="368"/>
      <c r="C444" s="357"/>
      <c r="D444" s="180">
        <v>4</v>
      </c>
      <c r="E444" s="128" t="s">
        <v>1376</v>
      </c>
      <c r="F444" s="61" t="s">
        <v>130</v>
      </c>
      <c r="G444" s="61" t="s">
        <v>162</v>
      </c>
      <c r="H444" s="61" t="s">
        <v>1294</v>
      </c>
      <c r="I444" s="61"/>
      <c r="J444" s="61"/>
      <c r="K444" s="61"/>
      <c r="L444" s="124"/>
    </row>
    <row r="445" spans="1:12" ht="15.75">
      <c r="A445" s="5"/>
      <c r="B445" s="368"/>
      <c r="C445" s="357"/>
      <c r="D445" s="180">
        <v>5</v>
      </c>
      <c r="E445" s="128"/>
      <c r="F445" s="61" t="s">
        <v>131</v>
      </c>
      <c r="G445" s="61" t="s">
        <v>162</v>
      </c>
      <c r="H445" s="61">
        <v>1</v>
      </c>
      <c r="I445" s="61"/>
      <c r="J445" s="61"/>
      <c r="K445" s="61"/>
      <c r="L445" s="124"/>
    </row>
    <row r="446" spans="1:12" ht="15.75">
      <c r="A446" s="5"/>
      <c r="B446" s="368"/>
      <c r="C446" s="357"/>
      <c r="D446" s="180">
        <v>6</v>
      </c>
      <c r="E446" s="180"/>
      <c r="F446" s="61" t="s">
        <v>1933</v>
      </c>
      <c r="G446" s="61">
        <v>100</v>
      </c>
      <c r="H446" s="61"/>
      <c r="I446" s="61"/>
      <c r="J446" s="61"/>
      <c r="K446" s="61"/>
      <c r="L446" s="180"/>
    </row>
    <row r="447" spans="1:12" ht="15.75">
      <c r="A447" s="5"/>
      <c r="B447" s="368"/>
      <c r="C447" s="357"/>
      <c r="D447" s="180">
        <v>7</v>
      </c>
      <c r="E447" s="128"/>
      <c r="F447" s="61" t="s">
        <v>135</v>
      </c>
      <c r="G447" s="61">
        <v>6</v>
      </c>
      <c r="H447" s="61" t="s">
        <v>1294</v>
      </c>
      <c r="I447" s="61" t="s">
        <v>162</v>
      </c>
      <c r="J447" s="61"/>
      <c r="K447" s="61"/>
      <c r="L447" s="124"/>
    </row>
    <row r="448" spans="1:12" ht="15.75">
      <c r="A448" s="5"/>
      <c r="B448" s="368"/>
      <c r="C448" s="357"/>
      <c r="D448" s="180">
        <v>8</v>
      </c>
      <c r="E448" s="180"/>
      <c r="F448" s="61" t="s">
        <v>1933</v>
      </c>
      <c r="G448" s="61">
        <v>100</v>
      </c>
      <c r="H448" s="61"/>
      <c r="I448" s="61"/>
      <c r="J448" s="61"/>
      <c r="K448" s="61"/>
      <c r="L448" s="180"/>
    </row>
    <row r="449" spans="1:12" ht="15.75">
      <c r="A449" s="5"/>
      <c r="B449" s="368"/>
      <c r="C449" s="357"/>
      <c r="D449" s="180">
        <v>9</v>
      </c>
      <c r="E449" s="128"/>
      <c r="F449" s="61" t="s">
        <v>1372</v>
      </c>
      <c r="G449" s="61" t="s">
        <v>1371</v>
      </c>
      <c r="H449" s="61" t="s">
        <v>1294</v>
      </c>
      <c r="I449" s="61"/>
      <c r="J449" s="61"/>
      <c r="K449" s="61"/>
      <c r="L449" s="124"/>
    </row>
    <row r="450" spans="1:12" ht="15.75">
      <c r="A450" s="5"/>
      <c r="B450" s="368"/>
      <c r="C450" s="357"/>
      <c r="D450" s="180">
        <v>10</v>
      </c>
      <c r="E450" s="128"/>
      <c r="F450" s="61" t="s">
        <v>1379</v>
      </c>
      <c r="G450" s="61" t="s">
        <v>1371</v>
      </c>
      <c r="H450" s="61" t="s">
        <v>1374</v>
      </c>
      <c r="I450" s="61"/>
      <c r="J450" s="61"/>
      <c r="K450" s="61"/>
      <c r="L450" s="124"/>
    </row>
    <row r="451" spans="1:12" ht="15.75">
      <c r="A451" s="5"/>
      <c r="B451" s="368"/>
      <c r="C451" s="357"/>
      <c r="D451" s="180">
        <v>11</v>
      </c>
      <c r="E451" s="128"/>
      <c r="F451" s="61" t="s">
        <v>1377</v>
      </c>
      <c r="G451" s="61">
        <v>8</v>
      </c>
      <c r="H451" s="61">
        <v>2</v>
      </c>
      <c r="I451" s="61" t="s">
        <v>162</v>
      </c>
      <c r="J451" s="61"/>
      <c r="K451" s="61"/>
      <c r="L451" s="128"/>
    </row>
    <row r="452" spans="1:12" ht="15.75">
      <c r="A452" s="5"/>
      <c r="B452" s="368"/>
      <c r="C452" s="357"/>
      <c r="D452" s="180">
        <v>12</v>
      </c>
      <c r="E452" s="128"/>
      <c r="F452" s="61" t="s">
        <v>1372</v>
      </c>
      <c r="G452" s="61" t="s">
        <v>1371</v>
      </c>
      <c r="H452" s="61" t="s">
        <v>1294</v>
      </c>
      <c r="I452" s="61"/>
      <c r="J452" s="61"/>
      <c r="K452" s="61"/>
      <c r="L452" s="128"/>
    </row>
    <row r="453" spans="1:12" ht="15.75">
      <c r="A453" s="5"/>
      <c r="B453" s="368"/>
      <c r="C453" s="357"/>
      <c r="D453" s="180">
        <v>13</v>
      </c>
      <c r="E453" s="128"/>
      <c r="F453" s="61" t="s">
        <v>1372</v>
      </c>
      <c r="G453" s="61" t="s">
        <v>1373</v>
      </c>
      <c r="H453" s="61" t="s">
        <v>1294</v>
      </c>
      <c r="I453" s="61"/>
      <c r="J453" s="61"/>
      <c r="K453" s="61"/>
      <c r="L453" s="128"/>
    </row>
    <row r="454" spans="1:12" ht="15.75">
      <c r="A454" s="5"/>
      <c r="B454" s="368"/>
      <c r="C454" s="357"/>
      <c r="D454" s="180">
        <v>14</v>
      </c>
      <c r="E454" s="128"/>
      <c r="F454" s="61" t="s">
        <v>1375</v>
      </c>
      <c r="G454" s="61" t="s">
        <v>1373</v>
      </c>
      <c r="H454" s="61">
        <v>2</v>
      </c>
      <c r="I454" s="61"/>
      <c r="J454" s="61"/>
      <c r="K454" s="61"/>
      <c r="L454" s="128"/>
    </row>
    <row r="455" spans="1:12" ht="15.75">
      <c r="A455" s="5"/>
      <c r="B455" s="368"/>
      <c r="C455" s="357"/>
      <c r="D455" s="180">
        <v>15</v>
      </c>
      <c r="E455" s="124" t="s">
        <v>166</v>
      </c>
      <c r="F455" s="61" t="s">
        <v>127</v>
      </c>
      <c r="G455" s="61" t="s">
        <v>1331</v>
      </c>
      <c r="H455" s="61" t="s">
        <v>162</v>
      </c>
      <c r="I455" s="61">
        <v>1</v>
      </c>
      <c r="J455" s="61"/>
      <c r="K455" s="61"/>
      <c r="L455" s="124"/>
    </row>
    <row r="456" spans="1:12" ht="15.75">
      <c r="A456" s="5"/>
      <c r="B456" s="368"/>
      <c r="C456" s="357"/>
      <c r="D456" s="180">
        <v>16</v>
      </c>
      <c r="E456" s="180"/>
      <c r="F456" s="61" t="s">
        <v>1933</v>
      </c>
      <c r="G456" s="61">
        <v>100</v>
      </c>
      <c r="H456" s="61"/>
      <c r="I456" s="61"/>
      <c r="J456" s="61"/>
      <c r="K456" s="61"/>
      <c r="L456" s="180"/>
    </row>
    <row r="457" spans="1:12" ht="15.75">
      <c r="A457" s="5"/>
      <c r="B457" s="368"/>
      <c r="C457" s="357"/>
      <c r="D457" s="180">
        <v>17</v>
      </c>
      <c r="E457" s="124"/>
      <c r="F457" s="61" t="s">
        <v>135</v>
      </c>
      <c r="G457" s="61">
        <v>16</v>
      </c>
      <c r="H457" s="61" t="s">
        <v>1294</v>
      </c>
      <c r="I457" s="61" t="s">
        <v>1301</v>
      </c>
      <c r="J457" s="61"/>
      <c r="K457" s="61"/>
      <c r="L457" s="124"/>
    </row>
    <row r="458" spans="1:12" ht="15.75">
      <c r="A458" s="5"/>
      <c r="B458" s="368"/>
      <c r="C458" s="357"/>
      <c r="D458" s="180">
        <v>18</v>
      </c>
      <c r="E458" s="180" t="s">
        <v>1524</v>
      </c>
      <c r="F458" s="61" t="s">
        <v>81</v>
      </c>
      <c r="G458" s="61" t="s">
        <v>1517</v>
      </c>
      <c r="H458" s="61"/>
      <c r="I458" s="61"/>
      <c r="J458" s="61"/>
      <c r="K458" s="61"/>
      <c r="L458" s="180"/>
    </row>
    <row r="459" spans="1:12" ht="15.75">
      <c r="A459" s="5"/>
      <c r="B459" s="368"/>
      <c r="C459" s="357"/>
      <c r="D459" s="180">
        <v>19</v>
      </c>
      <c r="E459" s="124" t="s">
        <v>163</v>
      </c>
      <c r="F459" s="61" t="s">
        <v>164</v>
      </c>
      <c r="G459" s="61">
        <v>1</v>
      </c>
      <c r="H459" s="61">
        <v>4</v>
      </c>
      <c r="I459" s="61" t="s">
        <v>165</v>
      </c>
      <c r="J459" s="61"/>
      <c r="K459" s="61"/>
      <c r="L459" s="124"/>
    </row>
    <row r="460" spans="1:12" ht="15.75">
      <c r="A460" s="5"/>
      <c r="B460" s="368"/>
      <c r="C460" s="357"/>
      <c r="D460" s="180">
        <v>20</v>
      </c>
      <c r="E460" s="124" t="s">
        <v>166</v>
      </c>
      <c r="F460" s="61" t="s">
        <v>127</v>
      </c>
      <c r="G460" s="61" t="s">
        <v>1331</v>
      </c>
      <c r="H460" s="61" t="s">
        <v>162</v>
      </c>
      <c r="I460" s="61">
        <v>5</v>
      </c>
      <c r="J460" s="61"/>
      <c r="K460" s="61"/>
      <c r="L460" s="124"/>
    </row>
    <row r="461" spans="1:12" ht="15.75">
      <c r="A461" s="5"/>
      <c r="B461" s="368"/>
      <c r="C461" s="357"/>
      <c r="D461" s="180">
        <v>21</v>
      </c>
      <c r="E461" s="124" t="s">
        <v>194</v>
      </c>
      <c r="F461" s="61" t="s">
        <v>125</v>
      </c>
      <c r="G461" s="61" t="s">
        <v>1546</v>
      </c>
      <c r="H461" s="61"/>
      <c r="I461" s="61"/>
      <c r="J461" s="61"/>
      <c r="K461" s="61"/>
      <c r="L461" s="124"/>
    </row>
    <row r="462" spans="1:12" ht="15.75">
      <c r="A462" s="5"/>
      <c r="B462" s="368"/>
      <c r="C462" s="357"/>
      <c r="D462" s="180">
        <v>22</v>
      </c>
      <c r="E462" s="180" t="s">
        <v>1525</v>
      </c>
      <c r="F462" s="61" t="s">
        <v>81</v>
      </c>
      <c r="G462" s="61" t="s">
        <v>196</v>
      </c>
      <c r="H462" s="61" t="s">
        <v>197</v>
      </c>
      <c r="I462" s="61" t="s">
        <v>197</v>
      </c>
      <c r="J462" s="61"/>
      <c r="K462" s="61"/>
      <c r="L462" s="180"/>
    </row>
    <row r="463" spans="1:12" ht="15.75">
      <c r="A463" s="5"/>
      <c r="B463" s="368"/>
      <c r="C463" s="357"/>
      <c r="D463" s="180">
        <v>23</v>
      </c>
      <c r="E463" s="180"/>
      <c r="F463" s="61" t="s">
        <v>81</v>
      </c>
      <c r="G463" s="61" t="s">
        <v>198</v>
      </c>
      <c r="H463" s="61" t="s">
        <v>199</v>
      </c>
      <c r="I463" s="61" t="s">
        <v>197</v>
      </c>
      <c r="J463" s="61" t="s">
        <v>197</v>
      </c>
      <c r="K463" s="61">
        <v>1</v>
      </c>
      <c r="L463" s="180"/>
    </row>
    <row r="464" spans="1:12" ht="15.75">
      <c r="A464" s="5"/>
      <c r="B464" s="368"/>
      <c r="C464" s="357"/>
      <c r="D464" s="180">
        <v>24</v>
      </c>
      <c r="E464" s="124" t="s">
        <v>146</v>
      </c>
      <c r="F464" s="61" t="s">
        <v>123</v>
      </c>
      <c r="G464" s="61"/>
      <c r="H464" s="61"/>
      <c r="I464" s="61"/>
      <c r="J464" s="61"/>
      <c r="K464" s="61"/>
      <c r="L464" s="124"/>
    </row>
    <row r="465" spans="1:12" ht="15.75">
      <c r="A465" s="5"/>
      <c r="B465" s="368"/>
      <c r="C465" s="358"/>
      <c r="D465" s="124"/>
      <c r="E465" s="124"/>
      <c r="F465" s="61"/>
      <c r="G465" s="61"/>
      <c r="H465" s="61"/>
      <c r="I465" s="61"/>
      <c r="J465" s="61"/>
      <c r="K465" s="61"/>
      <c r="L465" s="124"/>
    </row>
    <row r="466" spans="1:12" ht="15.75">
      <c r="A466" s="5"/>
      <c r="B466" s="367" t="s">
        <v>1319</v>
      </c>
      <c r="C466" s="356" t="s">
        <v>1728</v>
      </c>
      <c r="D466" s="124">
        <v>1</v>
      </c>
      <c r="E466" s="124" t="s">
        <v>1641</v>
      </c>
      <c r="F466" s="61" t="s">
        <v>87</v>
      </c>
      <c r="G466" s="61" t="s">
        <v>1642</v>
      </c>
      <c r="H466" s="61"/>
      <c r="I466" s="61"/>
      <c r="J466" s="61"/>
      <c r="K466" s="61"/>
      <c r="L466" s="124"/>
    </row>
    <row r="467" spans="1:12" ht="15.75">
      <c r="A467" s="5"/>
      <c r="B467" s="368"/>
      <c r="C467" s="357"/>
      <c r="D467" s="124">
        <v>2</v>
      </c>
      <c r="E467" s="124" t="s">
        <v>142</v>
      </c>
      <c r="F467" s="61" t="s">
        <v>122</v>
      </c>
      <c r="G467" s="61"/>
      <c r="H467" s="61"/>
      <c r="I467" s="61"/>
      <c r="J467" s="61"/>
      <c r="K467" s="61"/>
      <c r="L467" s="124"/>
    </row>
    <row r="468" spans="1:12" ht="15.75">
      <c r="A468" s="5"/>
      <c r="B468" s="368"/>
      <c r="C468" s="357"/>
      <c r="D468" s="128">
        <v>3</v>
      </c>
      <c r="E468" s="124"/>
      <c r="F468" s="61" t="s">
        <v>125</v>
      </c>
      <c r="G468" s="61">
        <v>100</v>
      </c>
      <c r="H468" s="61"/>
      <c r="I468" s="61"/>
      <c r="J468" s="61"/>
      <c r="K468" s="61"/>
      <c r="L468" s="124"/>
    </row>
    <row r="469" spans="1:12" ht="15.75">
      <c r="A469" s="5"/>
      <c r="B469" s="368"/>
      <c r="C469" s="357"/>
      <c r="D469" s="128">
        <v>4</v>
      </c>
      <c r="E469" s="128" t="s">
        <v>1376</v>
      </c>
      <c r="F469" s="61" t="s">
        <v>130</v>
      </c>
      <c r="G469" s="61" t="s">
        <v>162</v>
      </c>
      <c r="H469" s="61" t="s">
        <v>1294</v>
      </c>
      <c r="I469" s="61"/>
      <c r="J469" s="61"/>
      <c r="K469" s="61"/>
      <c r="L469" s="124"/>
    </row>
    <row r="470" spans="1:12" ht="15.75">
      <c r="A470" s="5"/>
      <c r="B470" s="368"/>
      <c r="C470" s="357"/>
      <c r="D470" s="128">
        <v>5</v>
      </c>
      <c r="E470" s="128"/>
      <c r="F470" s="61" t="s">
        <v>131</v>
      </c>
      <c r="G470" s="61" t="s">
        <v>162</v>
      </c>
      <c r="H470" s="61">
        <v>1</v>
      </c>
      <c r="I470" s="61"/>
      <c r="J470" s="61"/>
      <c r="K470" s="61"/>
      <c r="L470" s="124"/>
    </row>
    <row r="471" spans="1:12" ht="15.75">
      <c r="A471" s="5"/>
      <c r="B471" s="368"/>
      <c r="C471" s="357"/>
      <c r="D471" s="180">
        <v>6</v>
      </c>
      <c r="E471" s="180"/>
      <c r="F471" s="61" t="s">
        <v>1933</v>
      </c>
      <c r="G471" s="61">
        <v>100</v>
      </c>
      <c r="H471" s="61"/>
      <c r="I471" s="61"/>
      <c r="J471" s="61"/>
      <c r="K471" s="61"/>
      <c r="L471" s="180"/>
    </row>
    <row r="472" spans="1:12" ht="15.75">
      <c r="A472" s="5"/>
      <c r="B472" s="368"/>
      <c r="C472" s="357"/>
      <c r="D472" s="180">
        <v>7</v>
      </c>
      <c r="E472" s="128"/>
      <c r="F472" s="61" t="s">
        <v>135</v>
      </c>
      <c r="G472" s="61">
        <v>6</v>
      </c>
      <c r="H472" s="61" t="s">
        <v>1294</v>
      </c>
      <c r="I472" s="61" t="s">
        <v>162</v>
      </c>
      <c r="J472" s="61"/>
      <c r="K472" s="61"/>
      <c r="L472" s="124"/>
    </row>
    <row r="473" spans="1:12" ht="15.75">
      <c r="A473" s="5"/>
      <c r="B473" s="368"/>
      <c r="C473" s="357"/>
      <c r="D473" s="180">
        <v>8</v>
      </c>
      <c r="E473" s="180"/>
      <c r="F473" s="61" t="s">
        <v>1933</v>
      </c>
      <c r="G473" s="61">
        <v>100</v>
      </c>
      <c r="H473" s="61"/>
      <c r="I473" s="61"/>
      <c r="J473" s="61"/>
      <c r="K473" s="61"/>
      <c r="L473" s="180"/>
    </row>
    <row r="474" spans="1:12" ht="15.75">
      <c r="A474" s="5"/>
      <c r="B474" s="368"/>
      <c r="C474" s="357"/>
      <c r="D474" s="180">
        <v>9</v>
      </c>
      <c r="E474" s="128"/>
      <c r="F474" s="61" t="s">
        <v>1372</v>
      </c>
      <c r="G474" s="61" t="s">
        <v>1371</v>
      </c>
      <c r="H474" s="61" t="s">
        <v>1294</v>
      </c>
      <c r="I474" s="61"/>
      <c r="J474" s="61"/>
      <c r="K474" s="61"/>
      <c r="L474" s="124"/>
    </row>
    <row r="475" spans="1:12" ht="15.75">
      <c r="A475" s="5"/>
      <c r="B475" s="368"/>
      <c r="C475" s="357"/>
      <c r="D475" s="180">
        <v>10</v>
      </c>
      <c r="E475" s="128"/>
      <c r="F475" s="61" t="s">
        <v>1379</v>
      </c>
      <c r="G475" s="61" t="s">
        <v>1371</v>
      </c>
      <c r="H475" s="61" t="s">
        <v>1374</v>
      </c>
      <c r="I475" s="61"/>
      <c r="J475" s="61"/>
      <c r="K475" s="61"/>
      <c r="L475" s="124"/>
    </row>
    <row r="476" spans="1:12" ht="15.75">
      <c r="A476" s="5"/>
      <c r="B476" s="368"/>
      <c r="C476" s="357"/>
      <c r="D476" s="180">
        <v>11</v>
      </c>
      <c r="E476" s="128"/>
      <c r="F476" s="61" t="s">
        <v>1377</v>
      </c>
      <c r="G476" s="61">
        <v>8</v>
      </c>
      <c r="H476" s="61">
        <v>2</v>
      </c>
      <c r="I476" s="61" t="s">
        <v>162</v>
      </c>
      <c r="J476" s="61"/>
      <c r="K476" s="61"/>
      <c r="L476" s="128"/>
    </row>
    <row r="477" spans="1:12" ht="15.75">
      <c r="A477" s="5"/>
      <c r="B477" s="368"/>
      <c r="C477" s="357"/>
      <c r="D477" s="180">
        <v>12</v>
      </c>
      <c r="E477" s="128"/>
      <c r="F477" s="61" t="s">
        <v>1372</v>
      </c>
      <c r="G477" s="61" t="s">
        <v>1371</v>
      </c>
      <c r="H477" s="61" t="s">
        <v>1294</v>
      </c>
      <c r="I477" s="61"/>
      <c r="J477" s="61"/>
      <c r="K477" s="61"/>
      <c r="L477" s="128"/>
    </row>
    <row r="478" spans="1:12" ht="15.75">
      <c r="A478" s="5"/>
      <c r="B478" s="368"/>
      <c r="C478" s="357"/>
      <c r="D478" s="180">
        <v>13</v>
      </c>
      <c r="E478" s="128"/>
      <c r="F478" s="61" t="s">
        <v>1372</v>
      </c>
      <c r="G478" s="61" t="s">
        <v>1373</v>
      </c>
      <c r="H478" s="61" t="s">
        <v>1294</v>
      </c>
      <c r="I478" s="61"/>
      <c r="J478" s="61"/>
      <c r="K478" s="61"/>
      <c r="L478" s="128"/>
    </row>
    <row r="479" spans="1:12" ht="15.75">
      <c r="A479" s="5"/>
      <c r="B479" s="368"/>
      <c r="C479" s="357"/>
      <c r="D479" s="180">
        <v>14</v>
      </c>
      <c r="E479" s="128"/>
      <c r="F479" s="61" t="s">
        <v>1375</v>
      </c>
      <c r="G479" s="61" t="s">
        <v>1373</v>
      </c>
      <c r="H479" s="61">
        <v>2</v>
      </c>
      <c r="I479" s="61"/>
      <c r="J479" s="61"/>
      <c r="K479" s="61"/>
      <c r="L479" s="128"/>
    </row>
    <row r="480" spans="1:12" ht="15.75">
      <c r="A480" s="5"/>
      <c r="B480" s="368"/>
      <c r="C480" s="357"/>
      <c r="D480" s="180">
        <v>15</v>
      </c>
      <c r="E480" s="124" t="s">
        <v>166</v>
      </c>
      <c r="F480" s="61" t="s">
        <v>127</v>
      </c>
      <c r="G480" s="61" t="s">
        <v>1331</v>
      </c>
      <c r="H480" s="61" t="s">
        <v>162</v>
      </c>
      <c r="I480" s="61">
        <v>1</v>
      </c>
      <c r="J480" s="61"/>
      <c r="K480" s="61"/>
      <c r="L480" s="124"/>
    </row>
    <row r="481" spans="1:12" ht="15.75">
      <c r="A481" s="5"/>
      <c r="B481" s="368"/>
      <c r="C481" s="357"/>
      <c r="D481" s="180">
        <v>16</v>
      </c>
      <c r="E481" s="180"/>
      <c r="F481" s="61" t="s">
        <v>1933</v>
      </c>
      <c r="G481" s="61">
        <v>100</v>
      </c>
      <c r="H481" s="61"/>
      <c r="I481" s="61"/>
      <c r="J481" s="61"/>
      <c r="K481" s="61"/>
      <c r="L481" s="180"/>
    </row>
    <row r="482" spans="1:12" ht="15.75">
      <c r="A482" s="5"/>
      <c r="B482" s="368"/>
      <c r="C482" s="357"/>
      <c r="D482" s="180">
        <v>17</v>
      </c>
      <c r="E482" s="124"/>
      <c r="F482" s="61" t="s">
        <v>135</v>
      </c>
      <c r="G482" s="61">
        <v>16</v>
      </c>
      <c r="H482" s="61" t="s">
        <v>1294</v>
      </c>
      <c r="I482" s="61" t="s">
        <v>1301</v>
      </c>
      <c r="J482" s="61"/>
      <c r="K482" s="61"/>
      <c r="L482" s="124"/>
    </row>
    <row r="483" spans="1:12" ht="15.75">
      <c r="A483" s="5"/>
      <c r="B483" s="368"/>
      <c r="C483" s="357"/>
      <c r="D483" s="180">
        <v>18</v>
      </c>
      <c r="E483" s="124" t="s">
        <v>163</v>
      </c>
      <c r="F483" s="61" t="s">
        <v>164</v>
      </c>
      <c r="G483" s="61">
        <v>1</v>
      </c>
      <c r="H483" s="61">
        <v>4</v>
      </c>
      <c r="I483" s="61" t="s">
        <v>165</v>
      </c>
      <c r="J483" s="61"/>
      <c r="K483" s="61"/>
      <c r="L483" s="124"/>
    </row>
    <row r="484" spans="1:12" ht="15.75">
      <c r="A484" s="5"/>
      <c r="B484" s="368"/>
      <c r="C484" s="357"/>
      <c r="D484" s="180">
        <v>19</v>
      </c>
      <c r="E484" s="124" t="s">
        <v>166</v>
      </c>
      <c r="F484" s="61" t="s">
        <v>127</v>
      </c>
      <c r="G484" s="61" t="s">
        <v>1331</v>
      </c>
      <c r="H484" s="61" t="s">
        <v>162</v>
      </c>
      <c r="I484" s="61">
        <v>5</v>
      </c>
      <c r="J484" s="61"/>
      <c r="K484" s="61"/>
      <c r="L484" s="124"/>
    </row>
    <row r="485" spans="1:12" ht="15.75">
      <c r="A485" s="5"/>
      <c r="B485" s="368"/>
      <c r="C485" s="357"/>
      <c r="D485" s="180">
        <v>20</v>
      </c>
      <c r="E485" s="124" t="s">
        <v>318</v>
      </c>
      <c r="F485" s="61" t="s">
        <v>125</v>
      </c>
      <c r="G485" s="61">
        <v>5000</v>
      </c>
      <c r="H485" s="61"/>
      <c r="I485" s="61"/>
      <c r="J485" s="61"/>
      <c r="K485" s="61"/>
      <c r="L485" s="124"/>
    </row>
    <row r="486" spans="1:12" ht="15.75">
      <c r="A486" s="5"/>
      <c r="B486" s="368"/>
      <c r="C486" s="357"/>
      <c r="D486" s="180">
        <v>21</v>
      </c>
      <c r="E486" s="124" t="s">
        <v>146</v>
      </c>
      <c r="F486" s="61" t="s">
        <v>123</v>
      </c>
      <c r="G486" s="61"/>
      <c r="H486" s="61"/>
      <c r="I486" s="61"/>
      <c r="J486" s="61"/>
      <c r="K486" s="61"/>
      <c r="L486" s="124"/>
    </row>
    <row r="487" spans="1:12" ht="15.75">
      <c r="A487" s="5"/>
      <c r="B487" s="368"/>
      <c r="C487" s="358"/>
      <c r="D487" s="124"/>
      <c r="E487" s="124"/>
      <c r="F487" s="61"/>
      <c r="G487" s="61"/>
      <c r="H487" s="61"/>
      <c r="I487" s="61"/>
      <c r="J487" s="61"/>
      <c r="K487" s="61"/>
      <c r="L487" s="124"/>
    </row>
    <row r="488" spans="1:12" ht="15.75">
      <c r="A488" s="5"/>
      <c r="B488" s="367" t="s">
        <v>1320</v>
      </c>
      <c r="C488" s="356" t="s">
        <v>1728</v>
      </c>
      <c r="D488" s="124">
        <v>1</v>
      </c>
      <c r="E488" s="124" t="s">
        <v>1641</v>
      </c>
      <c r="F488" s="61" t="s">
        <v>87</v>
      </c>
      <c r="G488" s="61" t="s">
        <v>1642</v>
      </c>
      <c r="H488" s="61"/>
      <c r="I488" s="61"/>
      <c r="J488" s="61"/>
      <c r="K488" s="61"/>
      <c r="L488" s="124"/>
    </row>
    <row r="489" spans="1:12" ht="15.75">
      <c r="A489" s="5"/>
      <c r="B489" s="368"/>
      <c r="C489" s="357"/>
      <c r="D489" s="124">
        <v>2</v>
      </c>
      <c r="E489" s="124" t="s">
        <v>142</v>
      </c>
      <c r="F489" s="61" t="s">
        <v>122</v>
      </c>
      <c r="G489" s="61"/>
      <c r="H489" s="61"/>
      <c r="I489" s="61"/>
      <c r="J489" s="61"/>
      <c r="K489" s="61"/>
      <c r="L489" s="124"/>
    </row>
    <row r="490" spans="1:12" ht="15.75">
      <c r="A490" s="5"/>
      <c r="B490" s="368"/>
      <c r="C490" s="357"/>
      <c r="D490" s="180">
        <v>3</v>
      </c>
      <c r="E490" s="124"/>
      <c r="F490" s="61" t="s">
        <v>125</v>
      </c>
      <c r="G490" s="61">
        <v>100</v>
      </c>
      <c r="H490" s="61"/>
      <c r="I490" s="61"/>
      <c r="J490" s="61"/>
      <c r="K490" s="61"/>
      <c r="L490" s="124"/>
    </row>
    <row r="491" spans="1:12" ht="15.75">
      <c r="A491" s="5"/>
      <c r="B491" s="368"/>
      <c r="C491" s="357"/>
      <c r="D491" s="180">
        <v>4</v>
      </c>
      <c r="E491" s="124" t="s">
        <v>1295</v>
      </c>
      <c r="F491" s="61" t="s">
        <v>130</v>
      </c>
      <c r="G491" s="61" t="s">
        <v>162</v>
      </c>
      <c r="H491" s="61" t="s">
        <v>1294</v>
      </c>
      <c r="I491" s="61"/>
      <c r="J491" s="61"/>
      <c r="K491" s="61"/>
      <c r="L491" s="124"/>
    </row>
    <row r="492" spans="1:12" ht="15.75">
      <c r="A492" s="5"/>
      <c r="B492" s="368"/>
      <c r="C492" s="357"/>
      <c r="D492" s="180">
        <v>5</v>
      </c>
      <c r="E492" s="124"/>
      <c r="F492" s="61" t="s">
        <v>131</v>
      </c>
      <c r="G492" s="61" t="s">
        <v>162</v>
      </c>
      <c r="H492" s="61">
        <v>1</v>
      </c>
      <c r="I492" s="61"/>
      <c r="J492" s="61"/>
      <c r="K492" s="61"/>
      <c r="L492" s="124"/>
    </row>
    <row r="493" spans="1:12" ht="15.75">
      <c r="A493" s="5"/>
      <c r="B493" s="368"/>
      <c r="C493" s="357"/>
      <c r="D493" s="180">
        <v>6</v>
      </c>
      <c r="E493" s="180"/>
      <c r="F493" s="61" t="s">
        <v>1933</v>
      </c>
      <c r="G493" s="61">
        <v>100</v>
      </c>
      <c r="H493" s="61"/>
      <c r="I493" s="61"/>
      <c r="J493" s="61"/>
      <c r="K493" s="61"/>
      <c r="L493" s="180"/>
    </row>
    <row r="494" spans="1:12" ht="15.75">
      <c r="A494" s="5"/>
      <c r="B494" s="368"/>
      <c r="C494" s="357"/>
      <c r="D494" s="180">
        <v>7</v>
      </c>
      <c r="E494" s="128"/>
      <c r="F494" s="61" t="s">
        <v>135</v>
      </c>
      <c r="G494" s="61">
        <v>6</v>
      </c>
      <c r="H494" s="61" t="s">
        <v>1294</v>
      </c>
      <c r="I494" s="61" t="s">
        <v>162</v>
      </c>
      <c r="J494" s="61"/>
      <c r="K494" s="61"/>
      <c r="L494" s="128"/>
    </row>
    <row r="495" spans="1:12" ht="15.75">
      <c r="A495" s="5"/>
      <c r="B495" s="368"/>
      <c r="C495" s="357"/>
      <c r="D495" s="180">
        <v>8</v>
      </c>
      <c r="E495" s="180"/>
      <c r="F495" s="61" t="s">
        <v>1933</v>
      </c>
      <c r="G495" s="61">
        <v>100</v>
      </c>
      <c r="H495" s="61"/>
      <c r="I495" s="61"/>
      <c r="J495" s="61"/>
      <c r="K495" s="61"/>
      <c r="L495" s="180"/>
    </row>
    <row r="496" spans="1:12" ht="15.75">
      <c r="A496" s="5"/>
      <c r="B496" s="368"/>
      <c r="C496" s="357"/>
      <c r="D496" s="180">
        <v>9</v>
      </c>
      <c r="E496" s="128"/>
      <c r="F496" s="61" t="s">
        <v>1372</v>
      </c>
      <c r="G496" s="61" t="s">
        <v>1371</v>
      </c>
      <c r="H496" s="61" t="s">
        <v>1294</v>
      </c>
      <c r="I496" s="61"/>
      <c r="J496" s="61"/>
      <c r="K496" s="61"/>
      <c r="L496" s="128"/>
    </row>
    <row r="497" spans="1:12" ht="15.75">
      <c r="A497" s="5"/>
      <c r="B497" s="368"/>
      <c r="C497" s="357"/>
      <c r="D497" s="180">
        <v>10</v>
      </c>
      <c r="E497" s="128"/>
      <c r="F497" s="61" t="s">
        <v>1379</v>
      </c>
      <c r="G497" s="61" t="s">
        <v>162</v>
      </c>
      <c r="H497" s="61" t="s">
        <v>1374</v>
      </c>
      <c r="I497" s="61"/>
      <c r="J497" s="61"/>
      <c r="K497" s="61"/>
      <c r="L497" s="128"/>
    </row>
    <row r="498" spans="1:12" ht="15.75">
      <c r="A498" s="5"/>
      <c r="B498" s="368"/>
      <c r="C498" s="357"/>
      <c r="D498" s="180">
        <v>11</v>
      </c>
      <c r="E498" s="128"/>
      <c r="F498" s="61" t="s">
        <v>1377</v>
      </c>
      <c r="G498" s="61">
        <v>8</v>
      </c>
      <c r="H498" s="61">
        <v>2</v>
      </c>
      <c r="I498" s="61" t="s">
        <v>1371</v>
      </c>
      <c r="J498" s="61"/>
      <c r="K498" s="61"/>
      <c r="L498" s="128"/>
    </row>
    <row r="499" spans="1:12" ht="15.75">
      <c r="A499" s="5"/>
      <c r="B499" s="368"/>
      <c r="C499" s="357"/>
      <c r="D499" s="180">
        <v>12</v>
      </c>
      <c r="E499" s="124"/>
      <c r="F499" s="61" t="s">
        <v>130</v>
      </c>
      <c r="G499" s="61" t="s">
        <v>162</v>
      </c>
      <c r="H499" s="61" t="s">
        <v>1294</v>
      </c>
      <c r="I499" s="61"/>
      <c r="J499" s="61"/>
      <c r="K499" s="61"/>
      <c r="L499" s="124"/>
    </row>
    <row r="500" spans="1:12" ht="15.75">
      <c r="A500" s="5"/>
      <c r="B500" s="368"/>
      <c r="C500" s="357"/>
      <c r="D500" s="180">
        <v>13</v>
      </c>
      <c r="E500" s="124"/>
      <c r="F500" s="61" t="s">
        <v>1372</v>
      </c>
      <c r="G500" s="61" t="s">
        <v>1373</v>
      </c>
      <c r="H500" s="61" t="s">
        <v>1294</v>
      </c>
      <c r="I500" s="61"/>
      <c r="J500" s="61"/>
      <c r="K500" s="61"/>
      <c r="L500" s="124"/>
    </row>
    <row r="501" spans="1:12" ht="15.75">
      <c r="A501" s="5"/>
      <c r="B501" s="368"/>
      <c r="C501" s="357"/>
      <c r="D501" s="180">
        <v>14</v>
      </c>
      <c r="E501" s="128"/>
      <c r="F501" s="61" t="s">
        <v>1375</v>
      </c>
      <c r="G501" s="61" t="s">
        <v>1373</v>
      </c>
      <c r="H501" s="61">
        <v>6</v>
      </c>
      <c r="I501" s="61"/>
      <c r="J501" s="61"/>
      <c r="K501" s="61"/>
      <c r="L501" s="128"/>
    </row>
    <row r="502" spans="1:12" ht="15.75">
      <c r="A502" s="5"/>
      <c r="B502" s="368"/>
      <c r="C502" s="357"/>
      <c r="D502" s="180">
        <v>15</v>
      </c>
      <c r="E502" s="124" t="s">
        <v>166</v>
      </c>
      <c r="F502" s="61" t="s">
        <v>127</v>
      </c>
      <c r="G502" s="61" t="s">
        <v>1331</v>
      </c>
      <c r="H502" s="61" t="s">
        <v>162</v>
      </c>
      <c r="I502" s="61">
        <v>1</v>
      </c>
      <c r="J502" s="61"/>
      <c r="K502" s="61"/>
      <c r="L502" s="124"/>
    </row>
    <row r="503" spans="1:12" ht="15.75">
      <c r="A503" s="5"/>
      <c r="B503" s="368"/>
      <c r="C503" s="357"/>
      <c r="D503" s="180">
        <v>16</v>
      </c>
      <c r="E503" s="180"/>
      <c r="F503" s="61" t="s">
        <v>1933</v>
      </c>
      <c r="G503" s="61">
        <v>100</v>
      </c>
      <c r="H503" s="61"/>
      <c r="I503" s="61"/>
      <c r="J503" s="61"/>
      <c r="K503" s="61"/>
      <c r="L503" s="180"/>
    </row>
    <row r="504" spans="1:12" ht="15.75">
      <c r="A504" s="5"/>
      <c r="B504" s="368"/>
      <c r="C504" s="357"/>
      <c r="D504" s="180">
        <v>17</v>
      </c>
      <c r="E504" s="124"/>
      <c r="F504" s="61" t="s">
        <v>135</v>
      </c>
      <c r="G504" s="61">
        <v>16</v>
      </c>
      <c r="H504" s="61" t="s">
        <v>1294</v>
      </c>
      <c r="I504" s="61" t="s">
        <v>1301</v>
      </c>
      <c r="J504" s="61"/>
      <c r="K504" s="61"/>
      <c r="L504" s="124"/>
    </row>
    <row r="505" spans="1:12" ht="15.75">
      <c r="A505" s="5"/>
      <c r="B505" s="368"/>
      <c r="C505" s="357"/>
      <c r="D505" s="180">
        <v>18</v>
      </c>
      <c r="E505" s="180" t="s">
        <v>1524</v>
      </c>
      <c r="F505" s="61" t="s">
        <v>81</v>
      </c>
      <c r="G505" s="61" t="s">
        <v>1517</v>
      </c>
      <c r="H505" s="61"/>
      <c r="I505" s="61"/>
      <c r="J505" s="61"/>
      <c r="K505" s="61"/>
      <c r="L505" s="180"/>
    </row>
    <row r="506" spans="1:12" ht="15.75">
      <c r="A506" s="5"/>
      <c r="B506" s="368"/>
      <c r="C506" s="357"/>
      <c r="D506" s="180">
        <v>19</v>
      </c>
      <c r="E506" s="124" t="s">
        <v>163</v>
      </c>
      <c r="F506" s="61" t="s">
        <v>164</v>
      </c>
      <c r="G506" s="61">
        <v>1</v>
      </c>
      <c r="H506" s="61">
        <v>4</v>
      </c>
      <c r="I506" s="61" t="s">
        <v>165</v>
      </c>
      <c r="J506" s="61"/>
      <c r="K506" s="61"/>
      <c r="L506" s="124"/>
    </row>
    <row r="507" spans="1:12" ht="15.75">
      <c r="A507" s="5"/>
      <c r="B507" s="368"/>
      <c r="C507" s="357"/>
      <c r="D507" s="180">
        <v>20</v>
      </c>
      <c r="E507" s="124"/>
      <c r="F507" s="61" t="s">
        <v>132</v>
      </c>
      <c r="G507" s="61" t="s">
        <v>1301</v>
      </c>
      <c r="H507" s="61">
        <v>2</v>
      </c>
      <c r="I507" s="61"/>
      <c r="J507" s="61"/>
      <c r="K507" s="61"/>
      <c r="L507" s="124"/>
    </row>
    <row r="508" spans="1:12" ht="15.75">
      <c r="A508" s="5"/>
      <c r="B508" s="368"/>
      <c r="C508" s="357"/>
      <c r="D508" s="180">
        <v>21</v>
      </c>
      <c r="E508" s="124" t="s">
        <v>166</v>
      </c>
      <c r="F508" s="61" t="s">
        <v>127</v>
      </c>
      <c r="G508" s="61" t="s">
        <v>1331</v>
      </c>
      <c r="H508" s="61" t="s">
        <v>1301</v>
      </c>
      <c r="I508" s="61">
        <v>3</v>
      </c>
      <c r="J508" s="61"/>
      <c r="K508" s="61"/>
      <c r="L508" s="124"/>
    </row>
    <row r="509" spans="1:12" ht="15.75">
      <c r="A509" s="5"/>
      <c r="B509" s="368"/>
      <c r="C509" s="357"/>
      <c r="D509" s="180">
        <v>22</v>
      </c>
      <c r="E509" s="124" t="s">
        <v>194</v>
      </c>
      <c r="F509" s="61" t="s">
        <v>125</v>
      </c>
      <c r="G509" s="61" t="s">
        <v>1546</v>
      </c>
      <c r="H509" s="61"/>
      <c r="I509" s="61"/>
      <c r="J509" s="61"/>
      <c r="K509" s="61"/>
      <c r="L509" s="124"/>
    </row>
    <row r="510" spans="1:12" ht="15.75">
      <c r="A510" s="5"/>
      <c r="B510" s="368"/>
      <c r="C510" s="357"/>
      <c r="D510" s="180">
        <v>23</v>
      </c>
      <c r="E510" s="180" t="s">
        <v>1525</v>
      </c>
      <c r="F510" s="61" t="s">
        <v>81</v>
      </c>
      <c r="G510" s="61" t="s">
        <v>196</v>
      </c>
      <c r="H510" s="61" t="s">
        <v>197</v>
      </c>
      <c r="I510" s="61" t="s">
        <v>197</v>
      </c>
      <c r="J510" s="61"/>
      <c r="K510" s="61"/>
      <c r="L510" s="180"/>
    </row>
    <row r="511" spans="1:12" ht="15.75">
      <c r="A511" s="5"/>
      <c r="B511" s="368"/>
      <c r="C511" s="357"/>
      <c r="D511" s="180">
        <v>24</v>
      </c>
      <c r="E511" s="180"/>
      <c r="F511" s="61" t="s">
        <v>81</v>
      </c>
      <c r="G511" s="61" t="s">
        <v>198</v>
      </c>
      <c r="H511" s="61" t="s">
        <v>199</v>
      </c>
      <c r="I511" s="61" t="s">
        <v>197</v>
      </c>
      <c r="J511" s="61" t="s">
        <v>197</v>
      </c>
      <c r="K511" s="61">
        <v>1</v>
      </c>
      <c r="L511" s="180"/>
    </row>
    <row r="512" spans="1:12" ht="15.75">
      <c r="A512" s="5"/>
      <c r="B512" s="368"/>
      <c r="C512" s="357"/>
      <c r="D512" s="180">
        <v>25</v>
      </c>
      <c r="E512" s="124" t="s">
        <v>146</v>
      </c>
      <c r="F512" s="61" t="s">
        <v>123</v>
      </c>
      <c r="G512" s="61"/>
      <c r="H512" s="61"/>
      <c r="I512" s="61"/>
      <c r="J512" s="61"/>
      <c r="K512" s="61"/>
      <c r="L512" s="124"/>
    </row>
    <row r="513" spans="1:12" ht="15.75">
      <c r="A513" s="5"/>
      <c r="B513" s="368"/>
      <c r="C513" s="358"/>
      <c r="D513" s="124"/>
      <c r="E513" s="124"/>
      <c r="F513" s="61"/>
      <c r="G513" s="61"/>
      <c r="H513" s="61"/>
      <c r="I513" s="61"/>
      <c r="J513" s="61"/>
      <c r="K513" s="61"/>
      <c r="L513" s="124"/>
    </row>
    <row r="514" spans="1:12" ht="15.75">
      <c r="A514" s="5"/>
      <c r="B514" s="367" t="s">
        <v>1321</v>
      </c>
      <c r="C514" s="356" t="s">
        <v>1728</v>
      </c>
      <c r="D514" s="124">
        <v>1</v>
      </c>
      <c r="E514" s="124" t="s">
        <v>1641</v>
      </c>
      <c r="F514" s="61" t="s">
        <v>87</v>
      </c>
      <c r="G514" s="61" t="s">
        <v>1642</v>
      </c>
      <c r="H514" s="61"/>
      <c r="I514" s="61"/>
      <c r="J514" s="61"/>
      <c r="K514" s="61"/>
      <c r="L514" s="124"/>
    </row>
    <row r="515" spans="1:12" ht="15.75">
      <c r="A515" s="5"/>
      <c r="B515" s="368"/>
      <c r="C515" s="357"/>
      <c r="D515" s="124">
        <v>2</v>
      </c>
      <c r="E515" s="124" t="s">
        <v>142</v>
      </c>
      <c r="F515" s="61" t="s">
        <v>122</v>
      </c>
      <c r="G515" s="61"/>
      <c r="H515" s="61"/>
      <c r="I515" s="61"/>
      <c r="J515" s="61"/>
      <c r="K515" s="61"/>
      <c r="L515" s="124"/>
    </row>
    <row r="516" spans="1:12" ht="15.75">
      <c r="A516" s="5"/>
      <c r="B516" s="368"/>
      <c r="C516" s="357"/>
      <c r="D516" s="128">
        <v>3</v>
      </c>
      <c r="E516" s="124"/>
      <c r="F516" s="61" t="s">
        <v>125</v>
      </c>
      <c r="G516" s="61">
        <v>100</v>
      </c>
      <c r="H516" s="61"/>
      <c r="I516" s="61"/>
      <c r="J516" s="61"/>
      <c r="K516" s="61"/>
      <c r="L516" s="124"/>
    </row>
    <row r="517" spans="1:12" ht="15.75">
      <c r="A517" s="5"/>
      <c r="B517" s="368"/>
      <c r="C517" s="357"/>
      <c r="D517" s="128">
        <v>4</v>
      </c>
      <c r="E517" s="128" t="s">
        <v>1295</v>
      </c>
      <c r="F517" s="61" t="s">
        <v>130</v>
      </c>
      <c r="G517" s="61" t="s">
        <v>162</v>
      </c>
      <c r="H517" s="61" t="s">
        <v>1294</v>
      </c>
      <c r="I517" s="61"/>
      <c r="J517" s="61"/>
      <c r="K517" s="61"/>
      <c r="L517" s="124"/>
    </row>
    <row r="518" spans="1:12" ht="15.75">
      <c r="A518" s="5"/>
      <c r="B518" s="368"/>
      <c r="C518" s="357"/>
      <c r="D518" s="128">
        <v>5</v>
      </c>
      <c r="E518" s="128"/>
      <c r="F518" s="61" t="s">
        <v>131</v>
      </c>
      <c r="G518" s="61" t="s">
        <v>162</v>
      </c>
      <c r="H518" s="61">
        <v>1</v>
      </c>
      <c r="I518" s="61"/>
      <c r="J518" s="61"/>
      <c r="K518" s="61"/>
      <c r="L518" s="124"/>
    </row>
    <row r="519" spans="1:12" ht="15.75">
      <c r="A519" s="5"/>
      <c r="B519" s="368"/>
      <c r="C519" s="357"/>
      <c r="D519" s="180">
        <v>6</v>
      </c>
      <c r="E519" s="180"/>
      <c r="F519" s="61" t="s">
        <v>1933</v>
      </c>
      <c r="G519" s="61">
        <v>100</v>
      </c>
      <c r="H519" s="61"/>
      <c r="I519" s="61"/>
      <c r="J519" s="61"/>
      <c r="K519" s="61"/>
      <c r="L519" s="180"/>
    </row>
    <row r="520" spans="1:12" ht="15.75">
      <c r="A520" s="5"/>
      <c r="B520" s="368"/>
      <c r="C520" s="357"/>
      <c r="D520" s="180">
        <v>7</v>
      </c>
      <c r="E520" s="128"/>
      <c r="F520" s="61" t="s">
        <v>135</v>
      </c>
      <c r="G520" s="61">
        <v>6</v>
      </c>
      <c r="H520" s="61" t="s">
        <v>1294</v>
      </c>
      <c r="I520" s="61" t="s">
        <v>162</v>
      </c>
      <c r="J520" s="61"/>
      <c r="K520" s="61"/>
      <c r="L520" s="124"/>
    </row>
    <row r="521" spans="1:12" ht="15.75">
      <c r="A521" s="5"/>
      <c r="B521" s="368"/>
      <c r="C521" s="357"/>
      <c r="D521" s="180">
        <v>8</v>
      </c>
      <c r="E521" s="180"/>
      <c r="F521" s="61" t="s">
        <v>1933</v>
      </c>
      <c r="G521" s="61">
        <v>100</v>
      </c>
      <c r="H521" s="61"/>
      <c r="I521" s="61"/>
      <c r="J521" s="61"/>
      <c r="K521" s="61"/>
      <c r="L521" s="180"/>
    </row>
    <row r="522" spans="1:12" ht="15.75">
      <c r="A522" s="5"/>
      <c r="B522" s="368"/>
      <c r="C522" s="357"/>
      <c r="D522" s="180">
        <v>9</v>
      </c>
      <c r="E522" s="128"/>
      <c r="F522" s="61" t="s">
        <v>1372</v>
      </c>
      <c r="G522" s="61" t="s">
        <v>1371</v>
      </c>
      <c r="H522" s="61" t="s">
        <v>1294</v>
      </c>
      <c r="I522" s="61"/>
      <c r="J522" s="61"/>
      <c r="K522" s="61"/>
      <c r="L522" s="124"/>
    </row>
    <row r="523" spans="1:12" ht="15.75">
      <c r="A523" s="5"/>
      <c r="B523" s="368"/>
      <c r="C523" s="357"/>
      <c r="D523" s="180">
        <v>10</v>
      </c>
      <c r="E523" s="128"/>
      <c r="F523" s="61" t="s">
        <v>1379</v>
      </c>
      <c r="G523" s="61" t="s">
        <v>162</v>
      </c>
      <c r="H523" s="61" t="s">
        <v>1374</v>
      </c>
      <c r="I523" s="61"/>
      <c r="J523" s="61"/>
      <c r="K523" s="61"/>
      <c r="L523" s="124"/>
    </row>
    <row r="524" spans="1:12" ht="15.75">
      <c r="A524" s="5"/>
      <c r="B524" s="368"/>
      <c r="C524" s="357"/>
      <c r="D524" s="180">
        <v>11</v>
      </c>
      <c r="E524" s="128"/>
      <c r="F524" s="61" t="s">
        <v>1377</v>
      </c>
      <c r="G524" s="61">
        <v>8</v>
      </c>
      <c r="H524" s="61">
        <v>2</v>
      </c>
      <c r="I524" s="61" t="s">
        <v>1371</v>
      </c>
      <c r="J524" s="61"/>
      <c r="K524" s="61"/>
      <c r="L524" s="128"/>
    </row>
    <row r="525" spans="1:12" ht="15.75">
      <c r="A525" s="5"/>
      <c r="B525" s="368"/>
      <c r="C525" s="357"/>
      <c r="D525" s="180">
        <v>12</v>
      </c>
      <c r="E525" s="128"/>
      <c r="F525" s="61" t="s">
        <v>130</v>
      </c>
      <c r="G525" s="61" t="s">
        <v>162</v>
      </c>
      <c r="H525" s="61" t="s">
        <v>1294</v>
      </c>
      <c r="I525" s="61"/>
      <c r="J525" s="61"/>
      <c r="K525" s="61"/>
      <c r="L525" s="128"/>
    </row>
    <row r="526" spans="1:12" ht="15.75">
      <c r="A526" s="5"/>
      <c r="B526" s="368"/>
      <c r="C526" s="357"/>
      <c r="D526" s="180">
        <v>13</v>
      </c>
      <c r="E526" s="128"/>
      <c r="F526" s="61" t="s">
        <v>1372</v>
      </c>
      <c r="G526" s="61" t="s">
        <v>1373</v>
      </c>
      <c r="H526" s="61" t="s">
        <v>1294</v>
      </c>
      <c r="I526" s="61"/>
      <c r="J526" s="61"/>
      <c r="K526" s="61"/>
      <c r="L526" s="128"/>
    </row>
    <row r="527" spans="1:12" ht="15.75">
      <c r="A527" s="5"/>
      <c r="B527" s="368"/>
      <c r="C527" s="357"/>
      <c r="D527" s="180">
        <v>14</v>
      </c>
      <c r="E527" s="128"/>
      <c r="F527" s="61" t="s">
        <v>1375</v>
      </c>
      <c r="G527" s="61" t="s">
        <v>1373</v>
      </c>
      <c r="H527" s="61">
        <v>6</v>
      </c>
      <c r="I527" s="61"/>
      <c r="J527" s="61"/>
      <c r="K527" s="61"/>
      <c r="L527" s="128"/>
    </row>
    <row r="528" spans="1:12" ht="15.75">
      <c r="A528" s="5"/>
      <c r="B528" s="368"/>
      <c r="C528" s="357"/>
      <c r="D528" s="180">
        <v>15</v>
      </c>
      <c r="E528" s="124" t="s">
        <v>166</v>
      </c>
      <c r="F528" s="61" t="s">
        <v>127</v>
      </c>
      <c r="G528" s="61" t="s">
        <v>1331</v>
      </c>
      <c r="H528" s="61" t="s">
        <v>162</v>
      </c>
      <c r="I528" s="61">
        <v>1</v>
      </c>
      <c r="J528" s="61"/>
      <c r="K528" s="61"/>
      <c r="L528" s="124"/>
    </row>
    <row r="529" spans="1:12" ht="15.75">
      <c r="A529" s="5"/>
      <c r="B529" s="368"/>
      <c r="C529" s="357"/>
      <c r="D529" s="180">
        <v>16</v>
      </c>
      <c r="E529" s="180"/>
      <c r="F529" s="61" t="s">
        <v>1933</v>
      </c>
      <c r="G529" s="61">
        <v>100</v>
      </c>
      <c r="H529" s="61"/>
      <c r="I529" s="61"/>
      <c r="J529" s="61"/>
      <c r="K529" s="61"/>
      <c r="L529" s="180"/>
    </row>
    <row r="530" spans="1:12" ht="15.75">
      <c r="A530" s="5"/>
      <c r="B530" s="368"/>
      <c r="C530" s="357"/>
      <c r="D530" s="180">
        <v>17</v>
      </c>
      <c r="E530" s="124"/>
      <c r="F530" s="61" t="s">
        <v>135</v>
      </c>
      <c r="G530" s="61">
        <v>16</v>
      </c>
      <c r="H530" s="61" t="s">
        <v>1294</v>
      </c>
      <c r="I530" s="61" t="s">
        <v>1301</v>
      </c>
      <c r="J530" s="61"/>
      <c r="K530" s="61"/>
      <c r="L530" s="124"/>
    </row>
    <row r="531" spans="1:12" ht="15.75">
      <c r="A531" s="5"/>
      <c r="B531" s="368"/>
      <c r="C531" s="357"/>
      <c r="D531" s="180">
        <v>18</v>
      </c>
      <c r="E531" s="124" t="s">
        <v>163</v>
      </c>
      <c r="F531" s="61" t="s">
        <v>164</v>
      </c>
      <c r="G531" s="61">
        <v>1</v>
      </c>
      <c r="H531" s="61">
        <v>4</v>
      </c>
      <c r="I531" s="61" t="s">
        <v>165</v>
      </c>
      <c r="J531" s="61"/>
      <c r="K531" s="61"/>
      <c r="L531" s="124"/>
    </row>
    <row r="532" spans="1:12" ht="15.75">
      <c r="A532" s="5"/>
      <c r="B532" s="368"/>
      <c r="C532" s="357"/>
      <c r="D532" s="180">
        <v>19</v>
      </c>
      <c r="E532" s="124"/>
      <c r="F532" s="61" t="s">
        <v>132</v>
      </c>
      <c r="G532" s="61" t="s">
        <v>1301</v>
      </c>
      <c r="H532" s="61">
        <v>2</v>
      </c>
      <c r="I532" s="61"/>
      <c r="J532" s="61"/>
      <c r="K532" s="61"/>
      <c r="L532" s="124"/>
    </row>
    <row r="533" spans="1:12" ht="15.75">
      <c r="A533" s="5"/>
      <c r="B533" s="368"/>
      <c r="C533" s="357"/>
      <c r="D533" s="180">
        <v>20</v>
      </c>
      <c r="E533" s="124" t="s">
        <v>166</v>
      </c>
      <c r="F533" s="61" t="s">
        <v>127</v>
      </c>
      <c r="G533" s="61" t="s">
        <v>1331</v>
      </c>
      <c r="H533" s="61" t="s">
        <v>1301</v>
      </c>
      <c r="I533" s="61">
        <v>3</v>
      </c>
      <c r="J533" s="61"/>
      <c r="K533" s="61"/>
      <c r="L533" s="124"/>
    </row>
    <row r="534" spans="1:12" ht="15.75">
      <c r="A534" s="5"/>
      <c r="B534" s="368"/>
      <c r="C534" s="357"/>
      <c r="D534" s="180">
        <v>21</v>
      </c>
      <c r="E534" s="124" t="s">
        <v>318</v>
      </c>
      <c r="F534" s="61" t="s">
        <v>125</v>
      </c>
      <c r="G534" s="61">
        <v>5000</v>
      </c>
      <c r="H534" s="61"/>
      <c r="I534" s="61"/>
      <c r="J534" s="61"/>
      <c r="K534" s="61"/>
      <c r="L534" s="124"/>
    </row>
    <row r="535" spans="1:12" ht="15.75">
      <c r="A535" s="5"/>
      <c r="B535" s="368"/>
      <c r="C535" s="357"/>
      <c r="D535" s="180">
        <v>22</v>
      </c>
      <c r="E535" s="124" t="s">
        <v>146</v>
      </c>
      <c r="F535" s="61" t="s">
        <v>123</v>
      </c>
      <c r="G535" s="61"/>
      <c r="H535" s="61"/>
      <c r="I535" s="61"/>
      <c r="J535" s="61"/>
      <c r="K535" s="61"/>
      <c r="L535" s="124"/>
    </row>
    <row r="536" spans="1:12" ht="15.75">
      <c r="A536" s="5"/>
      <c r="B536" s="368"/>
      <c r="C536" s="358"/>
      <c r="D536" s="124"/>
      <c r="E536" s="124"/>
      <c r="F536" s="61"/>
      <c r="G536" s="61"/>
      <c r="H536" s="61"/>
      <c r="I536" s="61"/>
      <c r="J536" s="61"/>
      <c r="K536" s="61"/>
      <c r="L536" s="124"/>
    </row>
    <row r="537" spans="1:12" ht="15.75">
      <c r="A537" s="5"/>
      <c r="B537" s="367" t="s">
        <v>1322</v>
      </c>
      <c r="C537" s="356" t="s">
        <v>1728</v>
      </c>
      <c r="D537" s="125">
        <v>1</v>
      </c>
      <c r="E537" s="125" t="s">
        <v>1641</v>
      </c>
      <c r="F537" s="61" t="s">
        <v>87</v>
      </c>
      <c r="G537" s="61" t="s">
        <v>1642</v>
      </c>
      <c r="H537" s="61"/>
      <c r="I537" s="61"/>
      <c r="J537" s="61"/>
      <c r="K537" s="61"/>
      <c r="L537" s="125"/>
    </row>
    <row r="538" spans="1:12" ht="15.75">
      <c r="A538" s="5"/>
      <c r="B538" s="368"/>
      <c r="C538" s="357"/>
      <c r="D538" s="125">
        <v>2</v>
      </c>
      <c r="E538" s="125" t="s">
        <v>142</v>
      </c>
      <c r="F538" s="61" t="s">
        <v>122</v>
      </c>
      <c r="G538" s="61"/>
      <c r="H538" s="61"/>
      <c r="I538" s="61"/>
      <c r="J538" s="61"/>
      <c r="K538" s="61"/>
      <c r="L538" s="125"/>
    </row>
    <row r="539" spans="1:12" ht="15.75">
      <c r="A539" s="5"/>
      <c r="B539" s="368"/>
      <c r="C539" s="357"/>
      <c r="D539" s="180">
        <v>3</v>
      </c>
      <c r="E539" s="125"/>
      <c r="F539" s="61" t="s">
        <v>125</v>
      </c>
      <c r="G539" s="61">
        <v>100</v>
      </c>
      <c r="H539" s="61"/>
      <c r="I539" s="61"/>
      <c r="J539" s="61"/>
      <c r="K539" s="61"/>
      <c r="L539" s="125"/>
    </row>
    <row r="540" spans="1:12" ht="15.75">
      <c r="A540" s="5"/>
      <c r="B540" s="368"/>
      <c r="C540" s="357"/>
      <c r="D540" s="180">
        <v>4</v>
      </c>
      <c r="E540" s="128" t="s">
        <v>1376</v>
      </c>
      <c r="F540" s="61" t="s">
        <v>130</v>
      </c>
      <c r="G540" s="61" t="s">
        <v>162</v>
      </c>
      <c r="H540" s="61" t="s">
        <v>1294</v>
      </c>
      <c r="I540" s="61"/>
      <c r="J540" s="61"/>
      <c r="K540" s="61"/>
      <c r="L540" s="125"/>
    </row>
    <row r="541" spans="1:12" ht="15.75">
      <c r="A541" s="5"/>
      <c r="B541" s="368"/>
      <c r="C541" s="357"/>
      <c r="D541" s="180">
        <v>5</v>
      </c>
      <c r="E541" s="128"/>
      <c r="F541" s="61" t="s">
        <v>131</v>
      </c>
      <c r="G541" s="61" t="s">
        <v>162</v>
      </c>
      <c r="H541" s="61">
        <v>1</v>
      </c>
      <c r="I541" s="61"/>
      <c r="J541" s="61"/>
      <c r="K541" s="61"/>
      <c r="L541" s="125"/>
    </row>
    <row r="542" spans="1:12" ht="15.75">
      <c r="A542" s="5"/>
      <c r="B542" s="368"/>
      <c r="C542" s="357"/>
      <c r="D542" s="180">
        <v>6</v>
      </c>
      <c r="E542" s="180"/>
      <c r="F542" s="61" t="s">
        <v>1933</v>
      </c>
      <c r="G542" s="61">
        <v>100</v>
      </c>
      <c r="H542" s="61"/>
      <c r="I542" s="61"/>
      <c r="J542" s="61"/>
      <c r="K542" s="61"/>
      <c r="L542" s="180"/>
    </row>
    <row r="543" spans="1:12" ht="15.75">
      <c r="A543" s="5"/>
      <c r="B543" s="368"/>
      <c r="C543" s="357"/>
      <c r="D543" s="180">
        <v>7</v>
      </c>
      <c r="E543" s="128"/>
      <c r="F543" s="61" t="s">
        <v>135</v>
      </c>
      <c r="G543" s="61">
        <v>6</v>
      </c>
      <c r="H543" s="61" t="s">
        <v>1294</v>
      </c>
      <c r="I543" s="61" t="s">
        <v>162</v>
      </c>
      <c r="J543" s="61"/>
      <c r="K543" s="61"/>
      <c r="L543" s="125"/>
    </row>
    <row r="544" spans="1:12" ht="15.75">
      <c r="A544" s="5"/>
      <c r="B544" s="368"/>
      <c r="C544" s="357"/>
      <c r="D544" s="180">
        <v>8</v>
      </c>
      <c r="E544" s="180"/>
      <c r="F544" s="61" t="s">
        <v>1933</v>
      </c>
      <c r="G544" s="61">
        <v>100</v>
      </c>
      <c r="H544" s="61"/>
      <c r="I544" s="61"/>
      <c r="J544" s="61"/>
      <c r="K544" s="61"/>
      <c r="L544" s="180"/>
    </row>
    <row r="545" spans="1:12" ht="15.75">
      <c r="A545" s="5"/>
      <c r="B545" s="368"/>
      <c r="C545" s="357"/>
      <c r="D545" s="180">
        <v>9</v>
      </c>
      <c r="E545" s="128"/>
      <c r="F545" s="61" t="s">
        <v>1372</v>
      </c>
      <c r="G545" s="61" t="s">
        <v>1371</v>
      </c>
      <c r="H545" s="61" t="s">
        <v>1294</v>
      </c>
      <c r="I545" s="61"/>
      <c r="J545" s="61"/>
      <c r="K545" s="61"/>
      <c r="L545" s="125"/>
    </row>
    <row r="546" spans="1:12" ht="15.75">
      <c r="A546" s="5"/>
      <c r="B546" s="368"/>
      <c r="C546" s="357"/>
      <c r="D546" s="180">
        <v>10</v>
      </c>
      <c r="E546" s="128"/>
      <c r="F546" s="61" t="s">
        <v>1379</v>
      </c>
      <c r="G546" s="61" t="s">
        <v>1371</v>
      </c>
      <c r="H546" s="61" t="s">
        <v>1374</v>
      </c>
      <c r="I546" s="61"/>
      <c r="J546" s="61"/>
      <c r="K546" s="61"/>
      <c r="L546" s="125"/>
    </row>
    <row r="547" spans="1:12" ht="15.75">
      <c r="A547" s="5"/>
      <c r="B547" s="368"/>
      <c r="C547" s="357"/>
      <c r="D547" s="180">
        <v>11</v>
      </c>
      <c r="E547" s="128"/>
      <c r="F547" s="61" t="s">
        <v>1377</v>
      </c>
      <c r="G547" s="61">
        <v>8</v>
      </c>
      <c r="H547" s="61">
        <v>2</v>
      </c>
      <c r="I547" s="61" t="s">
        <v>162</v>
      </c>
      <c r="J547" s="61"/>
      <c r="K547" s="61"/>
      <c r="L547" s="128"/>
    </row>
    <row r="548" spans="1:12" ht="15.75">
      <c r="A548" s="5"/>
      <c r="B548" s="368"/>
      <c r="C548" s="357"/>
      <c r="D548" s="180">
        <v>12</v>
      </c>
      <c r="E548" s="128"/>
      <c r="F548" s="61" t="s">
        <v>1372</v>
      </c>
      <c r="G548" s="61" t="s">
        <v>1371</v>
      </c>
      <c r="H548" s="61" t="s">
        <v>1294</v>
      </c>
      <c r="I548" s="61"/>
      <c r="J548" s="61"/>
      <c r="K548" s="61"/>
      <c r="L548" s="128"/>
    </row>
    <row r="549" spans="1:12" ht="15.75">
      <c r="A549" s="5"/>
      <c r="B549" s="368"/>
      <c r="C549" s="357"/>
      <c r="D549" s="180">
        <v>13</v>
      </c>
      <c r="E549" s="128"/>
      <c r="F549" s="61" t="s">
        <v>1372</v>
      </c>
      <c r="G549" s="61" t="s">
        <v>1373</v>
      </c>
      <c r="H549" s="61" t="s">
        <v>1294</v>
      </c>
      <c r="I549" s="61"/>
      <c r="J549" s="61"/>
      <c r="K549" s="61"/>
      <c r="L549" s="128"/>
    </row>
    <row r="550" spans="1:12" ht="15.75">
      <c r="A550" s="5"/>
      <c r="B550" s="368"/>
      <c r="C550" s="357"/>
      <c r="D550" s="180">
        <v>14</v>
      </c>
      <c r="E550" s="128"/>
      <c r="F550" s="61" t="s">
        <v>1375</v>
      </c>
      <c r="G550" s="61" t="s">
        <v>1373</v>
      </c>
      <c r="H550" s="61">
        <v>2</v>
      </c>
      <c r="I550" s="61"/>
      <c r="J550" s="61"/>
      <c r="K550" s="61"/>
      <c r="L550" s="128"/>
    </row>
    <row r="551" spans="1:12" ht="15.75">
      <c r="A551" s="5"/>
      <c r="B551" s="368"/>
      <c r="C551" s="357"/>
      <c r="D551" s="180">
        <v>15</v>
      </c>
      <c r="E551" s="125" t="s">
        <v>166</v>
      </c>
      <c r="F551" s="61" t="s">
        <v>127</v>
      </c>
      <c r="G551" s="61" t="s">
        <v>1331</v>
      </c>
      <c r="H551" s="61" t="s">
        <v>162</v>
      </c>
      <c r="I551" s="61">
        <v>1</v>
      </c>
      <c r="J551" s="61"/>
      <c r="K551" s="61"/>
      <c r="L551" s="125"/>
    </row>
    <row r="552" spans="1:12" ht="15.75">
      <c r="A552" s="5"/>
      <c r="B552" s="368"/>
      <c r="C552" s="357"/>
      <c r="D552" s="180">
        <v>16</v>
      </c>
      <c r="E552" s="180"/>
      <c r="F552" s="61" t="s">
        <v>1933</v>
      </c>
      <c r="G552" s="61">
        <v>100</v>
      </c>
      <c r="H552" s="61"/>
      <c r="I552" s="61"/>
      <c r="J552" s="61"/>
      <c r="K552" s="61"/>
      <c r="L552" s="180"/>
    </row>
    <row r="553" spans="1:12" ht="15.75">
      <c r="A553" s="5"/>
      <c r="B553" s="368"/>
      <c r="C553" s="357"/>
      <c r="D553" s="180">
        <v>17</v>
      </c>
      <c r="E553" s="125"/>
      <c r="F553" s="61" t="s">
        <v>135</v>
      </c>
      <c r="G553" s="61">
        <v>16</v>
      </c>
      <c r="H553" s="61" t="s">
        <v>1294</v>
      </c>
      <c r="I553" s="61" t="s">
        <v>1301</v>
      </c>
      <c r="J553" s="61"/>
      <c r="K553" s="61"/>
      <c r="L553" s="125"/>
    </row>
    <row r="554" spans="1:12" ht="15.75">
      <c r="A554" s="5"/>
      <c r="B554" s="368"/>
      <c r="C554" s="357"/>
      <c r="D554" s="180">
        <v>18</v>
      </c>
      <c r="E554" s="180" t="s">
        <v>1524</v>
      </c>
      <c r="F554" s="61" t="s">
        <v>81</v>
      </c>
      <c r="G554" s="61" t="s">
        <v>1517</v>
      </c>
      <c r="H554" s="61"/>
      <c r="I554" s="61"/>
      <c r="J554" s="61"/>
      <c r="K554" s="61"/>
      <c r="L554" s="180"/>
    </row>
    <row r="555" spans="1:12" ht="15.75">
      <c r="A555" s="5"/>
      <c r="B555" s="368"/>
      <c r="C555" s="357"/>
      <c r="D555" s="180">
        <v>19</v>
      </c>
      <c r="E555" s="125" t="s">
        <v>163</v>
      </c>
      <c r="F555" s="61" t="s">
        <v>164</v>
      </c>
      <c r="G555" s="61">
        <v>1</v>
      </c>
      <c r="H555" s="61">
        <v>4</v>
      </c>
      <c r="I555" s="61" t="s">
        <v>165</v>
      </c>
      <c r="J555" s="61"/>
      <c r="K555" s="61"/>
      <c r="L555" s="125"/>
    </row>
    <row r="556" spans="1:12" ht="15.75">
      <c r="A556" s="5"/>
      <c r="B556" s="368"/>
      <c r="C556" s="357"/>
      <c r="D556" s="180">
        <v>20</v>
      </c>
      <c r="E556" s="125" t="s">
        <v>166</v>
      </c>
      <c r="F556" s="61" t="s">
        <v>127</v>
      </c>
      <c r="G556" s="61" t="s">
        <v>1331</v>
      </c>
      <c r="H556" s="61" t="s">
        <v>1301</v>
      </c>
      <c r="I556" s="61">
        <v>3</v>
      </c>
      <c r="J556" s="61"/>
      <c r="K556" s="61"/>
      <c r="L556" s="125"/>
    </row>
    <row r="557" spans="1:12" ht="15.75">
      <c r="A557" s="5"/>
      <c r="B557" s="368"/>
      <c r="C557" s="357"/>
      <c r="D557" s="180">
        <v>21</v>
      </c>
      <c r="E557" s="125" t="s">
        <v>194</v>
      </c>
      <c r="F557" s="61" t="s">
        <v>125</v>
      </c>
      <c r="G557" s="61" t="s">
        <v>1546</v>
      </c>
      <c r="H557" s="61"/>
      <c r="I557" s="61"/>
      <c r="J557" s="61"/>
      <c r="K557" s="61"/>
      <c r="L557" s="125"/>
    </row>
    <row r="558" spans="1:12" ht="15.75">
      <c r="A558" s="5"/>
      <c r="B558" s="368"/>
      <c r="C558" s="357"/>
      <c r="D558" s="180">
        <v>22</v>
      </c>
      <c r="E558" s="180" t="s">
        <v>1525</v>
      </c>
      <c r="F558" s="61" t="s">
        <v>81</v>
      </c>
      <c r="G558" s="61" t="s">
        <v>196</v>
      </c>
      <c r="H558" s="61" t="s">
        <v>197</v>
      </c>
      <c r="I558" s="61" t="s">
        <v>197</v>
      </c>
      <c r="J558" s="61"/>
      <c r="K558" s="61"/>
      <c r="L558" s="180"/>
    </row>
    <row r="559" spans="1:12" ht="15.75">
      <c r="A559" s="5"/>
      <c r="B559" s="368"/>
      <c r="C559" s="357"/>
      <c r="D559" s="180">
        <v>23</v>
      </c>
      <c r="E559" s="180"/>
      <c r="F559" s="61" t="s">
        <v>81</v>
      </c>
      <c r="G559" s="61" t="s">
        <v>198</v>
      </c>
      <c r="H559" s="61" t="s">
        <v>199</v>
      </c>
      <c r="I559" s="61" t="s">
        <v>197</v>
      </c>
      <c r="J559" s="61" t="s">
        <v>197</v>
      </c>
      <c r="K559" s="61">
        <v>1</v>
      </c>
      <c r="L559" s="180"/>
    </row>
    <row r="560" spans="1:12" ht="15.75">
      <c r="A560" s="5"/>
      <c r="B560" s="368"/>
      <c r="C560" s="357"/>
      <c r="D560" s="180">
        <v>24</v>
      </c>
      <c r="E560" s="125" t="s">
        <v>146</v>
      </c>
      <c r="F560" s="61" t="s">
        <v>123</v>
      </c>
      <c r="G560" s="61"/>
      <c r="H560" s="61"/>
      <c r="I560" s="61"/>
      <c r="J560" s="61"/>
      <c r="K560" s="61"/>
      <c r="L560" s="125"/>
    </row>
    <row r="561" spans="1:12" ht="15.75">
      <c r="A561" s="5"/>
      <c r="B561" s="368"/>
      <c r="C561" s="358"/>
      <c r="D561" s="125"/>
      <c r="E561" s="125"/>
      <c r="F561" s="61"/>
      <c r="G561" s="61"/>
      <c r="H561" s="61"/>
      <c r="I561" s="61"/>
      <c r="J561" s="61"/>
      <c r="K561" s="61"/>
      <c r="L561" s="125"/>
    </row>
    <row r="562" spans="1:12" ht="15.75">
      <c r="A562" s="5"/>
      <c r="B562" s="367" t="s">
        <v>1323</v>
      </c>
      <c r="C562" s="356" t="s">
        <v>1728</v>
      </c>
      <c r="D562" s="125">
        <v>1</v>
      </c>
      <c r="E562" s="125" t="s">
        <v>1641</v>
      </c>
      <c r="F562" s="61" t="s">
        <v>87</v>
      </c>
      <c r="G562" s="61" t="s">
        <v>1642</v>
      </c>
      <c r="H562" s="61"/>
      <c r="I562" s="61"/>
      <c r="J562" s="61"/>
      <c r="K562" s="61"/>
      <c r="L562" s="125"/>
    </row>
    <row r="563" spans="1:12" ht="15.75">
      <c r="A563" s="5"/>
      <c r="B563" s="368"/>
      <c r="C563" s="357"/>
      <c r="D563" s="125">
        <v>2</v>
      </c>
      <c r="E563" s="125" t="s">
        <v>142</v>
      </c>
      <c r="F563" s="61" t="s">
        <v>122</v>
      </c>
      <c r="G563" s="61"/>
      <c r="H563" s="61"/>
      <c r="I563" s="61"/>
      <c r="J563" s="61"/>
      <c r="K563" s="61"/>
      <c r="L563" s="125"/>
    </row>
    <row r="564" spans="1:12" ht="15.75">
      <c r="A564" s="5"/>
      <c r="B564" s="368"/>
      <c r="C564" s="357"/>
      <c r="D564" s="128">
        <v>3</v>
      </c>
      <c r="E564" s="125"/>
      <c r="F564" s="61" t="s">
        <v>125</v>
      </c>
      <c r="G564" s="61">
        <v>100</v>
      </c>
      <c r="H564" s="61"/>
      <c r="I564" s="61"/>
      <c r="J564" s="61"/>
      <c r="K564" s="61"/>
      <c r="L564" s="125"/>
    </row>
    <row r="565" spans="1:12" ht="15.75">
      <c r="A565" s="5"/>
      <c r="B565" s="368"/>
      <c r="C565" s="357"/>
      <c r="D565" s="180">
        <v>4</v>
      </c>
      <c r="E565" s="128" t="s">
        <v>1376</v>
      </c>
      <c r="F565" s="61" t="s">
        <v>130</v>
      </c>
      <c r="G565" s="61" t="s">
        <v>162</v>
      </c>
      <c r="H565" s="61" t="s">
        <v>1294</v>
      </c>
      <c r="I565" s="61"/>
      <c r="J565" s="61"/>
      <c r="K565" s="61"/>
      <c r="L565" s="125"/>
    </row>
    <row r="566" spans="1:12" ht="15.75">
      <c r="A566" s="5"/>
      <c r="B566" s="368"/>
      <c r="C566" s="357"/>
      <c r="D566" s="180">
        <v>5</v>
      </c>
      <c r="E566" s="128"/>
      <c r="F566" s="61" t="s">
        <v>131</v>
      </c>
      <c r="G566" s="61" t="s">
        <v>162</v>
      </c>
      <c r="H566" s="61">
        <v>1</v>
      </c>
      <c r="I566" s="61"/>
      <c r="J566" s="61"/>
      <c r="K566" s="61"/>
      <c r="L566" s="125"/>
    </row>
    <row r="567" spans="1:12" ht="15.75">
      <c r="A567" s="5"/>
      <c r="B567" s="368"/>
      <c r="C567" s="357"/>
      <c r="D567" s="180">
        <v>6</v>
      </c>
      <c r="E567" s="180"/>
      <c r="F567" s="61" t="s">
        <v>1933</v>
      </c>
      <c r="G567" s="61">
        <v>100</v>
      </c>
      <c r="H567" s="61"/>
      <c r="I567" s="61"/>
      <c r="J567" s="61"/>
      <c r="K567" s="61"/>
      <c r="L567" s="180"/>
    </row>
    <row r="568" spans="1:12" ht="15.75">
      <c r="A568" s="5"/>
      <c r="B568" s="368"/>
      <c r="C568" s="357"/>
      <c r="D568" s="180">
        <v>7</v>
      </c>
      <c r="E568" s="128"/>
      <c r="F568" s="61" t="s">
        <v>135</v>
      </c>
      <c r="G568" s="61">
        <v>6</v>
      </c>
      <c r="H568" s="61" t="s">
        <v>1294</v>
      </c>
      <c r="I568" s="61" t="s">
        <v>162</v>
      </c>
      <c r="J568" s="61"/>
      <c r="K568" s="61"/>
      <c r="L568" s="125"/>
    </row>
    <row r="569" spans="1:12" ht="15.75">
      <c r="A569" s="5"/>
      <c r="B569" s="368"/>
      <c r="C569" s="357"/>
      <c r="D569" s="180">
        <v>8</v>
      </c>
      <c r="E569" s="180"/>
      <c r="F569" s="61" t="s">
        <v>1933</v>
      </c>
      <c r="G569" s="61">
        <v>100</v>
      </c>
      <c r="H569" s="61"/>
      <c r="I569" s="61"/>
      <c r="J569" s="61"/>
      <c r="K569" s="61"/>
      <c r="L569" s="180"/>
    </row>
    <row r="570" spans="1:12" ht="15.75">
      <c r="A570" s="5"/>
      <c r="B570" s="368"/>
      <c r="C570" s="357"/>
      <c r="D570" s="180">
        <v>9</v>
      </c>
      <c r="E570" s="128"/>
      <c r="F570" s="61" t="s">
        <v>1372</v>
      </c>
      <c r="G570" s="61" t="s">
        <v>1371</v>
      </c>
      <c r="H570" s="61" t="s">
        <v>1294</v>
      </c>
      <c r="I570" s="61"/>
      <c r="J570" s="61"/>
      <c r="K570" s="61"/>
      <c r="L570" s="125"/>
    </row>
    <row r="571" spans="1:12" ht="15.75">
      <c r="A571" s="5"/>
      <c r="B571" s="368"/>
      <c r="C571" s="357"/>
      <c r="D571" s="180">
        <v>10</v>
      </c>
      <c r="E571" s="128"/>
      <c r="F571" s="61" t="s">
        <v>1379</v>
      </c>
      <c r="G571" s="61" t="s">
        <v>1371</v>
      </c>
      <c r="H571" s="61" t="s">
        <v>1374</v>
      </c>
      <c r="I571" s="61"/>
      <c r="J571" s="61"/>
      <c r="K571" s="61"/>
      <c r="L571" s="125"/>
    </row>
    <row r="572" spans="1:12" ht="15.75">
      <c r="A572" s="5"/>
      <c r="B572" s="368"/>
      <c r="C572" s="357"/>
      <c r="D572" s="180">
        <v>11</v>
      </c>
      <c r="E572" s="128"/>
      <c r="F572" s="61" t="s">
        <v>1377</v>
      </c>
      <c r="G572" s="61">
        <v>8</v>
      </c>
      <c r="H572" s="61">
        <v>2</v>
      </c>
      <c r="I572" s="61" t="s">
        <v>162</v>
      </c>
      <c r="J572" s="61"/>
      <c r="K572" s="61"/>
      <c r="L572" s="128"/>
    </row>
    <row r="573" spans="1:12" ht="15.75">
      <c r="A573" s="5"/>
      <c r="B573" s="368"/>
      <c r="C573" s="357"/>
      <c r="D573" s="180">
        <v>12</v>
      </c>
      <c r="E573" s="128"/>
      <c r="F573" s="61" t="s">
        <v>1372</v>
      </c>
      <c r="G573" s="61" t="s">
        <v>1371</v>
      </c>
      <c r="H573" s="61" t="s">
        <v>1294</v>
      </c>
      <c r="I573" s="61"/>
      <c r="J573" s="61"/>
      <c r="K573" s="61"/>
      <c r="L573" s="128"/>
    </row>
    <row r="574" spans="1:12" ht="15.75">
      <c r="A574" s="5"/>
      <c r="B574" s="368"/>
      <c r="C574" s="357"/>
      <c r="D574" s="180">
        <v>13</v>
      </c>
      <c r="E574" s="128"/>
      <c r="F574" s="61" t="s">
        <v>1372</v>
      </c>
      <c r="G574" s="61" t="s">
        <v>1373</v>
      </c>
      <c r="H574" s="61" t="s">
        <v>1294</v>
      </c>
      <c r="I574" s="61"/>
      <c r="J574" s="61"/>
      <c r="K574" s="61"/>
      <c r="L574" s="128"/>
    </row>
    <row r="575" spans="1:12" ht="15.75">
      <c r="A575" s="5"/>
      <c r="B575" s="368"/>
      <c r="C575" s="357"/>
      <c r="D575" s="180">
        <v>14</v>
      </c>
      <c r="E575" s="128"/>
      <c r="F575" s="61" t="s">
        <v>1375</v>
      </c>
      <c r="G575" s="61" t="s">
        <v>1373</v>
      </c>
      <c r="H575" s="61">
        <v>2</v>
      </c>
      <c r="I575" s="61"/>
      <c r="J575" s="61"/>
      <c r="K575" s="61"/>
      <c r="L575" s="128"/>
    </row>
    <row r="576" spans="1:12" ht="15.75">
      <c r="A576" s="5"/>
      <c r="B576" s="368"/>
      <c r="C576" s="357"/>
      <c r="D576" s="180">
        <v>15</v>
      </c>
      <c r="E576" s="125" t="s">
        <v>166</v>
      </c>
      <c r="F576" s="61" t="s">
        <v>127</v>
      </c>
      <c r="G576" s="61" t="s">
        <v>1331</v>
      </c>
      <c r="H576" s="61" t="s">
        <v>162</v>
      </c>
      <c r="I576" s="61">
        <v>1</v>
      </c>
      <c r="J576" s="61"/>
      <c r="K576" s="61"/>
      <c r="L576" s="125"/>
    </row>
    <row r="577" spans="1:12" ht="15.75">
      <c r="A577" s="5"/>
      <c r="B577" s="368"/>
      <c r="C577" s="357"/>
      <c r="D577" s="180">
        <v>16</v>
      </c>
      <c r="E577" s="180"/>
      <c r="F577" s="61" t="s">
        <v>1933</v>
      </c>
      <c r="G577" s="61">
        <v>100</v>
      </c>
      <c r="H577" s="61"/>
      <c r="I577" s="61"/>
      <c r="J577" s="61"/>
      <c r="K577" s="61"/>
      <c r="L577" s="180"/>
    </row>
    <row r="578" spans="1:12" ht="15.75">
      <c r="A578" s="5"/>
      <c r="B578" s="368"/>
      <c r="C578" s="357"/>
      <c r="D578" s="180">
        <v>17</v>
      </c>
      <c r="E578" s="125"/>
      <c r="F578" s="61" t="s">
        <v>135</v>
      </c>
      <c r="G578" s="61">
        <v>16</v>
      </c>
      <c r="H578" s="61" t="s">
        <v>1294</v>
      </c>
      <c r="I578" s="61" t="s">
        <v>1301</v>
      </c>
      <c r="J578" s="61"/>
      <c r="K578" s="61"/>
      <c r="L578" s="125"/>
    </row>
    <row r="579" spans="1:12" ht="15.75">
      <c r="A579" s="5"/>
      <c r="B579" s="368"/>
      <c r="C579" s="357"/>
      <c r="D579" s="180">
        <v>18</v>
      </c>
      <c r="E579" s="125" t="s">
        <v>163</v>
      </c>
      <c r="F579" s="61" t="s">
        <v>164</v>
      </c>
      <c r="G579" s="61">
        <v>1</v>
      </c>
      <c r="H579" s="61">
        <v>4</v>
      </c>
      <c r="I579" s="61" t="s">
        <v>165</v>
      </c>
      <c r="J579" s="61"/>
      <c r="K579" s="61"/>
      <c r="L579" s="125"/>
    </row>
    <row r="580" spans="1:12" ht="15.75">
      <c r="A580" s="5"/>
      <c r="B580" s="368"/>
      <c r="C580" s="357"/>
      <c r="D580" s="180">
        <v>19</v>
      </c>
      <c r="E580" s="125" t="s">
        <v>166</v>
      </c>
      <c r="F580" s="61" t="s">
        <v>127</v>
      </c>
      <c r="G580" s="61" t="s">
        <v>1331</v>
      </c>
      <c r="H580" s="61" t="s">
        <v>1301</v>
      </c>
      <c r="I580" s="61">
        <v>3</v>
      </c>
      <c r="J580" s="61"/>
      <c r="K580" s="61"/>
      <c r="L580" s="125"/>
    </row>
    <row r="581" spans="1:12" ht="15.75">
      <c r="A581" s="5"/>
      <c r="B581" s="368"/>
      <c r="C581" s="357"/>
      <c r="D581" s="180">
        <v>20</v>
      </c>
      <c r="E581" s="125" t="s">
        <v>318</v>
      </c>
      <c r="F581" s="61" t="s">
        <v>125</v>
      </c>
      <c r="G581" s="61">
        <v>5000</v>
      </c>
      <c r="H581" s="61"/>
      <c r="I581" s="61"/>
      <c r="J581" s="61"/>
      <c r="K581" s="61"/>
      <c r="L581" s="125"/>
    </row>
    <row r="582" spans="1:12" ht="15.75">
      <c r="A582" s="5"/>
      <c r="B582" s="368"/>
      <c r="C582" s="357"/>
      <c r="D582" s="180">
        <v>21</v>
      </c>
      <c r="E582" s="125" t="s">
        <v>146</v>
      </c>
      <c r="F582" s="61" t="s">
        <v>123</v>
      </c>
      <c r="G582" s="61"/>
      <c r="H582" s="61"/>
      <c r="I582" s="61"/>
      <c r="J582" s="61"/>
      <c r="K582" s="61"/>
      <c r="L582" s="125"/>
    </row>
    <row r="583" spans="1:12" ht="15.75">
      <c r="A583" s="5"/>
      <c r="B583" s="368"/>
      <c r="C583" s="358"/>
      <c r="D583" s="125"/>
      <c r="E583" s="125"/>
      <c r="F583" s="61"/>
      <c r="G583" s="61"/>
      <c r="H583" s="61"/>
      <c r="I583" s="61"/>
      <c r="J583" s="61"/>
      <c r="K583" s="61"/>
      <c r="L583" s="125"/>
    </row>
    <row r="584" spans="1:12" ht="15.75">
      <c r="A584" s="5"/>
      <c r="B584" s="367" t="s">
        <v>1324</v>
      </c>
      <c r="C584" s="356" t="s">
        <v>1728</v>
      </c>
      <c r="D584" s="125">
        <v>1</v>
      </c>
      <c r="E584" s="125" t="s">
        <v>1641</v>
      </c>
      <c r="F584" s="61" t="s">
        <v>87</v>
      </c>
      <c r="G584" s="61" t="s">
        <v>1642</v>
      </c>
      <c r="H584" s="61"/>
      <c r="I584" s="61"/>
      <c r="J584" s="61"/>
      <c r="K584" s="61"/>
      <c r="L584" s="125"/>
    </row>
    <row r="585" spans="1:12" ht="15.75">
      <c r="A585" s="5"/>
      <c r="B585" s="368"/>
      <c r="C585" s="357"/>
      <c r="D585" s="125">
        <v>2</v>
      </c>
      <c r="E585" s="125" t="s">
        <v>142</v>
      </c>
      <c r="F585" s="61" t="s">
        <v>122</v>
      </c>
      <c r="G585" s="61"/>
      <c r="H585" s="61"/>
      <c r="I585" s="61"/>
      <c r="J585" s="61"/>
      <c r="K585" s="61"/>
      <c r="L585" s="125"/>
    </row>
    <row r="586" spans="1:12" ht="15.75">
      <c r="A586" s="5"/>
      <c r="B586" s="368"/>
      <c r="C586" s="357"/>
      <c r="D586" s="180">
        <v>3</v>
      </c>
      <c r="E586" s="125"/>
      <c r="F586" s="61" t="s">
        <v>125</v>
      </c>
      <c r="G586" s="61">
        <v>100</v>
      </c>
      <c r="H586" s="61"/>
      <c r="I586" s="61"/>
      <c r="J586" s="61"/>
      <c r="K586" s="61"/>
      <c r="L586" s="125"/>
    </row>
    <row r="587" spans="1:12" ht="15.75">
      <c r="A587" s="5"/>
      <c r="B587" s="368"/>
      <c r="C587" s="357"/>
      <c r="D587" s="180">
        <v>4</v>
      </c>
      <c r="E587" s="128" t="s">
        <v>1376</v>
      </c>
      <c r="F587" s="61" t="s">
        <v>130</v>
      </c>
      <c r="G587" s="61" t="s">
        <v>162</v>
      </c>
      <c r="H587" s="61" t="s">
        <v>1294</v>
      </c>
      <c r="I587" s="61"/>
      <c r="J587" s="61"/>
      <c r="K587" s="61"/>
      <c r="L587" s="125"/>
    </row>
    <row r="588" spans="1:12" ht="15.75">
      <c r="A588" s="5"/>
      <c r="B588" s="368"/>
      <c r="C588" s="357"/>
      <c r="D588" s="180">
        <v>5</v>
      </c>
      <c r="E588" s="128"/>
      <c r="F588" s="61" t="s">
        <v>131</v>
      </c>
      <c r="G588" s="61" t="s">
        <v>162</v>
      </c>
      <c r="H588" s="61">
        <v>1</v>
      </c>
      <c r="I588" s="61"/>
      <c r="J588" s="61"/>
      <c r="K588" s="61"/>
      <c r="L588" s="125"/>
    </row>
    <row r="589" spans="1:12" ht="15.75">
      <c r="A589" s="5"/>
      <c r="B589" s="368"/>
      <c r="C589" s="357"/>
      <c r="D589" s="180">
        <v>6</v>
      </c>
      <c r="E589" s="180"/>
      <c r="F589" s="61" t="s">
        <v>1933</v>
      </c>
      <c r="G589" s="61">
        <v>100</v>
      </c>
      <c r="H589" s="61"/>
      <c r="I589" s="61"/>
      <c r="J589" s="61"/>
      <c r="K589" s="61"/>
      <c r="L589" s="180"/>
    </row>
    <row r="590" spans="1:12" ht="15.75">
      <c r="A590" s="5"/>
      <c r="B590" s="368"/>
      <c r="C590" s="357"/>
      <c r="D590" s="180">
        <v>7</v>
      </c>
      <c r="E590" s="128"/>
      <c r="F590" s="61" t="s">
        <v>135</v>
      </c>
      <c r="G590" s="61">
        <v>6</v>
      </c>
      <c r="H590" s="61" t="s">
        <v>1294</v>
      </c>
      <c r="I590" s="61" t="s">
        <v>162</v>
      </c>
      <c r="J590" s="61"/>
      <c r="K590" s="61"/>
      <c r="L590" s="125"/>
    </row>
    <row r="591" spans="1:12" ht="15.75">
      <c r="A591" s="5"/>
      <c r="B591" s="368"/>
      <c r="C591" s="357"/>
      <c r="D591" s="180">
        <v>8</v>
      </c>
      <c r="E591" s="180"/>
      <c r="F591" s="61" t="s">
        <v>1933</v>
      </c>
      <c r="G591" s="61">
        <v>100</v>
      </c>
      <c r="H591" s="61"/>
      <c r="I591" s="61"/>
      <c r="J591" s="61"/>
      <c r="K591" s="61"/>
      <c r="L591" s="180"/>
    </row>
    <row r="592" spans="1:12" ht="15.75">
      <c r="A592" s="5"/>
      <c r="B592" s="368"/>
      <c r="C592" s="357"/>
      <c r="D592" s="180">
        <v>9</v>
      </c>
      <c r="E592" s="128"/>
      <c r="F592" s="61" t="s">
        <v>1372</v>
      </c>
      <c r="G592" s="61" t="s">
        <v>1371</v>
      </c>
      <c r="H592" s="61" t="s">
        <v>1294</v>
      </c>
      <c r="I592" s="61"/>
      <c r="J592" s="61"/>
      <c r="K592" s="61"/>
      <c r="L592" s="125"/>
    </row>
    <row r="593" spans="1:12" ht="15.75">
      <c r="A593" s="5"/>
      <c r="B593" s="368"/>
      <c r="C593" s="357"/>
      <c r="D593" s="180">
        <v>10</v>
      </c>
      <c r="E593" s="128"/>
      <c r="F593" s="61" t="s">
        <v>1379</v>
      </c>
      <c r="G593" s="61" t="s">
        <v>1371</v>
      </c>
      <c r="H593" s="61" t="s">
        <v>1374</v>
      </c>
      <c r="I593" s="61"/>
      <c r="J593" s="61"/>
      <c r="K593" s="61"/>
      <c r="L593" s="125"/>
    </row>
    <row r="594" spans="1:12" ht="15.75">
      <c r="A594" s="5"/>
      <c r="B594" s="368"/>
      <c r="C594" s="357"/>
      <c r="D594" s="180">
        <v>11</v>
      </c>
      <c r="E594" s="128"/>
      <c r="F594" s="61" t="s">
        <v>1377</v>
      </c>
      <c r="G594" s="61">
        <v>8</v>
      </c>
      <c r="H594" s="61">
        <v>2</v>
      </c>
      <c r="I594" s="61" t="s">
        <v>162</v>
      </c>
      <c r="J594" s="61"/>
      <c r="K594" s="61"/>
      <c r="L594" s="128"/>
    </row>
    <row r="595" spans="1:12" ht="15.75">
      <c r="A595" s="5"/>
      <c r="B595" s="368"/>
      <c r="C595" s="357"/>
      <c r="D595" s="180">
        <v>12</v>
      </c>
      <c r="E595" s="128"/>
      <c r="F595" s="61" t="s">
        <v>1372</v>
      </c>
      <c r="G595" s="61" t="s">
        <v>1371</v>
      </c>
      <c r="H595" s="61" t="s">
        <v>1294</v>
      </c>
      <c r="I595" s="61"/>
      <c r="J595" s="61"/>
      <c r="K595" s="61"/>
      <c r="L595" s="128"/>
    </row>
    <row r="596" spans="1:12" ht="15.75">
      <c r="A596" s="5"/>
      <c r="B596" s="368"/>
      <c r="C596" s="357"/>
      <c r="D596" s="180">
        <v>13</v>
      </c>
      <c r="E596" s="128"/>
      <c r="F596" s="61" t="s">
        <v>1372</v>
      </c>
      <c r="G596" s="61" t="s">
        <v>1373</v>
      </c>
      <c r="H596" s="61" t="s">
        <v>1294</v>
      </c>
      <c r="I596" s="61"/>
      <c r="J596" s="61"/>
      <c r="K596" s="61"/>
      <c r="L596" s="128"/>
    </row>
    <row r="597" spans="1:12" ht="15.75">
      <c r="A597" s="5"/>
      <c r="B597" s="368"/>
      <c r="C597" s="357"/>
      <c r="D597" s="180">
        <v>14</v>
      </c>
      <c r="E597" s="128"/>
      <c r="F597" s="61" t="s">
        <v>1375</v>
      </c>
      <c r="G597" s="61" t="s">
        <v>1373</v>
      </c>
      <c r="H597" s="61">
        <v>2</v>
      </c>
      <c r="I597" s="61"/>
      <c r="J597" s="61"/>
      <c r="K597" s="61"/>
      <c r="L597" s="128"/>
    </row>
    <row r="598" spans="1:12" ht="15.75">
      <c r="A598" s="5"/>
      <c r="B598" s="368"/>
      <c r="C598" s="357"/>
      <c r="D598" s="180">
        <v>15</v>
      </c>
      <c r="E598" s="125" t="s">
        <v>166</v>
      </c>
      <c r="F598" s="61" t="s">
        <v>127</v>
      </c>
      <c r="G598" s="61" t="s">
        <v>1331</v>
      </c>
      <c r="H598" s="61" t="s">
        <v>162</v>
      </c>
      <c r="I598" s="61">
        <v>1</v>
      </c>
      <c r="J598" s="61"/>
      <c r="K598" s="61"/>
      <c r="L598" s="125"/>
    </row>
    <row r="599" spans="1:12" ht="15.75">
      <c r="A599" s="5"/>
      <c r="B599" s="368"/>
      <c r="C599" s="357"/>
      <c r="D599" s="180">
        <v>16</v>
      </c>
      <c r="E599" s="180"/>
      <c r="F599" s="61" t="s">
        <v>1933</v>
      </c>
      <c r="G599" s="61">
        <v>100</v>
      </c>
      <c r="H599" s="61"/>
      <c r="I599" s="61"/>
      <c r="J599" s="61"/>
      <c r="K599" s="61"/>
      <c r="L599" s="180"/>
    </row>
    <row r="600" spans="1:12" ht="15.75">
      <c r="A600" s="5"/>
      <c r="B600" s="368"/>
      <c r="C600" s="357"/>
      <c r="D600" s="180">
        <v>17</v>
      </c>
      <c r="E600" s="125"/>
      <c r="F600" s="61" t="s">
        <v>135</v>
      </c>
      <c r="G600" s="61">
        <v>16</v>
      </c>
      <c r="H600" s="61" t="s">
        <v>1294</v>
      </c>
      <c r="I600" s="61" t="s">
        <v>1301</v>
      </c>
      <c r="J600" s="61"/>
      <c r="K600" s="61"/>
      <c r="L600" s="125"/>
    </row>
    <row r="601" spans="1:12" ht="15.75">
      <c r="A601" s="5"/>
      <c r="B601" s="368"/>
      <c r="C601" s="357"/>
      <c r="D601" s="180">
        <v>18</v>
      </c>
      <c r="E601" s="180" t="s">
        <v>1524</v>
      </c>
      <c r="F601" s="61" t="s">
        <v>81</v>
      </c>
      <c r="G601" s="61" t="s">
        <v>1517</v>
      </c>
      <c r="H601" s="61"/>
      <c r="I601" s="61"/>
      <c r="J601" s="61"/>
      <c r="K601" s="61"/>
      <c r="L601" s="180"/>
    </row>
    <row r="602" spans="1:12" ht="15.75">
      <c r="A602" s="5"/>
      <c r="B602" s="368"/>
      <c r="C602" s="357"/>
      <c r="D602" s="180">
        <v>19</v>
      </c>
      <c r="E602" s="125" t="s">
        <v>163</v>
      </c>
      <c r="F602" s="61" t="s">
        <v>164</v>
      </c>
      <c r="G602" s="61">
        <v>1</v>
      </c>
      <c r="H602" s="61">
        <v>4</v>
      </c>
      <c r="I602" s="61" t="s">
        <v>165</v>
      </c>
      <c r="J602" s="61"/>
      <c r="K602" s="61"/>
      <c r="L602" s="125"/>
    </row>
    <row r="603" spans="1:12" ht="15.75">
      <c r="A603" s="5"/>
      <c r="B603" s="368"/>
      <c r="C603" s="357"/>
      <c r="D603" s="180">
        <v>20</v>
      </c>
      <c r="E603" s="125" t="s">
        <v>166</v>
      </c>
      <c r="F603" s="61" t="s">
        <v>127</v>
      </c>
      <c r="G603" s="61" t="s">
        <v>1331</v>
      </c>
      <c r="H603" s="61" t="s">
        <v>1301</v>
      </c>
      <c r="I603" s="61">
        <v>5</v>
      </c>
      <c r="J603" s="61"/>
      <c r="K603" s="61"/>
      <c r="L603" s="125"/>
    </row>
    <row r="604" spans="1:12" ht="15.75">
      <c r="A604" s="5"/>
      <c r="B604" s="368"/>
      <c r="C604" s="357"/>
      <c r="D604" s="180">
        <v>21</v>
      </c>
      <c r="E604" s="125" t="s">
        <v>194</v>
      </c>
      <c r="F604" s="61" t="s">
        <v>125</v>
      </c>
      <c r="G604" s="61" t="s">
        <v>1546</v>
      </c>
      <c r="H604" s="61"/>
      <c r="I604" s="61"/>
      <c r="J604" s="61"/>
      <c r="K604" s="61"/>
      <c r="L604" s="125"/>
    </row>
    <row r="605" spans="1:12" ht="15.75">
      <c r="A605" s="5"/>
      <c r="B605" s="368"/>
      <c r="C605" s="357"/>
      <c r="D605" s="180">
        <v>22</v>
      </c>
      <c r="E605" s="180" t="s">
        <v>1525</v>
      </c>
      <c r="F605" s="61" t="s">
        <v>81</v>
      </c>
      <c r="G605" s="61" t="s">
        <v>196</v>
      </c>
      <c r="H605" s="61" t="s">
        <v>197</v>
      </c>
      <c r="I605" s="61" t="s">
        <v>197</v>
      </c>
      <c r="J605" s="61"/>
      <c r="K605" s="61"/>
      <c r="L605" s="180"/>
    </row>
    <row r="606" spans="1:12" ht="15.75">
      <c r="A606" s="5"/>
      <c r="B606" s="368"/>
      <c r="C606" s="357"/>
      <c r="D606" s="180">
        <v>23</v>
      </c>
      <c r="E606" s="180"/>
      <c r="F606" s="61" t="s">
        <v>81</v>
      </c>
      <c r="G606" s="61" t="s">
        <v>198</v>
      </c>
      <c r="H606" s="61" t="s">
        <v>199</v>
      </c>
      <c r="I606" s="61" t="s">
        <v>197</v>
      </c>
      <c r="J606" s="61" t="s">
        <v>197</v>
      </c>
      <c r="K606" s="61">
        <v>1</v>
      </c>
      <c r="L606" s="180"/>
    </row>
    <row r="607" spans="1:12" ht="15.75">
      <c r="A607" s="5"/>
      <c r="B607" s="368"/>
      <c r="C607" s="357"/>
      <c r="D607" s="180">
        <v>24</v>
      </c>
      <c r="E607" s="125" t="s">
        <v>146</v>
      </c>
      <c r="F607" s="61" t="s">
        <v>123</v>
      </c>
      <c r="G607" s="61"/>
      <c r="H607" s="61"/>
      <c r="I607" s="61"/>
      <c r="J607" s="61"/>
      <c r="K607" s="61"/>
      <c r="L607" s="125"/>
    </row>
    <row r="608" spans="1:12" ht="15.75">
      <c r="A608" s="5"/>
      <c r="B608" s="368"/>
      <c r="C608" s="358"/>
      <c r="D608" s="125"/>
      <c r="E608" s="125"/>
      <c r="F608" s="61"/>
      <c r="G608" s="61"/>
      <c r="H608" s="61"/>
      <c r="I608" s="61"/>
      <c r="J608" s="61"/>
      <c r="K608" s="61"/>
      <c r="L608" s="125"/>
    </row>
    <row r="609" spans="1:12" ht="15.75">
      <c r="A609" s="5"/>
      <c r="B609" s="367" t="s">
        <v>1325</v>
      </c>
      <c r="C609" s="356" t="s">
        <v>1728</v>
      </c>
      <c r="D609" s="125">
        <v>1</v>
      </c>
      <c r="E609" s="125" t="s">
        <v>1641</v>
      </c>
      <c r="F609" s="61" t="s">
        <v>87</v>
      </c>
      <c r="G609" s="61" t="s">
        <v>1642</v>
      </c>
      <c r="H609" s="61"/>
      <c r="I609" s="61"/>
      <c r="J609" s="61"/>
      <c r="K609" s="61"/>
      <c r="L609" s="125"/>
    </row>
    <row r="610" spans="1:12" ht="15.75">
      <c r="A610" s="5"/>
      <c r="B610" s="368"/>
      <c r="C610" s="357"/>
      <c r="D610" s="125">
        <v>2</v>
      </c>
      <c r="E610" s="125" t="s">
        <v>142</v>
      </c>
      <c r="F610" s="61" t="s">
        <v>122</v>
      </c>
      <c r="G610" s="61"/>
      <c r="H610" s="61"/>
      <c r="I610" s="61"/>
      <c r="J610" s="61"/>
      <c r="K610" s="61"/>
      <c r="L610" s="125"/>
    </row>
    <row r="611" spans="1:12" ht="15.75">
      <c r="A611" s="5"/>
      <c r="B611" s="368"/>
      <c r="C611" s="357"/>
      <c r="D611" s="128">
        <v>3</v>
      </c>
      <c r="E611" s="125"/>
      <c r="F611" s="61" t="s">
        <v>125</v>
      </c>
      <c r="G611" s="61">
        <v>100</v>
      </c>
      <c r="H611" s="61"/>
      <c r="I611" s="61"/>
      <c r="J611" s="61"/>
      <c r="K611" s="61"/>
      <c r="L611" s="125"/>
    </row>
    <row r="612" spans="1:12" ht="15.75">
      <c r="A612" s="5"/>
      <c r="B612" s="368"/>
      <c r="C612" s="357"/>
      <c r="D612" s="128">
        <v>4</v>
      </c>
      <c r="E612" s="128" t="s">
        <v>1376</v>
      </c>
      <c r="F612" s="61" t="s">
        <v>130</v>
      </c>
      <c r="G612" s="61" t="s">
        <v>162</v>
      </c>
      <c r="H612" s="61" t="s">
        <v>1294</v>
      </c>
      <c r="I612" s="61"/>
      <c r="J612" s="61"/>
      <c r="K612" s="61"/>
      <c r="L612" s="125"/>
    </row>
    <row r="613" spans="1:12" ht="15.75">
      <c r="A613" s="5"/>
      <c r="B613" s="368"/>
      <c r="C613" s="357"/>
      <c r="D613" s="180">
        <v>5</v>
      </c>
      <c r="E613" s="128"/>
      <c r="F613" s="61" t="s">
        <v>131</v>
      </c>
      <c r="G613" s="61" t="s">
        <v>162</v>
      </c>
      <c r="H613" s="61">
        <v>1</v>
      </c>
      <c r="I613" s="61"/>
      <c r="J613" s="61"/>
      <c r="K613" s="61"/>
      <c r="L613" s="125"/>
    </row>
    <row r="614" spans="1:12" ht="15.75">
      <c r="A614" s="5"/>
      <c r="B614" s="368"/>
      <c r="C614" s="357"/>
      <c r="D614" s="180">
        <v>6</v>
      </c>
      <c r="E614" s="180"/>
      <c r="F614" s="61" t="s">
        <v>1933</v>
      </c>
      <c r="G614" s="61">
        <v>100</v>
      </c>
      <c r="H614" s="61"/>
      <c r="I614" s="61"/>
      <c r="J614" s="61"/>
      <c r="K614" s="61"/>
      <c r="L614" s="180"/>
    </row>
    <row r="615" spans="1:12" ht="15.75">
      <c r="A615" s="5"/>
      <c r="B615" s="368"/>
      <c r="C615" s="357"/>
      <c r="D615" s="180">
        <v>7</v>
      </c>
      <c r="E615" s="128"/>
      <c r="F615" s="61" t="s">
        <v>135</v>
      </c>
      <c r="G615" s="61">
        <v>6</v>
      </c>
      <c r="H615" s="61" t="s">
        <v>1294</v>
      </c>
      <c r="I615" s="61" t="s">
        <v>162</v>
      </c>
      <c r="J615" s="61"/>
      <c r="K615" s="61"/>
      <c r="L615" s="125"/>
    </row>
    <row r="616" spans="1:12" ht="15.75">
      <c r="A616" s="5"/>
      <c r="B616" s="368"/>
      <c r="C616" s="357"/>
      <c r="D616" s="180">
        <v>8</v>
      </c>
      <c r="E616" s="180"/>
      <c r="F616" s="61" t="s">
        <v>1933</v>
      </c>
      <c r="G616" s="61">
        <v>100</v>
      </c>
      <c r="H616" s="61"/>
      <c r="I616" s="61"/>
      <c r="J616" s="61"/>
      <c r="K616" s="61"/>
      <c r="L616" s="180"/>
    </row>
    <row r="617" spans="1:12" ht="15.75">
      <c r="A617" s="5"/>
      <c r="B617" s="368"/>
      <c r="C617" s="357"/>
      <c r="D617" s="180">
        <v>9</v>
      </c>
      <c r="E617" s="128"/>
      <c r="F617" s="61" t="s">
        <v>1372</v>
      </c>
      <c r="G617" s="61" t="s">
        <v>1371</v>
      </c>
      <c r="H617" s="61" t="s">
        <v>1294</v>
      </c>
      <c r="I617" s="61"/>
      <c r="J617" s="61"/>
      <c r="K617" s="61"/>
      <c r="L617" s="125"/>
    </row>
    <row r="618" spans="1:12" ht="15.75">
      <c r="A618" s="5"/>
      <c r="B618" s="368"/>
      <c r="C618" s="357"/>
      <c r="D618" s="180">
        <v>10</v>
      </c>
      <c r="E618" s="128"/>
      <c r="F618" s="61" t="s">
        <v>1379</v>
      </c>
      <c r="G618" s="61" t="s">
        <v>1371</v>
      </c>
      <c r="H618" s="61" t="s">
        <v>1374</v>
      </c>
      <c r="I618" s="61"/>
      <c r="J618" s="61"/>
      <c r="K618" s="61"/>
      <c r="L618" s="125"/>
    </row>
    <row r="619" spans="1:12" ht="15.75">
      <c r="A619" s="5"/>
      <c r="B619" s="368"/>
      <c r="C619" s="357"/>
      <c r="D619" s="180">
        <v>11</v>
      </c>
      <c r="E619" s="128"/>
      <c r="F619" s="61" t="s">
        <v>1377</v>
      </c>
      <c r="G619" s="61">
        <v>8</v>
      </c>
      <c r="H619" s="61">
        <v>2</v>
      </c>
      <c r="I619" s="61" t="s">
        <v>162</v>
      </c>
      <c r="J619" s="61"/>
      <c r="K619" s="61"/>
      <c r="L619" s="128"/>
    </row>
    <row r="620" spans="1:12" ht="15.75">
      <c r="A620" s="5"/>
      <c r="B620" s="368"/>
      <c r="C620" s="357"/>
      <c r="D620" s="180">
        <v>12</v>
      </c>
      <c r="E620" s="128"/>
      <c r="F620" s="61" t="s">
        <v>1372</v>
      </c>
      <c r="G620" s="61" t="s">
        <v>1371</v>
      </c>
      <c r="H620" s="61" t="s">
        <v>1294</v>
      </c>
      <c r="I620" s="61"/>
      <c r="J620" s="61"/>
      <c r="K620" s="61"/>
      <c r="L620" s="128"/>
    </row>
    <row r="621" spans="1:12" ht="15.75">
      <c r="A621" s="5"/>
      <c r="B621" s="368"/>
      <c r="C621" s="357"/>
      <c r="D621" s="180">
        <v>13</v>
      </c>
      <c r="E621" s="128"/>
      <c r="F621" s="61" t="s">
        <v>1372</v>
      </c>
      <c r="G621" s="61" t="s">
        <v>1373</v>
      </c>
      <c r="H621" s="61" t="s">
        <v>1294</v>
      </c>
      <c r="I621" s="61"/>
      <c r="J621" s="61"/>
      <c r="K621" s="61"/>
      <c r="L621" s="128"/>
    </row>
    <row r="622" spans="1:12" ht="15.75">
      <c r="A622" s="5"/>
      <c r="B622" s="368"/>
      <c r="C622" s="357"/>
      <c r="D622" s="180">
        <v>14</v>
      </c>
      <c r="E622" s="128"/>
      <c r="F622" s="61" t="s">
        <v>1375</v>
      </c>
      <c r="G622" s="61" t="s">
        <v>1373</v>
      </c>
      <c r="H622" s="61">
        <v>2</v>
      </c>
      <c r="I622" s="61"/>
      <c r="J622" s="61"/>
      <c r="K622" s="61"/>
      <c r="L622" s="128"/>
    </row>
    <row r="623" spans="1:12" ht="15.75">
      <c r="A623" s="5"/>
      <c r="B623" s="368"/>
      <c r="C623" s="357"/>
      <c r="D623" s="180">
        <v>15</v>
      </c>
      <c r="E623" s="125" t="s">
        <v>166</v>
      </c>
      <c r="F623" s="61" t="s">
        <v>127</v>
      </c>
      <c r="G623" s="61" t="s">
        <v>1331</v>
      </c>
      <c r="H623" s="61" t="s">
        <v>162</v>
      </c>
      <c r="I623" s="61">
        <v>1</v>
      </c>
      <c r="J623" s="61"/>
      <c r="K623" s="61"/>
      <c r="L623" s="125"/>
    </row>
    <row r="624" spans="1:12" ht="15.75">
      <c r="A624" s="5"/>
      <c r="B624" s="368"/>
      <c r="C624" s="357"/>
      <c r="D624" s="180">
        <v>16</v>
      </c>
      <c r="E624" s="180"/>
      <c r="F624" s="61" t="s">
        <v>1933</v>
      </c>
      <c r="G624" s="61">
        <v>100</v>
      </c>
      <c r="H624" s="61"/>
      <c r="I624" s="61"/>
      <c r="J624" s="61"/>
      <c r="K624" s="61"/>
      <c r="L624" s="180"/>
    </row>
    <row r="625" spans="1:12" ht="15.75">
      <c r="A625" s="5"/>
      <c r="B625" s="368"/>
      <c r="C625" s="357"/>
      <c r="D625" s="180">
        <v>17</v>
      </c>
      <c r="E625" s="125"/>
      <c r="F625" s="61" t="s">
        <v>135</v>
      </c>
      <c r="G625" s="61">
        <v>16</v>
      </c>
      <c r="H625" s="61" t="s">
        <v>1294</v>
      </c>
      <c r="I625" s="61" t="s">
        <v>1301</v>
      </c>
      <c r="J625" s="61"/>
      <c r="K625" s="61"/>
      <c r="L625" s="125"/>
    </row>
    <row r="626" spans="1:12" ht="15.75">
      <c r="A626" s="5"/>
      <c r="B626" s="368"/>
      <c r="C626" s="357"/>
      <c r="D626" s="180">
        <v>18</v>
      </c>
      <c r="E626" s="125" t="s">
        <v>163</v>
      </c>
      <c r="F626" s="61" t="s">
        <v>164</v>
      </c>
      <c r="G626" s="61" t="s">
        <v>1331</v>
      </c>
      <c r="H626" s="61">
        <v>4</v>
      </c>
      <c r="I626" s="61" t="s">
        <v>165</v>
      </c>
      <c r="J626" s="61"/>
      <c r="K626" s="61"/>
      <c r="L626" s="125"/>
    </row>
    <row r="627" spans="1:12" ht="15.75">
      <c r="A627" s="5"/>
      <c r="B627" s="368"/>
      <c r="C627" s="357"/>
      <c r="D627" s="180">
        <v>19</v>
      </c>
      <c r="E627" s="125" t="s">
        <v>166</v>
      </c>
      <c r="F627" s="61" t="s">
        <v>127</v>
      </c>
      <c r="G627" s="61">
        <v>1</v>
      </c>
      <c r="H627" s="61" t="s">
        <v>1301</v>
      </c>
      <c r="I627" s="61">
        <v>5</v>
      </c>
      <c r="J627" s="61"/>
      <c r="K627" s="61"/>
      <c r="L627" s="125"/>
    </row>
    <row r="628" spans="1:12" ht="15.75">
      <c r="A628" s="5"/>
      <c r="B628" s="368"/>
      <c r="C628" s="357"/>
      <c r="D628" s="180">
        <v>20</v>
      </c>
      <c r="E628" s="125" t="s">
        <v>318</v>
      </c>
      <c r="F628" s="61" t="s">
        <v>125</v>
      </c>
      <c r="G628" s="61">
        <v>5000</v>
      </c>
      <c r="H628" s="61"/>
      <c r="I628" s="61"/>
      <c r="J628" s="61"/>
      <c r="K628" s="61"/>
      <c r="L628" s="125"/>
    </row>
    <row r="629" spans="1:12" ht="15.75">
      <c r="A629" s="5"/>
      <c r="B629" s="368"/>
      <c r="C629" s="357"/>
      <c r="D629" s="180">
        <v>21</v>
      </c>
      <c r="E629" s="125" t="s">
        <v>146</v>
      </c>
      <c r="F629" s="61" t="s">
        <v>123</v>
      </c>
      <c r="G629" s="61"/>
      <c r="H629" s="61"/>
      <c r="I629" s="61"/>
      <c r="J629" s="61"/>
      <c r="K629" s="61"/>
      <c r="L629" s="125"/>
    </row>
    <row r="630" spans="1:12" ht="15.75">
      <c r="A630" s="5"/>
      <c r="B630" s="368"/>
      <c r="C630" s="358"/>
      <c r="D630" s="125"/>
      <c r="E630" s="125"/>
      <c r="F630" s="61"/>
      <c r="G630" s="61"/>
      <c r="H630" s="61"/>
      <c r="I630" s="61"/>
      <c r="J630" s="61"/>
      <c r="K630" s="61"/>
      <c r="L630" s="125"/>
    </row>
    <row r="631" spans="1:12" ht="15.75">
      <c r="A631" s="5"/>
      <c r="B631" s="367" t="s">
        <v>1326</v>
      </c>
      <c r="C631" s="356" t="s">
        <v>1728</v>
      </c>
      <c r="D631" s="125">
        <v>1</v>
      </c>
      <c r="E631" s="125" t="s">
        <v>1641</v>
      </c>
      <c r="F631" s="61" t="s">
        <v>87</v>
      </c>
      <c r="G631" s="61" t="s">
        <v>1642</v>
      </c>
      <c r="H631" s="61"/>
      <c r="I631" s="61"/>
      <c r="J631" s="61"/>
      <c r="K631" s="61"/>
      <c r="L631" s="125"/>
    </row>
    <row r="632" spans="1:12" ht="15.75">
      <c r="A632" s="5"/>
      <c r="B632" s="368"/>
      <c r="C632" s="357"/>
      <c r="D632" s="125">
        <v>2</v>
      </c>
      <c r="E632" s="125" t="s">
        <v>142</v>
      </c>
      <c r="F632" s="61" t="s">
        <v>122</v>
      </c>
      <c r="G632" s="61"/>
      <c r="H632" s="61"/>
      <c r="I632" s="61"/>
      <c r="J632" s="61"/>
      <c r="K632" s="61"/>
      <c r="L632" s="125"/>
    </row>
    <row r="633" spans="1:12" ht="15.75">
      <c r="A633" s="5"/>
      <c r="B633" s="368"/>
      <c r="C633" s="357"/>
      <c r="D633" s="180">
        <v>3</v>
      </c>
      <c r="E633" s="125"/>
      <c r="F633" s="61" t="s">
        <v>125</v>
      </c>
      <c r="G633" s="61">
        <v>100</v>
      </c>
      <c r="H633" s="61"/>
      <c r="I633" s="61"/>
      <c r="J633" s="61"/>
      <c r="K633" s="61"/>
      <c r="L633" s="125"/>
    </row>
    <row r="634" spans="1:12" ht="15.75">
      <c r="A634" s="5"/>
      <c r="B634" s="368"/>
      <c r="C634" s="357"/>
      <c r="D634" s="180">
        <v>4</v>
      </c>
      <c r="E634" s="128" t="s">
        <v>1376</v>
      </c>
      <c r="F634" s="61" t="s">
        <v>130</v>
      </c>
      <c r="G634" s="61" t="s">
        <v>162</v>
      </c>
      <c r="H634" s="61" t="s">
        <v>1294</v>
      </c>
      <c r="I634" s="61"/>
      <c r="J634" s="61"/>
      <c r="K634" s="61"/>
      <c r="L634" s="125"/>
    </row>
    <row r="635" spans="1:12" ht="15.75">
      <c r="A635" s="5"/>
      <c r="B635" s="368"/>
      <c r="C635" s="357"/>
      <c r="D635" s="180">
        <v>5</v>
      </c>
      <c r="E635" s="128"/>
      <c r="F635" s="61" t="s">
        <v>131</v>
      </c>
      <c r="G635" s="61" t="s">
        <v>162</v>
      </c>
      <c r="H635" s="61">
        <v>1</v>
      </c>
      <c r="I635" s="61"/>
      <c r="J635" s="61"/>
      <c r="K635" s="61"/>
      <c r="L635" s="125"/>
    </row>
    <row r="636" spans="1:12" ht="15.75">
      <c r="A636" s="5"/>
      <c r="B636" s="368"/>
      <c r="C636" s="357"/>
      <c r="D636" s="180">
        <v>6</v>
      </c>
      <c r="E636" s="180"/>
      <c r="F636" s="61" t="s">
        <v>1933</v>
      </c>
      <c r="G636" s="61">
        <v>100</v>
      </c>
      <c r="H636" s="61"/>
      <c r="I636" s="61"/>
      <c r="J636" s="61"/>
      <c r="K636" s="61"/>
      <c r="L636" s="180"/>
    </row>
    <row r="637" spans="1:12" ht="15.75">
      <c r="A637" s="5"/>
      <c r="B637" s="368"/>
      <c r="C637" s="357"/>
      <c r="D637" s="180">
        <v>7</v>
      </c>
      <c r="E637" s="128"/>
      <c r="F637" s="61" t="s">
        <v>135</v>
      </c>
      <c r="G637" s="61">
        <v>6</v>
      </c>
      <c r="H637" s="61" t="s">
        <v>1294</v>
      </c>
      <c r="I637" s="61" t="s">
        <v>162</v>
      </c>
      <c r="J637" s="61"/>
      <c r="K637" s="61"/>
      <c r="L637" s="125"/>
    </row>
    <row r="638" spans="1:12" ht="15.75">
      <c r="A638" s="5"/>
      <c r="B638" s="368"/>
      <c r="C638" s="357"/>
      <c r="D638" s="180">
        <v>8</v>
      </c>
      <c r="E638" s="180"/>
      <c r="F638" s="61" t="s">
        <v>1933</v>
      </c>
      <c r="G638" s="61">
        <v>100</v>
      </c>
      <c r="H638" s="61"/>
      <c r="I638" s="61"/>
      <c r="J638" s="61"/>
      <c r="K638" s="61"/>
      <c r="L638" s="180"/>
    </row>
    <row r="639" spans="1:12" ht="15.75">
      <c r="A639" s="5"/>
      <c r="B639" s="368"/>
      <c r="C639" s="357"/>
      <c r="D639" s="180">
        <v>9</v>
      </c>
      <c r="E639" s="128"/>
      <c r="F639" s="61" t="s">
        <v>1372</v>
      </c>
      <c r="G639" s="61" t="s">
        <v>1371</v>
      </c>
      <c r="H639" s="61" t="s">
        <v>1294</v>
      </c>
      <c r="I639" s="61"/>
      <c r="J639" s="61"/>
      <c r="K639" s="61"/>
      <c r="L639" s="125"/>
    </row>
    <row r="640" spans="1:12" ht="15.75">
      <c r="A640" s="5"/>
      <c r="B640" s="368"/>
      <c r="C640" s="357"/>
      <c r="D640" s="180">
        <v>10</v>
      </c>
      <c r="E640" s="128"/>
      <c r="F640" s="61" t="s">
        <v>1379</v>
      </c>
      <c r="G640" s="61" t="s">
        <v>162</v>
      </c>
      <c r="H640" s="61" t="s">
        <v>1374</v>
      </c>
      <c r="I640" s="61"/>
      <c r="J640" s="61"/>
      <c r="K640" s="61"/>
      <c r="L640" s="125"/>
    </row>
    <row r="641" spans="1:12" ht="15.75">
      <c r="A641" s="5"/>
      <c r="B641" s="368"/>
      <c r="C641" s="357"/>
      <c r="D641" s="180">
        <v>11</v>
      </c>
      <c r="E641" s="128"/>
      <c r="F641" s="61" t="s">
        <v>1377</v>
      </c>
      <c r="G641" s="61">
        <v>8</v>
      </c>
      <c r="H641" s="61">
        <v>2</v>
      </c>
      <c r="I641" s="61" t="s">
        <v>1371</v>
      </c>
      <c r="J641" s="61"/>
      <c r="K641" s="61"/>
      <c r="L641" s="125"/>
    </row>
    <row r="642" spans="1:12" ht="15.75">
      <c r="A642" s="5"/>
      <c r="B642" s="368"/>
      <c r="C642" s="357"/>
      <c r="D642" s="180">
        <v>12</v>
      </c>
      <c r="E642" s="128"/>
      <c r="F642" s="61" t="s">
        <v>130</v>
      </c>
      <c r="G642" s="61" t="s">
        <v>162</v>
      </c>
      <c r="H642" s="61" t="s">
        <v>1294</v>
      </c>
      <c r="I642" s="61"/>
      <c r="J642" s="61"/>
      <c r="K642" s="61"/>
      <c r="L642" s="128"/>
    </row>
    <row r="643" spans="1:12" ht="15.75">
      <c r="A643" s="5"/>
      <c r="B643" s="368"/>
      <c r="C643" s="357"/>
      <c r="D643" s="180">
        <v>13</v>
      </c>
      <c r="E643" s="128"/>
      <c r="F643" s="61" t="s">
        <v>1375</v>
      </c>
      <c r="G643" s="61" t="s">
        <v>1371</v>
      </c>
      <c r="H643" s="61">
        <v>2</v>
      </c>
      <c r="I643" s="61"/>
      <c r="J643" s="61"/>
      <c r="K643" s="61"/>
      <c r="L643" s="128"/>
    </row>
    <row r="644" spans="1:12" ht="15.75">
      <c r="A644" s="5"/>
      <c r="B644" s="368"/>
      <c r="C644" s="357"/>
      <c r="D644" s="180">
        <v>14</v>
      </c>
      <c r="E644" s="128"/>
      <c r="F644" s="61" t="s">
        <v>1372</v>
      </c>
      <c r="G644" s="61" t="s">
        <v>1373</v>
      </c>
      <c r="H644" s="61" t="s">
        <v>1294</v>
      </c>
      <c r="I644" s="61"/>
      <c r="J644" s="61"/>
      <c r="K644" s="61"/>
      <c r="L644" s="128"/>
    </row>
    <row r="645" spans="1:12" ht="15.75">
      <c r="A645" s="5"/>
      <c r="B645" s="368"/>
      <c r="C645" s="357"/>
      <c r="D645" s="180">
        <v>15</v>
      </c>
      <c r="E645" s="128"/>
      <c r="F645" s="61" t="s">
        <v>1375</v>
      </c>
      <c r="G645" s="61" t="s">
        <v>1373</v>
      </c>
      <c r="H645" s="61">
        <v>4</v>
      </c>
      <c r="I645" s="61"/>
      <c r="J645" s="61"/>
      <c r="K645" s="61"/>
      <c r="L645" s="128"/>
    </row>
    <row r="646" spans="1:12" ht="15.75">
      <c r="A646" s="5"/>
      <c r="B646" s="368"/>
      <c r="C646" s="357"/>
      <c r="D646" s="180">
        <v>16</v>
      </c>
      <c r="E646" s="125" t="s">
        <v>166</v>
      </c>
      <c r="F646" s="61" t="s">
        <v>127</v>
      </c>
      <c r="G646" s="61" t="s">
        <v>1331</v>
      </c>
      <c r="H646" s="61" t="s">
        <v>162</v>
      </c>
      <c r="I646" s="61">
        <v>1</v>
      </c>
      <c r="J646" s="61"/>
      <c r="K646" s="61"/>
      <c r="L646" s="125"/>
    </row>
    <row r="647" spans="1:12" ht="15.75">
      <c r="A647" s="5"/>
      <c r="B647" s="368"/>
      <c r="C647" s="357"/>
      <c r="D647" s="180">
        <v>17</v>
      </c>
      <c r="E647" s="180"/>
      <c r="F647" s="61" t="s">
        <v>1933</v>
      </c>
      <c r="G647" s="61">
        <v>100</v>
      </c>
      <c r="H647" s="61"/>
      <c r="I647" s="61"/>
      <c r="J647" s="61"/>
      <c r="K647" s="61"/>
      <c r="L647" s="180"/>
    </row>
    <row r="648" spans="1:12" ht="15.75">
      <c r="A648" s="5"/>
      <c r="B648" s="368"/>
      <c r="C648" s="357"/>
      <c r="D648" s="180">
        <v>18</v>
      </c>
      <c r="E648" s="125"/>
      <c r="F648" s="61" t="s">
        <v>135</v>
      </c>
      <c r="G648" s="61">
        <v>17</v>
      </c>
      <c r="H648" s="61" t="s">
        <v>1294</v>
      </c>
      <c r="I648" s="61" t="s">
        <v>1301</v>
      </c>
      <c r="J648" s="61"/>
      <c r="K648" s="61"/>
      <c r="L648" s="125"/>
    </row>
    <row r="649" spans="1:12" ht="15.75">
      <c r="A649" s="5"/>
      <c r="B649" s="368"/>
      <c r="C649" s="357"/>
      <c r="D649" s="180">
        <v>19</v>
      </c>
      <c r="E649" s="180" t="s">
        <v>1524</v>
      </c>
      <c r="F649" s="61" t="s">
        <v>81</v>
      </c>
      <c r="G649" s="61" t="s">
        <v>1517</v>
      </c>
      <c r="H649" s="61"/>
      <c r="I649" s="61"/>
      <c r="J649" s="61"/>
      <c r="K649" s="61"/>
      <c r="L649" s="180"/>
    </row>
    <row r="650" spans="1:12" ht="15.75">
      <c r="A650" s="5"/>
      <c r="B650" s="368"/>
      <c r="C650" s="357"/>
      <c r="D650" s="180">
        <v>20</v>
      </c>
      <c r="E650" s="125" t="s">
        <v>163</v>
      </c>
      <c r="F650" s="61" t="s">
        <v>164</v>
      </c>
      <c r="G650" s="61">
        <v>1</v>
      </c>
      <c r="H650" s="61">
        <v>4</v>
      </c>
      <c r="I650" s="61" t="s">
        <v>165</v>
      </c>
      <c r="J650" s="61"/>
      <c r="K650" s="61"/>
      <c r="L650" s="125"/>
    </row>
    <row r="651" spans="1:12" ht="15.75">
      <c r="A651" s="5"/>
      <c r="B651" s="368"/>
      <c r="C651" s="357"/>
      <c r="D651" s="180">
        <v>21</v>
      </c>
      <c r="E651" s="125"/>
      <c r="F651" s="61" t="s">
        <v>131</v>
      </c>
      <c r="G651" s="61" t="s">
        <v>1301</v>
      </c>
      <c r="H651" s="61">
        <v>2</v>
      </c>
      <c r="I651" s="61"/>
      <c r="J651" s="61"/>
      <c r="K651" s="61"/>
      <c r="L651" s="125"/>
    </row>
    <row r="652" spans="1:12" ht="15.75">
      <c r="A652" s="5"/>
      <c r="B652" s="368"/>
      <c r="C652" s="357"/>
      <c r="D652" s="180">
        <v>22</v>
      </c>
      <c r="E652" s="125" t="s">
        <v>166</v>
      </c>
      <c r="F652" s="61" t="s">
        <v>127</v>
      </c>
      <c r="G652" s="61" t="s">
        <v>1331</v>
      </c>
      <c r="H652" s="61" t="s">
        <v>1301</v>
      </c>
      <c r="I652" s="61">
        <v>3</v>
      </c>
      <c r="J652" s="61"/>
      <c r="K652" s="61"/>
      <c r="L652" s="125"/>
    </row>
    <row r="653" spans="1:12" ht="15.75">
      <c r="A653" s="5"/>
      <c r="B653" s="368"/>
      <c r="C653" s="357"/>
      <c r="D653" s="180">
        <v>23</v>
      </c>
      <c r="E653" s="125" t="s">
        <v>194</v>
      </c>
      <c r="F653" s="61" t="s">
        <v>125</v>
      </c>
      <c r="G653" s="61" t="s">
        <v>1546</v>
      </c>
      <c r="H653" s="61"/>
      <c r="I653" s="61"/>
      <c r="J653" s="61"/>
      <c r="K653" s="61"/>
      <c r="L653" s="125"/>
    </row>
    <row r="654" spans="1:12" ht="15.75">
      <c r="A654" s="5"/>
      <c r="B654" s="368"/>
      <c r="C654" s="357"/>
      <c r="D654" s="180">
        <v>24</v>
      </c>
      <c r="E654" s="180" t="s">
        <v>1525</v>
      </c>
      <c r="F654" s="61" t="s">
        <v>81</v>
      </c>
      <c r="G654" s="61" t="s">
        <v>196</v>
      </c>
      <c r="H654" s="61" t="s">
        <v>197</v>
      </c>
      <c r="I654" s="61" t="s">
        <v>197</v>
      </c>
      <c r="J654" s="61"/>
      <c r="K654" s="61"/>
      <c r="L654" s="180"/>
    </row>
    <row r="655" spans="1:12" ht="15.75">
      <c r="A655" s="5"/>
      <c r="B655" s="368"/>
      <c r="C655" s="357"/>
      <c r="D655" s="180">
        <v>25</v>
      </c>
      <c r="E655" s="180"/>
      <c r="F655" s="61" t="s">
        <v>81</v>
      </c>
      <c r="G655" s="61" t="s">
        <v>198</v>
      </c>
      <c r="H655" s="61" t="s">
        <v>199</v>
      </c>
      <c r="I655" s="61" t="s">
        <v>197</v>
      </c>
      <c r="J655" s="61" t="s">
        <v>197</v>
      </c>
      <c r="K655" s="61">
        <v>1</v>
      </c>
      <c r="L655" s="180"/>
    </row>
    <row r="656" spans="1:12" ht="15.75">
      <c r="A656" s="5"/>
      <c r="B656" s="368"/>
      <c r="C656" s="357"/>
      <c r="D656" s="180">
        <v>26</v>
      </c>
      <c r="E656" s="125" t="s">
        <v>146</v>
      </c>
      <c r="F656" s="61" t="s">
        <v>123</v>
      </c>
      <c r="G656" s="61"/>
      <c r="H656" s="61"/>
      <c r="I656" s="61"/>
      <c r="J656" s="61"/>
      <c r="K656" s="61"/>
      <c r="L656" s="125"/>
    </row>
    <row r="657" spans="1:12" ht="15.75">
      <c r="A657" s="5"/>
      <c r="B657" s="368"/>
      <c r="C657" s="358"/>
      <c r="D657" s="125"/>
      <c r="E657" s="125"/>
      <c r="F657" s="61"/>
      <c r="G657" s="61"/>
      <c r="H657" s="61"/>
      <c r="I657" s="61"/>
      <c r="J657" s="61"/>
      <c r="K657" s="61"/>
      <c r="L657" s="125"/>
    </row>
    <row r="658" spans="1:12" ht="15.75">
      <c r="A658" s="5"/>
      <c r="B658" s="367" t="s">
        <v>1327</v>
      </c>
      <c r="C658" s="356" t="s">
        <v>1728</v>
      </c>
      <c r="D658" s="125">
        <v>1</v>
      </c>
      <c r="E658" s="125" t="s">
        <v>1641</v>
      </c>
      <c r="F658" s="61" t="s">
        <v>87</v>
      </c>
      <c r="G658" s="61" t="s">
        <v>1642</v>
      </c>
      <c r="H658" s="61"/>
      <c r="I658" s="61"/>
      <c r="J658" s="61"/>
      <c r="K658" s="61"/>
      <c r="L658" s="125"/>
    </row>
    <row r="659" spans="1:12" ht="15.75">
      <c r="A659" s="5"/>
      <c r="B659" s="368"/>
      <c r="C659" s="357"/>
      <c r="D659" s="125">
        <v>2</v>
      </c>
      <c r="E659" s="125" t="s">
        <v>142</v>
      </c>
      <c r="F659" s="61" t="s">
        <v>122</v>
      </c>
      <c r="G659" s="61"/>
      <c r="H659" s="61"/>
      <c r="I659" s="61"/>
      <c r="J659" s="61"/>
      <c r="K659" s="61"/>
      <c r="L659" s="125"/>
    </row>
    <row r="660" spans="1:12" ht="15.75">
      <c r="A660" s="5"/>
      <c r="B660" s="368"/>
      <c r="C660" s="357"/>
      <c r="D660" s="180">
        <v>3</v>
      </c>
      <c r="E660" s="125"/>
      <c r="F660" s="61" t="s">
        <v>125</v>
      </c>
      <c r="G660" s="61">
        <v>100</v>
      </c>
      <c r="H660" s="61"/>
      <c r="I660" s="61"/>
      <c r="J660" s="61"/>
      <c r="K660" s="61"/>
      <c r="L660" s="125"/>
    </row>
    <row r="661" spans="1:12" ht="15.75">
      <c r="A661" s="5"/>
      <c r="B661" s="368"/>
      <c r="C661" s="357"/>
      <c r="D661" s="180">
        <v>4</v>
      </c>
      <c r="E661" s="128" t="s">
        <v>1376</v>
      </c>
      <c r="F661" s="61" t="s">
        <v>130</v>
      </c>
      <c r="G661" s="61" t="s">
        <v>162</v>
      </c>
      <c r="H661" s="61" t="s">
        <v>1294</v>
      </c>
      <c r="I661" s="61"/>
      <c r="J661" s="61"/>
      <c r="K661" s="61"/>
      <c r="L661" s="125"/>
    </row>
    <row r="662" spans="1:12" ht="15.75">
      <c r="A662" s="5"/>
      <c r="B662" s="368"/>
      <c r="C662" s="357"/>
      <c r="D662" s="180">
        <v>5</v>
      </c>
      <c r="E662" s="128"/>
      <c r="F662" s="61" t="s">
        <v>131</v>
      </c>
      <c r="G662" s="61" t="s">
        <v>162</v>
      </c>
      <c r="H662" s="61">
        <v>1</v>
      </c>
      <c r="I662" s="61"/>
      <c r="J662" s="61"/>
      <c r="K662" s="61"/>
      <c r="L662" s="125"/>
    </row>
    <row r="663" spans="1:12" ht="15.75">
      <c r="A663" s="5"/>
      <c r="B663" s="368"/>
      <c r="C663" s="357"/>
      <c r="D663" s="180">
        <v>6</v>
      </c>
      <c r="E663" s="180"/>
      <c r="F663" s="61" t="s">
        <v>1933</v>
      </c>
      <c r="G663" s="61">
        <v>100</v>
      </c>
      <c r="H663" s="61"/>
      <c r="I663" s="61"/>
      <c r="J663" s="61"/>
      <c r="K663" s="61"/>
      <c r="L663" s="180"/>
    </row>
    <row r="664" spans="1:12" ht="15.75">
      <c r="A664" s="5"/>
      <c r="B664" s="368"/>
      <c r="C664" s="357"/>
      <c r="D664" s="180">
        <v>7</v>
      </c>
      <c r="E664" s="128"/>
      <c r="F664" s="61" t="s">
        <v>135</v>
      </c>
      <c r="G664" s="61">
        <v>6</v>
      </c>
      <c r="H664" s="61" t="s">
        <v>1294</v>
      </c>
      <c r="I664" s="61" t="s">
        <v>162</v>
      </c>
      <c r="J664" s="61"/>
      <c r="K664" s="61"/>
      <c r="L664" s="125"/>
    </row>
    <row r="665" spans="1:12" ht="15.75">
      <c r="A665" s="5"/>
      <c r="B665" s="368"/>
      <c r="C665" s="357"/>
      <c r="D665" s="180">
        <v>8</v>
      </c>
      <c r="E665" s="180"/>
      <c r="F665" s="61" t="s">
        <v>1933</v>
      </c>
      <c r="G665" s="61">
        <v>100</v>
      </c>
      <c r="H665" s="61"/>
      <c r="I665" s="61"/>
      <c r="J665" s="61"/>
      <c r="K665" s="61"/>
      <c r="L665" s="180"/>
    </row>
    <row r="666" spans="1:12" ht="15.75">
      <c r="A666" s="5"/>
      <c r="B666" s="368"/>
      <c r="C666" s="357"/>
      <c r="D666" s="180">
        <v>9</v>
      </c>
      <c r="E666" s="128"/>
      <c r="F666" s="61" t="s">
        <v>1372</v>
      </c>
      <c r="G666" s="61" t="s">
        <v>1371</v>
      </c>
      <c r="H666" s="61" t="s">
        <v>1294</v>
      </c>
      <c r="I666" s="61"/>
      <c r="J666" s="61"/>
      <c r="K666" s="61"/>
      <c r="L666" s="125"/>
    </row>
    <row r="667" spans="1:12" ht="15.75">
      <c r="A667" s="5"/>
      <c r="B667" s="368"/>
      <c r="C667" s="357"/>
      <c r="D667" s="180">
        <v>10</v>
      </c>
      <c r="E667" s="128"/>
      <c r="F667" s="61" t="s">
        <v>1379</v>
      </c>
      <c r="G667" s="61" t="s">
        <v>162</v>
      </c>
      <c r="H667" s="61" t="s">
        <v>1374</v>
      </c>
      <c r="I667" s="61"/>
      <c r="J667" s="61"/>
      <c r="K667" s="61"/>
      <c r="L667" s="125"/>
    </row>
    <row r="668" spans="1:12" ht="15.75">
      <c r="A668" s="5"/>
      <c r="B668" s="368"/>
      <c r="C668" s="357"/>
      <c r="D668" s="180">
        <v>11</v>
      </c>
      <c r="E668" s="128"/>
      <c r="F668" s="61" t="s">
        <v>1377</v>
      </c>
      <c r="G668" s="61">
        <v>8</v>
      </c>
      <c r="H668" s="61">
        <v>2</v>
      </c>
      <c r="I668" s="61" t="s">
        <v>1371</v>
      </c>
      <c r="J668" s="61"/>
      <c r="K668" s="61"/>
      <c r="L668" s="125"/>
    </row>
    <row r="669" spans="1:12" ht="15.75">
      <c r="A669" s="5"/>
      <c r="B669" s="368"/>
      <c r="C669" s="357"/>
      <c r="D669" s="180">
        <v>12</v>
      </c>
      <c r="E669" s="128"/>
      <c r="F669" s="61" t="s">
        <v>130</v>
      </c>
      <c r="G669" s="61" t="s">
        <v>162</v>
      </c>
      <c r="H669" s="61" t="s">
        <v>1294</v>
      </c>
      <c r="I669" s="61"/>
      <c r="J669" s="61"/>
      <c r="K669" s="61"/>
      <c r="L669" s="128"/>
    </row>
    <row r="670" spans="1:12" ht="15.75">
      <c r="A670" s="5"/>
      <c r="B670" s="368"/>
      <c r="C670" s="357"/>
      <c r="D670" s="180">
        <v>13</v>
      </c>
      <c r="E670" s="128"/>
      <c r="F670" s="61" t="s">
        <v>1375</v>
      </c>
      <c r="G670" s="61" t="s">
        <v>1371</v>
      </c>
      <c r="H670" s="61">
        <v>2</v>
      </c>
      <c r="I670" s="61"/>
      <c r="J670" s="61"/>
      <c r="K670" s="61"/>
      <c r="L670" s="128"/>
    </row>
    <row r="671" spans="1:12" ht="15.75">
      <c r="A671" s="5"/>
      <c r="B671" s="368"/>
      <c r="C671" s="357"/>
      <c r="D671" s="180">
        <v>14</v>
      </c>
      <c r="E671" s="128"/>
      <c r="F671" s="61" t="s">
        <v>1372</v>
      </c>
      <c r="G671" s="61" t="s">
        <v>1373</v>
      </c>
      <c r="H671" s="61" t="s">
        <v>1294</v>
      </c>
      <c r="I671" s="61"/>
      <c r="J671" s="61"/>
      <c r="K671" s="61"/>
      <c r="L671" s="128"/>
    </row>
    <row r="672" spans="1:12" ht="15.75">
      <c r="A672" s="5"/>
      <c r="B672" s="368"/>
      <c r="C672" s="357"/>
      <c r="D672" s="180">
        <v>15</v>
      </c>
      <c r="E672" s="128"/>
      <c r="F672" s="61" t="s">
        <v>1375</v>
      </c>
      <c r="G672" s="61" t="s">
        <v>1373</v>
      </c>
      <c r="H672" s="61">
        <v>4</v>
      </c>
      <c r="I672" s="61"/>
      <c r="J672" s="61"/>
      <c r="K672" s="61"/>
      <c r="L672" s="128"/>
    </row>
    <row r="673" spans="1:12" ht="15.75">
      <c r="A673" s="5"/>
      <c r="B673" s="368"/>
      <c r="C673" s="357"/>
      <c r="D673" s="180">
        <v>16</v>
      </c>
      <c r="E673" s="125" t="s">
        <v>166</v>
      </c>
      <c r="F673" s="61" t="s">
        <v>127</v>
      </c>
      <c r="G673" s="61" t="s">
        <v>1331</v>
      </c>
      <c r="H673" s="61" t="s">
        <v>162</v>
      </c>
      <c r="I673" s="61">
        <v>1</v>
      </c>
      <c r="J673" s="61"/>
      <c r="K673" s="61"/>
      <c r="L673" s="125"/>
    </row>
    <row r="674" spans="1:12" ht="15.75">
      <c r="A674" s="5"/>
      <c r="B674" s="368"/>
      <c r="C674" s="357"/>
      <c r="D674" s="180">
        <v>17</v>
      </c>
      <c r="E674" s="180"/>
      <c r="F674" s="61" t="s">
        <v>1933</v>
      </c>
      <c r="G674" s="61">
        <v>100</v>
      </c>
      <c r="H674" s="61"/>
      <c r="I674" s="61"/>
      <c r="J674" s="61"/>
      <c r="K674" s="61"/>
      <c r="L674" s="180"/>
    </row>
    <row r="675" spans="1:12" ht="15.75">
      <c r="A675" s="5"/>
      <c r="B675" s="368"/>
      <c r="C675" s="357"/>
      <c r="D675" s="180">
        <v>18</v>
      </c>
      <c r="E675" s="125"/>
      <c r="F675" s="61" t="s">
        <v>135</v>
      </c>
      <c r="G675" s="61">
        <v>17</v>
      </c>
      <c r="H675" s="61" t="s">
        <v>1294</v>
      </c>
      <c r="I675" s="61" t="s">
        <v>1301</v>
      </c>
      <c r="J675" s="61"/>
      <c r="K675" s="61"/>
      <c r="L675" s="125"/>
    </row>
    <row r="676" spans="1:12" ht="15.75">
      <c r="A676" s="5"/>
      <c r="B676" s="368"/>
      <c r="C676" s="357"/>
      <c r="D676" s="180">
        <v>19</v>
      </c>
      <c r="E676" s="125" t="s">
        <v>163</v>
      </c>
      <c r="F676" s="61" t="s">
        <v>164</v>
      </c>
      <c r="G676" s="61">
        <v>1</v>
      </c>
      <c r="H676" s="61">
        <v>4</v>
      </c>
      <c r="I676" s="61" t="s">
        <v>165</v>
      </c>
      <c r="J676" s="61"/>
      <c r="K676" s="61"/>
      <c r="L676" s="125"/>
    </row>
    <row r="677" spans="1:12" ht="15.75">
      <c r="A677" s="5"/>
      <c r="B677" s="368"/>
      <c r="C677" s="357"/>
      <c r="D677" s="180">
        <v>20</v>
      </c>
      <c r="E677" s="125"/>
      <c r="F677" s="61" t="s">
        <v>131</v>
      </c>
      <c r="G677" s="61" t="s">
        <v>1301</v>
      </c>
      <c r="H677" s="61">
        <v>2</v>
      </c>
      <c r="I677" s="61"/>
      <c r="J677" s="61"/>
      <c r="K677" s="61"/>
      <c r="L677" s="125"/>
    </row>
    <row r="678" spans="1:12" ht="15.75">
      <c r="A678" s="5"/>
      <c r="B678" s="368"/>
      <c r="C678" s="357"/>
      <c r="D678" s="180">
        <v>21</v>
      </c>
      <c r="E678" s="125" t="s">
        <v>166</v>
      </c>
      <c r="F678" s="61" t="s">
        <v>127</v>
      </c>
      <c r="G678" s="61" t="s">
        <v>1331</v>
      </c>
      <c r="H678" s="61" t="s">
        <v>1301</v>
      </c>
      <c r="I678" s="61">
        <v>3</v>
      </c>
      <c r="J678" s="61"/>
      <c r="K678" s="61"/>
      <c r="L678" s="125"/>
    </row>
    <row r="679" spans="1:12" ht="15.75">
      <c r="A679" s="5"/>
      <c r="B679" s="368"/>
      <c r="C679" s="357"/>
      <c r="D679" s="180">
        <v>22</v>
      </c>
      <c r="E679" s="125" t="s">
        <v>318</v>
      </c>
      <c r="F679" s="61" t="s">
        <v>125</v>
      </c>
      <c r="G679" s="61">
        <v>5000</v>
      </c>
      <c r="H679" s="61"/>
      <c r="I679" s="61"/>
      <c r="J679" s="61"/>
      <c r="K679" s="61"/>
      <c r="L679" s="125"/>
    </row>
    <row r="680" spans="1:12" ht="15.75">
      <c r="A680" s="5"/>
      <c r="B680" s="368"/>
      <c r="C680" s="357"/>
      <c r="D680" s="180">
        <v>23</v>
      </c>
      <c r="E680" s="125" t="s">
        <v>146</v>
      </c>
      <c r="F680" s="61" t="s">
        <v>123</v>
      </c>
      <c r="G680" s="61"/>
      <c r="H680" s="61"/>
      <c r="I680" s="61"/>
      <c r="J680" s="61"/>
      <c r="K680" s="61"/>
      <c r="L680" s="125"/>
    </row>
    <row r="681" spans="1:12" ht="15.75">
      <c r="A681" s="5"/>
      <c r="B681" s="368"/>
      <c r="C681" s="358"/>
      <c r="D681" s="125"/>
      <c r="E681" s="125"/>
      <c r="F681" s="61"/>
      <c r="G681" s="61"/>
      <c r="H681" s="61"/>
      <c r="I681" s="61"/>
      <c r="J681" s="61"/>
      <c r="K681" s="61"/>
      <c r="L681" s="125"/>
    </row>
    <row r="682" spans="1:12" s="5" customFormat="1" ht="15.75">
      <c r="B682" s="359" t="s">
        <v>1328</v>
      </c>
      <c r="C682" s="356" t="s">
        <v>1728</v>
      </c>
      <c r="D682" s="125">
        <v>1</v>
      </c>
      <c r="E682" s="125" t="s">
        <v>1335</v>
      </c>
      <c r="F682" s="61" t="s">
        <v>87</v>
      </c>
      <c r="G682" s="61" t="s">
        <v>1334</v>
      </c>
      <c r="H682" s="61"/>
      <c r="I682" s="61"/>
      <c r="J682" s="61"/>
      <c r="K682" s="61"/>
      <c r="L682" s="125"/>
    </row>
    <row r="683" spans="1:12" s="5" customFormat="1" ht="15.75">
      <c r="B683" s="359"/>
      <c r="C683" s="357"/>
      <c r="D683" s="125">
        <v>2</v>
      </c>
      <c r="E683" s="125" t="s">
        <v>142</v>
      </c>
      <c r="F683" s="61" t="s">
        <v>122</v>
      </c>
      <c r="G683" s="61"/>
      <c r="H683" s="61"/>
      <c r="I683" s="61"/>
      <c r="J683" s="61"/>
      <c r="K683" s="61"/>
      <c r="L683" s="125"/>
    </row>
    <row r="684" spans="1:12" s="5" customFormat="1" ht="15.75">
      <c r="B684" s="359"/>
      <c r="C684" s="357"/>
      <c r="D684" s="125">
        <v>3</v>
      </c>
      <c r="E684" s="125" t="s">
        <v>163</v>
      </c>
      <c r="F684" s="61" t="s">
        <v>164</v>
      </c>
      <c r="G684" s="61">
        <v>1</v>
      </c>
      <c r="H684" s="61">
        <v>4</v>
      </c>
      <c r="I684" s="61" t="s">
        <v>165</v>
      </c>
      <c r="J684" s="61"/>
      <c r="K684" s="61"/>
      <c r="L684" s="125"/>
    </row>
    <row r="685" spans="1:12" s="5" customFormat="1" ht="15.75">
      <c r="B685" s="359"/>
      <c r="C685" s="357"/>
      <c r="D685" s="125">
        <v>4</v>
      </c>
      <c r="E685" s="125" t="s">
        <v>166</v>
      </c>
      <c r="F685" s="61" t="s">
        <v>127</v>
      </c>
      <c r="G685" s="61">
        <v>1</v>
      </c>
      <c r="H685" s="61">
        <v>1</v>
      </c>
      <c r="I685" s="61">
        <v>1</v>
      </c>
      <c r="J685" s="61"/>
      <c r="K685" s="61"/>
      <c r="L685" s="125"/>
    </row>
    <row r="686" spans="1:12" s="5" customFormat="1" ht="15.75">
      <c r="B686" s="359"/>
      <c r="C686" s="357"/>
      <c r="D686" s="125">
        <v>5</v>
      </c>
      <c r="E686" s="125" t="s">
        <v>1639</v>
      </c>
      <c r="F686" s="61" t="s">
        <v>87</v>
      </c>
      <c r="G686" s="61" t="s">
        <v>1640</v>
      </c>
      <c r="H686" s="61"/>
      <c r="I686" s="61"/>
      <c r="J686" s="61"/>
      <c r="K686" s="61"/>
      <c r="L686" s="125"/>
    </row>
    <row r="687" spans="1:12" s="5" customFormat="1" ht="15.75">
      <c r="B687" s="359"/>
      <c r="C687" s="357"/>
      <c r="D687" s="125">
        <v>6</v>
      </c>
      <c r="E687" s="125" t="s">
        <v>313</v>
      </c>
      <c r="F687" s="61" t="s">
        <v>125</v>
      </c>
      <c r="G687" s="61">
        <v>10000</v>
      </c>
      <c r="H687" s="61"/>
      <c r="I687" s="61"/>
      <c r="J687" s="61"/>
      <c r="K687" s="61"/>
      <c r="L687" s="125"/>
    </row>
    <row r="688" spans="1:12" s="5" customFormat="1" ht="15.75">
      <c r="B688" s="359"/>
      <c r="C688" s="357"/>
      <c r="D688" s="125">
        <v>7</v>
      </c>
      <c r="E688" s="125" t="s">
        <v>146</v>
      </c>
      <c r="F688" s="61" t="s">
        <v>123</v>
      </c>
      <c r="G688" s="61"/>
      <c r="H688" s="61"/>
      <c r="I688" s="61"/>
      <c r="J688" s="61"/>
      <c r="K688" s="61"/>
      <c r="L688" s="125"/>
    </row>
    <row r="689" spans="2:12" s="5" customFormat="1" ht="15.75">
      <c r="B689" s="359"/>
      <c r="C689" s="358"/>
      <c r="D689" s="125"/>
      <c r="E689" s="125"/>
      <c r="F689" s="61"/>
      <c r="G689" s="61"/>
      <c r="H689" s="61"/>
      <c r="I689" s="61"/>
      <c r="J689" s="61"/>
      <c r="K689" s="61"/>
      <c r="L689" s="125"/>
    </row>
    <row r="690" spans="2:12" s="5" customFormat="1" ht="15.75">
      <c r="B690" s="359" t="s">
        <v>1329</v>
      </c>
      <c r="C690" s="356" t="s">
        <v>1728</v>
      </c>
      <c r="D690" s="125">
        <v>1</v>
      </c>
      <c r="E690" s="125" t="s">
        <v>142</v>
      </c>
      <c r="F690" s="61" t="s">
        <v>122</v>
      </c>
      <c r="G690" s="61"/>
      <c r="H690" s="61"/>
      <c r="I690" s="61"/>
      <c r="J690" s="61"/>
      <c r="K690" s="61"/>
      <c r="L690" s="125"/>
    </row>
    <row r="691" spans="2:12" s="5" customFormat="1" ht="15.75">
      <c r="B691" s="359"/>
      <c r="C691" s="357"/>
      <c r="D691" s="125">
        <v>2</v>
      </c>
      <c r="E691" s="125" t="s">
        <v>1639</v>
      </c>
      <c r="F691" s="61" t="s">
        <v>87</v>
      </c>
      <c r="G691" s="61" t="s">
        <v>1718</v>
      </c>
      <c r="H691" s="61"/>
      <c r="I691" s="61"/>
      <c r="J691" s="61"/>
      <c r="K691" s="61"/>
      <c r="L691" s="125"/>
    </row>
    <row r="692" spans="2:12" s="5" customFormat="1" ht="15.75">
      <c r="B692" s="359"/>
      <c r="C692" s="357"/>
      <c r="D692" s="125">
        <v>3</v>
      </c>
      <c r="E692" s="125" t="s">
        <v>163</v>
      </c>
      <c r="F692" s="61" t="s">
        <v>164</v>
      </c>
      <c r="G692" s="61">
        <v>1</v>
      </c>
      <c r="H692" s="61">
        <v>4</v>
      </c>
      <c r="I692" s="61" t="s">
        <v>165</v>
      </c>
      <c r="J692" s="61"/>
      <c r="K692" s="61"/>
      <c r="L692" s="125"/>
    </row>
    <row r="693" spans="2:12" s="5" customFormat="1" ht="15.75">
      <c r="B693" s="359"/>
      <c r="C693" s="357"/>
      <c r="D693" s="168">
        <v>4</v>
      </c>
      <c r="E693" s="168" t="s">
        <v>816</v>
      </c>
      <c r="F693" s="61" t="s">
        <v>1719</v>
      </c>
      <c r="G693" s="61">
        <v>1020</v>
      </c>
      <c r="H693" s="61"/>
      <c r="I693" s="61"/>
      <c r="J693" s="61"/>
      <c r="K693" s="61"/>
      <c r="L693" s="168"/>
    </row>
    <row r="694" spans="2:12" s="5" customFormat="1" ht="15.75">
      <c r="B694" s="359"/>
      <c r="C694" s="357"/>
      <c r="D694" s="168">
        <v>5</v>
      </c>
      <c r="E694" s="125" t="s">
        <v>166</v>
      </c>
      <c r="F694" s="61" t="s">
        <v>127</v>
      </c>
      <c r="G694" s="61" t="s">
        <v>1331</v>
      </c>
      <c r="H694" s="61" t="s">
        <v>1294</v>
      </c>
      <c r="I694" s="61">
        <v>1</v>
      </c>
      <c r="J694" s="61"/>
      <c r="K694" s="61"/>
      <c r="L694" s="125"/>
    </row>
    <row r="695" spans="2:12" s="5" customFormat="1" ht="15.75">
      <c r="B695" s="359"/>
      <c r="C695" s="357"/>
      <c r="D695" s="168">
        <v>6</v>
      </c>
      <c r="E695" s="125" t="s">
        <v>313</v>
      </c>
      <c r="F695" s="61" t="s">
        <v>125</v>
      </c>
      <c r="G695" s="61">
        <v>10000</v>
      </c>
      <c r="H695" s="61"/>
      <c r="I695" s="61"/>
      <c r="J695" s="61"/>
      <c r="K695" s="61"/>
      <c r="L695" s="125"/>
    </row>
    <row r="696" spans="2:12" s="5" customFormat="1" ht="15.75">
      <c r="B696" s="359"/>
      <c r="C696" s="357"/>
      <c r="D696" s="168">
        <v>7</v>
      </c>
      <c r="E696" s="125" t="s">
        <v>146</v>
      </c>
      <c r="F696" s="61" t="s">
        <v>123</v>
      </c>
      <c r="G696" s="61"/>
      <c r="H696" s="61"/>
      <c r="I696" s="61"/>
      <c r="J696" s="61"/>
      <c r="K696" s="61"/>
      <c r="L696" s="125"/>
    </row>
    <row r="697" spans="2:12" s="5" customFormat="1" ht="15.75">
      <c r="B697" s="359"/>
      <c r="C697" s="358"/>
      <c r="D697" s="125"/>
      <c r="E697" s="125"/>
      <c r="F697" s="61"/>
      <c r="G697" s="61"/>
      <c r="H697" s="61"/>
      <c r="I697" s="61"/>
      <c r="J697" s="61"/>
      <c r="K697" s="61"/>
      <c r="L697" s="125"/>
    </row>
    <row r="698" spans="2:12" s="5" customFormat="1" ht="15.75">
      <c r="B698" s="359" t="s">
        <v>1330</v>
      </c>
      <c r="C698" s="356" t="s">
        <v>1728</v>
      </c>
      <c r="D698" s="125">
        <v>1</v>
      </c>
      <c r="E698" s="125" t="s">
        <v>1335</v>
      </c>
      <c r="F698" s="61" t="s">
        <v>87</v>
      </c>
      <c r="G698" s="61" t="s">
        <v>1334</v>
      </c>
      <c r="H698" s="61"/>
      <c r="I698" s="61"/>
      <c r="J698" s="61"/>
      <c r="K698" s="61"/>
      <c r="L698" s="125"/>
    </row>
    <row r="699" spans="2:12" s="5" customFormat="1" ht="15.75">
      <c r="B699" s="359"/>
      <c r="C699" s="357"/>
      <c r="D699" s="125">
        <v>2</v>
      </c>
      <c r="E699" s="125" t="s">
        <v>142</v>
      </c>
      <c r="F699" s="61" t="s">
        <v>122</v>
      </c>
      <c r="G699" s="61"/>
      <c r="H699" s="61"/>
      <c r="I699" s="61"/>
      <c r="J699" s="61"/>
      <c r="K699" s="61"/>
      <c r="L699" s="125"/>
    </row>
    <row r="700" spans="2:12" s="5" customFormat="1" ht="15.75">
      <c r="B700" s="359"/>
      <c r="C700" s="357"/>
      <c r="D700" s="125">
        <v>3</v>
      </c>
      <c r="E700" s="125" t="s">
        <v>172</v>
      </c>
      <c r="F700" s="61" t="s">
        <v>173</v>
      </c>
      <c r="G700" s="61">
        <v>0</v>
      </c>
      <c r="H700" s="61" t="s">
        <v>174</v>
      </c>
      <c r="I700" s="61"/>
      <c r="J700" s="61"/>
      <c r="K700" s="61"/>
      <c r="L700" s="125"/>
    </row>
    <row r="701" spans="2:12" s="5" customFormat="1" ht="15.75">
      <c r="B701" s="359"/>
      <c r="C701" s="357"/>
      <c r="D701" s="125">
        <v>4</v>
      </c>
      <c r="E701" s="125" t="s">
        <v>163</v>
      </c>
      <c r="F701" s="61" t="s">
        <v>164</v>
      </c>
      <c r="G701" s="61">
        <v>1</v>
      </c>
      <c r="H701" s="61">
        <v>4</v>
      </c>
      <c r="I701" s="61" t="s">
        <v>165</v>
      </c>
      <c r="J701" s="61"/>
      <c r="K701" s="61"/>
      <c r="L701" s="125"/>
    </row>
    <row r="702" spans="2:12" s="5" customFormat="1" ht="15.75">
      <c r="B702" s="359"/>
      <c r="C702" s="357"/>
      <c r="D702" s="125">
        <v>5</v>
      </c>
      <c r="E702" s="125" t="s">
        <v>293</v>
      </c>
      <c r="F702" s="61" t="s">
        <v>127</v>
      </c>
      <c r="G702" s="61">
        <v>1</v>
      </c>
      <c r="H702" s="61">
        <v>1</v>
      </c>
      <c r="I702" s="61">
        <v>1</v>
      </c>
      <c r="J702" s="61"/>
      <c r="K702" s="61"/>
      <c r="L702" s="125"/>
    </row>
    <row r="703" spans="2:12" s="5" customFormat="1" ht="15.75">
      <c r="B703" s="359"/>
      <c r="C703" s="357"/>
      <c r="D703" s="125">
        <v>6</v>
      </c>
      <c r="E703" s="125" t="s">
        <v>1639</v>
      </c>
      <c r="F703" s="61" t="s">
        <v>87</v>
      </c>
      <c r="G703" s="61" t="s">
        <v>1640</v>
      </c>
      <c r="H703" s="61"/>
      <c r="I703" s="61"/>
      <c r="J703" s="61"/>
      <c r="K703" s="61"/>
      <c r="L703" s="125"/>
    </row>
    <row r="704" spans="2:12" s="5" customFormat="1" ht="15.75">
      <c r="B704" s="359"/>
      <c r="C704" s="357"/>
      <c r="D704" s="125">
        <v>7</v>
      </c>
      <c r="E704" s="125" t="s">
        <v>313</v>
      </c>
      <c r="F704" s="61" t="s">
        <v>125</v>
      </c>
      <c r="G704" s="61">
        <v>10000</v>
      </c>
      <c r="H704" s="61"/>
      <c r="I704" s="61"/>
      <c r="J704" s="61"/>
      <c r="K704" s="61"/>
      <c r="L704" s="125"/>
    </row>
    <row r="705" spans="2:12" s="5" customFormat="1" ht="15.75">
      <c r="B705" s="359"/>
      <c r="C705" s="357"/>
      <c r="D705" s="125">
        <v>8</v>
      </c>
      <c r="E705" s="125" t="s">
        <v>146</v>
      </c>
      <c r="F705" s="61" t="s">
        <v>123</v>
      </c>
      <c r="G705" s="61"/>
      <c r="H705" s="61"/>
      <c r="I705" s="61"/>
      <c r="J705" s="61"/>
      <c r="K705" s="61"/>
      <c r="L705" s="125"/>
    </row>
    <row r="706" spans="2:12" s="5" customFormat="1" ht="15.75">
      <c r="B706" s="359"/>
      <c r="C706" s="358"/>
      <c r="D706" s="125"/>
      <c r="E706" s="125"/>
      <c r="F706" s="61"/>
      <c r="G706" s="61"/>
      <c r="H706" s="61"/>
      <c r="I706" s="61"/>
      <c r="J706" s="61"/>
      <c r="K706" s="61"/>
      <c r="L706" s="125"/>
    </row>
    <row r="707" spans="2:12" s="5" customFormat="1" ht="15.75">
      <c r="B707" s="359" t="s">
        <v>1332</v>
      </c>
      <c r="C707" s="356" t="s">
        <v>1728</v>
      </c>
      <c r="D707" s="125">
        <v>1</v>
      </c>
      <c r="E707" s="125" t="s">
        <v>142</v>
      </c>
      <c r="F707" s="61" t="s">
        <v>122</v>
      </c>
      <c r="G707" s="61"/>
      <c r="H707" s="61"/>
      <c r="I707" s="61"/>
      <c r="J707" s="61"/>
      <c r="K707" s="61"/>
      <c r="L707" s="125"/>
    </row>
    <row r="708" spans="2:12" s="5" customFormat="1" ht="15.75">
      <c r="B708" s="359"/>
      <c r="C708" s="357"/>
      <c r="D708" s="125">
        <v>2</v>
      </c>
      <c r="E708" s="125" t="s">
        <v>172</v>
      </c>
      <c r="F708" s="61" t="s">
        <v>173</v>
      </c>
      <c r="G708" s="61">
        <v>0</v>
      </c>
      <c r="H708" s="61" t="s">
        <v>174</v>
      </c>
      <c r="I708" s="61"/>
      <c r="J708" s="61"/>
      <c r="K708" s="61"/>
      <c r="L708" s="125"/>
    </row>
    <row r="709" spans="2:12" s="5" customFormat="1" ht="15.75">
      <c r="B709" s="359"/>
      <c r="C709" s="357"/>
      <c r="D709" s="125">
        <v>3</v>
      </c>
      <c r="E709" s="125" t="s">
        <v>163</v>
      </c>
      <c r="F709" s="61" t="s">
        <v>164</v>
      </c>
      <c r="G709" s="61">
        <v>1</v>
      </c>
      <c r="H709" s="61">
        <v>4</v>
      </c>
      <c r="I709" s="61" t="s">
        <v>165</v>
      </c>
      <c r="J709" s="61"/>
      <c r="K709" s="61"/>
      <c r="L709" s="125"/>
    </row>
    <row r="710" spans="2:12" s="5" customFormat="1" ht="15.75">
      <c r="B710" s="359"/>
      <c r="C710" s="357"/>
      <c r="D710" s="125">
        <v>4</v>
      </c>
      <c r="E710" s="125" t="s">
        <v>1639</v>
      </c>
      <c r="F710" s="61" t="s">
        <v>87</v>
      </c>
      <c r="G710" s="61" t="s">
        <v>1640</v>
      </c>
      <c r="H710" s="61"/>
      <c r="I710" s="61"/>
      <c r="J710" s="61"/>
      <c r="K710" s="61"/>
      <c r="L710" s="125"/>
    </row>
    <row r="711" spans="2:12" s="5" customFormat="1" ht="15.75">
      <c r="B711" s="359"/>
      <c r="C711" s="357"/>
      <c r="D711" s="168">
        <v>5</v>
      </c>
      <c r="E711" s="168" t="s">
        <v>816</v>
      </c>
      <c r="F711" s="61" t="s">
        <v>1719</v>
      </c>
      <c r="G711" s="61">
        <v>1020</v>
      </c>
      <c r="H711" s="61"/>
      <c r="I711" s="61"/>
      <c r="J711" s="61"/>
      <c r="K711" s="61"/>
      <c r="L711" s="168"/>
    </row>
    <row r="712" spans="2:12" s="5" customFormat="1" ht="15.75">
      <c r="B712" s="359"/>
      <c r="C712" s="357"/>
      <c r="D712" s="168">
        <v>6</v>
      </c>
      <c r="E712" s="125" t="s">
        <v>293</v>
      </c>
      <c r="F712" s="61" t="s">
        <v>127</v>
      </c>
      <c r="G712" s="61" t="s">
        <v>1331</v>
      </c>
      <c r="H712" s="61" t="s">
        <v>1294</v>
      </c>
      <c r="I712" s="61">
        <v>1</v>
      </c>
      <c r="J712" s="61"/>
      <c r="K712" s="61"/>
      <c r="L712" s="125"/>
    </row>
    <row r="713" spans="2:12" s="5" customFormat="1" ht="15.75">
      <c r="B713" s="359"/>
      <c r="C713" s="357"/>
      <c r="D713" s="168">
        <v>7</v>
      </c>
      <c r="E713" s="125" t="s">
        <v>313</v>
      </c>
      <c r="F713" s="61" t="s">
        <v>125</v>
      </c>
      <c r="G713" s="61">
        <v>10000</v>
      </c>
      <c r="H713" s="61"/>
      <c r="I713" s="61"/>
      <c r="J713" s="61"/>
      <c r="K713" s="61"/>
      <c r="L713" s="125"/>
    </row>
    <row r="714" spans="2:12" s="5" customFormat="1" ht="15.75">
      <c r="B714" s="359"/>
      <c r="C714" s="357"/>
      <c r="D714" s="168">
        <v>8</v>
      </c>
      <c r="E714" s="125" t="s">
        <v>146</v>
      </c>
      <c r="F714" s="61" t="s">
        <v>123</v>
      </c>
      <c r="G714" s="61"/>
      <c r="H714" s="61"/>
      <c r="I714" s="61"/>
      <c r="J714" s="61"/>
      <c r="K714" s="61"/>
      <c r="L714" s="125"/>
    </row>
    <row r="715" spans="2:12" s="5" customFormat="1" ht="15.75">
      <c r="B715" s="359"/>
      <c r="C715" s="358"/>
      <c r="D715" s="125"/>
      <c r="E715" s="125"/>
      <c r="F715" s="61"/>
      <c r="G715" s="61"/>
      <c r="H715" s="61"/>
      <c r="I715" s="61"/>
      <c r="J715" s="61"/>
      <c r="K715" s="61"/>
      <c r="L715" s="125"/>
    </row>
    <row r="716" spans="2:12" s="5" customFormat="1" ht="15.75">
      <c r="B716" s="367" t="s">
        <v>1333</v>
      </c>
      <c r="C716" s="356" t="s">
        <v>1728</v>
      </c>
      <c r="D716" s="125">
        <v>1</v>
      </c>
      <c r="E716" s="125" t="s">
        <v>142</v>
      </c>
      <c r="F716" s="61" t="s">
        <v>122</v>
      </c>
      <c r="G716" s="61"/>
      <c r="H716" s="61"/>
      <c r="I716" s="61"/>
      <c r="J716" s="61"/>
      <c r="K716" s="61"/>
      <c r="L716" s="125"/>
    </row>
    <row r="717" spans="2:12" s="5" customFormat="1" ht="15.75">
      <c r="B717" s="368"/>
      <c r="C717" s="357"/>
      <c r="D717" s="125">
        <v>2</v>
      </c>
      <c r="E717" s="125" t="s">
        <v>1639</v>
      </c>
      <c r="F717" s="61" t="s">
        <v>87</v>
      </c>
      <c r="G717" s="61" t="s">
        <v>1640</v>
      </c>
      <c r="H717" s="61"/>
      <c r="I717" s="61"/>
      <c r="J717" s="61"/>
      <c r="K717" s="61"/>
      <c r="L717" s="125"/>
    </row>
    <row r="718" spans="2:12" s="5" customFormat="1" ht="15.75">
      <c r="B718" s="368"/>
      <c r="C718" s="357"/>
      <c r="D718" s="125">
        <v>3</v>
      </c>
      <c r="E718" s="125"/>
      <c r="F718" s="61" t="s">
        <v>130</v>
      </c>
      <c r="G718" s="61" t="s">
        <v>162</v>
      </c>
      <c r="H718" s="61" t="s">
        <v>1294</v>
      </c>
      <c r="I718" s="61"/>
      <c r="J718" s="61"/>
      <c r="K718" s="61"/>
      <c r="L718" s="125"/>
    </row>
    <row r="719" spans="2:12" s="5" customFormat="1" ht="15.75">
      <c r="B719" s="368"/>
      <c r="C719" s="357"/>
      <c r="D719" s="125">
        <v>4</v>
      </c>
      <c r="E719" s="125"/>
      <c r="F719" s="61" t="s">
        <v>130</v>
      </c>
      <c r="G719" s="61" t="s">
        <v>1301</v>
      </c>
      <c r="H719" s="61">
        <v>1</v>
      </c>
      <c r="I719" s="61"/>
      <c r="J719" s="61"/>
      <c r="K719" s="61"/>
      <c r="L719" s="125"/>
    </row>
    <row r="720" spans="2:12" s="5" customFormat="1" ht="15.75">
      <c r="B720" s="368"/>
      <c r="C720" s="357"/>
      <c r="D720" s="125">
        <v>5</v>
      </c>
      <c r="E720" s="125" t="s">
        <v>166</v>
      </c>
      <c r="F720" s="61" t="s">
        <v>127</v>
      </c>
      <c r="G720" s="61" t="s">
        <v>1331</v>
      </c>
      <c r="H720" s="61" t="s">
        <v>162</v>
      </c>
      <c r="I720" s="61" t="s">
        <v>1301</v>
      </c>
      <c r="J720" s="61"/>
      <c r="K720" s="61"/>
      <c r="L720" s="125"/>
    </row>
    <row r="721" spans="2:12" s="5" customFormat="1" ht="15.75">
      <c r="B721" s="368"/>
      <c r="C721" s="357"/>
      <c r="D721" s="125">
        <v>6</v>
      </c>
      <c r="E721" s="125"/>
      <c r="F721" s="61" t="s">
        <v>131</v>
      </c>
      <c r="G721" s="61" t="s">
        <v>1301</v>
      </c>
      <c r="H721" s="61">
        <v>1</v>
      </c>
      <c r="I721" s="61"/>
      <c r="J721" s="61"/>
      <c r="K721" s="61"/>
      <c r="L721" s="125"/>
    </row>
    <row r="722" spans="2:12" s="5" customFormat="1" ht="15.75">
      <c r="B722" s="368"/>
      <c r="C722" s="357"/>
      <c r="D722" s="125">
        <v>7</v>
      </c>
      <c r="E722" s="125"/>
      <c r="F722" s="61" t="s">
        <v>135</v>
      </c>
      <c r="G722" s="61">
        <v>5</v>
      </c>
      <c r="H722" s="61" t="s">
        <v>1301</v>
      </c>
      <c r="I722" s="61">
        <v>3</v>
      </c>
      <c r="J722" s="61"/>
      <c r="K722" s="61"/>
      <c r="L722" s="125"/>
    </row>
    <row r="723" spans="2:12" s="5" customFormat="1" ht="15.75">
      <c r="B723" s="368"/>
      <c r="C723" s="357"/>
      <c r="D723" s="125">
        <v>8</v>
      </c>
      <c r="E723" s="125" t="s">
        <v>1643</v>
      </c>
      <c r="F723" s="61" t="s">
        <v>87</v>
      </c>
      <c r="G723" s="61" t="s">
        <v>1644</v>
      </c>
      <c r="H723" s="61"/>
      <c r="I723" s="61"/>
      <c r="J723" s="61"/>
      <c r="K723" s="61"/>
      <c r="L723" s="125"/>
    </row>
    <row r="724" spans="2:12" s="5" customFormat="1" ht="15.75">
      <c r="B724" s="368"/>
      <c r="C724" s="357"/>
      <c r="D724" s="125">
        <v>9</v>
      </c>
      <c r="E724" s="125" t="s">
        <v>816</v>
      </c>
      <c r="F724" s="61" t="s">
        <v>125</v>
      </c>
      <c r="G724" s="61">
        <v>1020</v>
      </c>
      <c r="H724" s="61"/>
      <c r="I724" s="61"/>
      <c r="J724" s="61"/>
      <c r="K724" s="61"/>
      <c r="L724" s="125"/>
    </row>
    <row r="725" spans="2:12" s="5" customFormat="1" ht="15.75">
      <c r="B725" s="368"/>
      <c r="C725" s="357"/>
      <c r="D725" s="125">
        <v>10</v>
      </c>
      <c r="E725" s="125" t="s">
        <v>163</v>
      </c>
      <c r="F725" s="61" t="s">
        <v>164</v>
      </c>
      <c r="G725" s="61">
        <v>1</v>
      </c>
      <c r="H725" s="61">
        <v>4</v>
      </c>
      <c r="I725" s="61" t="s">
        <v>165</v>
      </c>
      <c r="J725" s="61"/>
      <c r="K725" s="61"/>
      <c r="L725" s="125"/>
    </row>
    <row r="726" spans="2:12" s="5" customFormat="1" ht="15.75">
      <c r="B726" s="368"/>
      <c r="C726" s="357"/>
      <c r="D726" s="125">
        <v>11</v>
      </c>
      <c r="E726" s="125" t="s">
        <v>166</v>
      </c>
      <c r="F726" s="61" t="s">
        <v>127</v>
      </c>
      <c r="G726" s="61" t="s">
        <v>1331</v>
      </c>
      <c r="H726" s="61" t="s">
        <v>1294</v>
      </c>
      <c r="I726" s="61">
        <v>1</v>
      </c>
      <c r="J726" s="61"/>
      <c r="K726" s="61"/>
      <c r="L726" s="125"/>
    </row>
    <row r="727" spans="2:12" s="5" customFormat="1" ht="15.75">
      <c r="B727" s="368"/>
      <c r="C727" s="357"/>
      <c r="D727" s="125">
        <v>12</v>
      </c>
      <c r="E727" s="125" t="s">
        <v>313</v>
      </c>
      <c r="F727" s="61" t="s">
        <v>125</v>
      </c>
      <c r="G727" s="61">
        <v>10000</v>
      </c>
      <c r="H727" s="61"/>
      <c r="I727" s="61"/>
      <c r="J727" s="61"/>
      <c r="K727" s="61"/>
      <c r="L727" s="125"/>
    </row>
    <row r="728" spans="2:12" s="5" customFormat="1" ht="15.75">
      <c r="B728" s="368"/>
      <c r="C728" s="357"/>
      <c r="D728" s="125">
        <v>13</v>
      </c>
      <c r="E728" s="125" t="s">
        <v>146</v>
      </c>
      <c r="F728" s="61" t="s">
        <v>123</v>
      </c>
      <c r="G728" s="61"/>
      <c r="H728" s="61"/>
      <c r="I728" s="61"/>
      <c r="J728" s="61"/>
      <c r="K728" s="61"/>
      <c r="L728" s="125"/>
    </row>
    <row r="729" spans="2:12" s="5" customFormat="1" ht="15.75">
      <c r="B729" s="369"/>
      <c r="C729" s="358"/>
      <c r="D729" s="125"/>
      <c r="E729" s="125"/>
      <c r="F729" s="61"/>
      <c r="G729" s="61"/>
      <c r="H729" s="61"/>
      <c r="I729" s="61"/>
      <c r="J729" s="61"/>
      <c r="K729" s="61"/>
      <c r="L729" s="125"/>
    </row>
    <row r="730" spans="2:12" s="5" customFormat="1" ht="15.75">
      <c r="B730" s="367" t="s">
        <v>1336</v>
      </c>
      <c r="C730" s="356" t="s">
        <v>1728</v>
      </c>
      <c r="D730" s="125">
        <v>1</v>
      </c>
      <c r="E730" s="125" t="s">
        <v>142</v>
      </c>
      <c r="F730" s="61" t="s">
        <v>122</v>
      </c>
      <c r="G730" s="61"/>
      <c r="H730" s="61"/>
      <c r="I730" s="61"/>
      <c r="J730" s="61"/>
      <c r="K730" s="61"/>
      <c r="L730" s="125"/>
    </row>
    <row r="731" spans="2:12" s="5" customFormat="1" ht="15.75">
      <c r="B731" s="368"/>
      <c r="C731" s="357"/>
      <c r="D731" s="125">
        <v>2</v>
      </c>
      <c r="E731" s="125" t="s">
        <v>1639</v>
      </c>
      <c r="F731" s="61" t="s">
        <v>87</v>
      </c>
      <c r="G731" s="61" t="s">
        <v>1640</v>
      </c>
      <c r="H731" s="61"/>
      <c r="I731" s="61"/>
      <c r="J731" s="61"/>
      <c r="K731" s="61"/>
      <c r="L731" s="125"/>
    </row>
    <row r="732" spans="2:12" s="5" customFormat="1" ht="15.75">
      <c r="B732" s="368"/>
      <c r="C732" s="357"/>
      <c r="D732" s="125">
        <v>3</v>
      </c>
      <c r="E732" s="125"/>
      <c r="F732" s="61" t="s">
        <v>130</v>
      </c>
      <c r="G732" s="61" t="s">
        <v>162</v>
      </c>
      <c r="H732" s="61" t="s">
        <v>1294</v>
      </c>
      <c r="I732" s="61"/>
      <c r="J732" s="61"/>
      <c r="K732" s="61"/>
      <c r="L732" s="125"/>
    </row>
    <row r="733" spans="2:12" s="5" customFormat="1" ht="15.75">
      <c r="B733" s="368"/>
      <c r="C733" s="357"/>
      <c r="D733" s="125">
        <v>4</v>
      </c>
      <c r="E733" s="125"/>
      <c r="F733" s="61" t="s">
        <v>130</v>
      </c>
      <c r="G733" s="61" t="s">
        <v>1301</v>
      </c>
      <c r="H733" s="61">
        <v>1</v>
      </c>
      <c r="I733" s="61"/>
      <c r="J733" s="61"/>
      <c r="K733" s="61"/>
      <c r="L733" s="125"/>
    </row>
    <row r="734" spans="2:12" s="5" customFormat="1" ht="15.75">
      <c r="B734" s="368"/>
      <c r="C734" s="357"/>
      <c r="D734" s="125">
        <v>5</v>
      </c>
      <c r="E734" s="125" t="s">
        <v>166</v>
      </c>
      <c r="F734" s="61" t="s">
        <v>127</v>
      </c>
      <c r="G734" s="61" t="s">
        <v>1331</v>
      </c>
      <c r="H734" s="61" t="s">
        <v>162</v>
      </c>
      <c r="I734" s="61" t="s">
        <v>1301</v>
      </c>
      <c r="J734" s="61"/>
      <c r="K734" s="61"/>
      <c r="L734" s="125"/>
    </row>
    <row r="735" spans="2:12" s="5" customFormat="1" ht="15.75">
      <c r="B735" s="368"/>
      <c r="C735" s="357"/>
      <c r="D735" s="125">
        <v>6</v>
      </c>
      <c r="E735" s="125"/>
      <c r="F735" s="61" t="s">
        <v>131</v>
      </c>
      <c r="G735" s="61" t="s">
        <v>1301</v>
      </c>
      <c r="H735" s="61">
        <v>1</v>
      </c>
      <c r="I735" s="61"/>
      <c r="J735" s="61"/>
      <c r="K735" s="61"/>
      <c r="L735" s="125"/>
    </row>
    <row r="736" spans="2:12" s="5" customFormat="1" ht="15.75">
      <c r="B736" s="368"/>
      <c r="C736" s="357"/>
      <c r="D736" s="125">
        <v>7</v>
      </c>
      <c r="E736" s="125"/>
      <c r="F736" s="61" t="s">
        <v>135</v>
      </c>
      <c r="G736" s="61">
        <v>5</v>
      </c>
      <c r="H736" s="61" t="s">
        <v>1301</v>
      </c>
      <c r="I736" s="61">
        <v>3</v>
      </c>
      <c r="J736" s="61"/>
      <c r="K736" s="61"/>
      <c r="L736" s="125"/>
    </row>
    <row r="737" spans="2:12" s="5" customFormat="1" ht="15.75">
      <c r="B737" s="368"/>
      <c r="C737" s="357"/>
      <c r="D737" s="125">
        <v>8</v>
      </c>
      <c r="E737" s="125" t="s">
        <v>1751</v>
      </c>
      <c r="F737" s="61" t="s">
        <v>87</v>
      </c>
      <c r="G737" s="61" t="s">
        <v>1760</v>
      </c>
      <c r="H737" s="61"/>
      <c r="I737" s="61"/>
      <c r="J737" s="61"/>
      <c r="K737" s="61"/>
      <c r="L737" s="125"/>
    </row>
    <row r="738" spans="2:12" s="5" customFormat="1" ht="15.75">
      <c r="B738" s="368"/>
      <c r="C738" s="357"/>
      <c r="D738" s="125">
        <v>9</v>
      </c>
      <c r="E738" s="125" t="s">
        <v>816</v>
      </c>
      <c r="F738" s="61" t="s">
        <v>125</v>
      </c>
      <c r="G738" s="61">
        <v>1020</v>
      </c>
      <c r="H738" s="61"/>
      <c r="I738" s="61"/>
      <c r="J738" s="61"/>
      <c r="K738" s="61"/>
      <c r="L738" s="125"/>
    </row>
    <row r="739" spans="2:12" s="5" customFormat="1" ht="15.75">
      <c r="B739" s="368"/>
      <c r="C739" s="357"/>
      <c r="D739" s="125">
        <v>10</v>
      </c>
      <c r="E739" s="125" t="s">
        <v>163</v>
      </c>
      <c r="F739" s="61" t="s">
        <v>164</v>
      </c>
      <c r="G739" s="61">
        <v>1</v>
      </c>
      <c r="H739" s="61">
        <v>4</v>
      </c>
      <c r="I739" s="61" t="s">
        <v>165</v>
      </c>
      <c r="J739" s="61"/>
      <c r="K739" s="61"/>
      <c r="L739" s="125"/>
    </row>
    <row r="740" spans="2:12" s="5" customFormat="1" ht="15.75">
      <c r="B740" s="368"/>
      <c r="C740" s="357"/>
      <c r="D740" s="125">
        <v>11</v>
      </c>
      <c r="E740" s="125" t="s">
        <v>166</v>
      </c>
      <c r="F740" s="61" t="s">
        <v>127</v>
      </c>
      <c r="G740" s="61" t="s">
        <v>1331</v>
      </c>
      <c r="H740" s="61" t="s">
        <v>1294</v>
      </c>
      <c r="I740" s="61">
        <v>1</v>
      </c>
      <c r="J740" s="61"/>
      <c r="K740" s="61"/>
      <c r="L740" s="125"/>
    </row>
    <row r="741" spans="2:12" s="5" customFormat="1" ht="15.75">
      <c r="B741" s="368"/>
      <c r="C741" s="357"/>
      <c r="D741" s="125">
        <v>12</v>
      </c>
      <c r="E741" s="125" t="s">
        <v>313</v>
      </c>
      <c r="F741" s="61" t="s">
        <v>125</v>
      </c>
      <c r="G741" s="61">
        <v>10000</v>
      </c>
      <c r="H741" s="61"/>
      <c r="I741" s="61"/>
      <c r="J741" s="61"/>
      <c r="K741" s="61"/>
      <c r="L741" s="125"/>
    </row>
    <row r="742" spans="2:12" s="5" customFormat="1" ht="15.75">
      <c r="B742" s="368"/>
      <c r="C742" s="357"/>
      <c r="D742" s="125">
        <v>13</v>
      </c>
      <c r="E742" s="125" t="s">
        <v>146</v>
      </c>
      <c r="F742" s="61" t="s">
        <v>123</v>
      </c>
      <c r="G742" s="61"/>
      <c r="H742" s="61"/>
      <c r="I742" s="61"/>
      <c r="J742" s="61"/>
      <c r="K742" s="61"/>
      <c r="L742" s="125"/>
    </row>
    <row r="743" spans="2:12" s="5" customFormat="1" ht="15.75">
      <c r="B743" s="369"/>
      <c r="C743" s="358"/>
      <c r="D743" s="125"/>
      <c r="E743" s="125"/>
      <c r="F743" s="61"/>
      <c r="G743" s="61"/>
      <c r="H743" s="61"/>
      <c r="I743" s="61"/>
      <c r="J743" s="61"/>
      <c r="K743" s="61"/>
      <c r="L743" s="125"/>
    </row>
    <row r="744" spans="2:12" s="5" customFormat="1" ht="15.75">
      <c r="B744" s="367" t="s">
        <v>1337</v>
      </c>
      <c r="C744" s="356" t="s">
        <v>1728</v>
      </c>
      <c r="D744" s="125">
        <v>1</v>
      </c>
      <c r="E744" s="125" t="s">
        <v>142</v>
      </c>
      <c r="F744" s="61" t="s">
        <v>122</v>
      </c>
      <c r="G744" s="61"/>
      <c r="H744" s="61"/>
      <c r="I744" s="61"/>
      <c r="J744" s="61"/>
      <c r="K744" s="61"/>
      <c r="L744" s="125"/>
    </row>
    <row r="745" spans="2:12" s="5" customFormat="1" ht="15.75">
      <c r="B745" s="368"/>
      <c r="C745" s="357"/>
      <c r="D745" s="125">
        <v>2</v>
      </c>
      <c r="E745" s="125" t="s">
        <v>1639</v>
      </c>
      <c r="F745" s="61" t="s">
        <v>87</v>
      </c>
      <c r="G745" s="61" t="s">
        <v>1640</v>
      </c>
      <c r="H745" s="61"/>
      <c r="I745" s="61"/>
      <c r="J745" s="61"/>
      <c r="K745" s="61"/>
      <c r="L745" s="125"/>
    </row>
    <row r="746" spans="2:12" s="5" customFormat="1" ht="15.75">
      <c r="B746" s="368"/>
      <c r="C746" s="357"/>
      <c r="D746" s="125">
        <v>3</v>
      </c>
      <c r="E746" s="125"/>
      <c r="F746" s="61" t="s">
        <v>130</v>
      </c>
      <c r="G746" s="61" t="s">
        <v>162</v>
      </c>
      <c r="H746" s="61" t="s">
        <v>1294</v>
      </c>
      <c r="I746" s="61"/>
      <c r="J746" s="61"/>
      <c r="K746" s="61"/>
      <c r="L746" s="125"/>
    </row>
    <row r="747" spans="2:12" s="5" customFormat="1" ht="15.75">
      <c r="B747" s="368"/>
      <c r="C747" s="357"/>
      <c r="D747" s="125">
        <v>4</v>
      </c>
      <c r="E747" s="125"/>
      <c r="F747" s="61" t="s">
        <v>130</v>
      </c>
      <c r="G747" s="61" t="s">
        <v>1301</v>
      </c>
      <c r="H747" s="61">
        <v>1</v>
      </c>
      <c r="I747" s="61"/>
      <c r="J747" s="61"/>
      <c r="K747" s="61"/>
      <c r="L747" s="125"/>
    </row>
    <row r="748" spans="2:12" s="5" customFormat="1" ht="15.75">
      <c r="B748" s="368"/>
      <c r="C748" s="357"/>
      <c r="D748" s="125">
        <v>5</v>
      </c>
      <c r="E748" s="125" t="s">
        <v>166</v>
      </c>
      <c r="F748" s="61" t="s">
        <v>127</v>
      </c>
      <c r="G748" s="61" t="s">
        <v>1331</v>
      </c>
      <c r="H748" s="61" t="s">
        <v>162</v>
      </c>
      <c r="I748" s="61" t="s">
        <v>1301</v>
      </c>
      <c r="J748" s="61"/>
      <c r="K748" s="61"/>
      <c r="L748" s="125"/>
    </row>
    <row r="749" spans="2:12" s="5" customFormat="1" ht="15.75">
      <c r="B749" s="368"/>
      <c r="C749" s="357"/>
      <c r="D749" s="125">
        <v>6</v>
      </c>
      <c r="E749" s="125"/>
      <c r="F749" s="61" t="s">
        <v>131</v>
      </c>
      <c r="G749" s="61" t="s">
        <v>1301</v>
      </c>
      <c r="H749" s="61">
        <v>1</v>
      </c>
      <c r="I749" s="61"/>
      <c r="J749" s="61"/>
      <c r="K749" s="61"/>
      <c r="L749" s="125"/>
    </row>
    <row r="750" spans="2:12" s="5" customFormat="1" ht="15.75">
      <c r="B750" s="368"/>
      <c r="C750" s="357"/>
      <c r="D750" s="125">
        <v>7</v>
      </c>
      <c r="E750" s="125"/>
      <c r="F750" s="61" t="s">
        <v>135</v>
      </c>
      <c r="G750" s="61">
        <v>5</v>
      </c>
      <c r="H750" s="61" t="s">
        <v>1301</v>
      </c>
      <c r="I750" s="61">
        <v>3</v>
      </c>
      <c r="J750" s="61"/>
      <c r="K750" s="61"/>
      <c r="L750" s="125"/>
    </row>
    <row r="751" spans="2:12" s="5" customFormat="1" ht="15.75">
      <c r="B751" s="368"/>
      <c r="C751" s="357"/>
      <c r="D751" s="125">
        <v>8</v>
      </c>
      <c r="E751" s="125" t="s">
        <v>1645</v>
      </c>
      <c r="F751" s="61" t="s">
        <v>87</v>
      </c>
      <c r="G751" s="61" t="s">
        <v>1646</v>
      </c>
      <c r="H751" s="61"/>
      <c r="I751" s="61"/>
      <c r="J751" s="61"/>
      <c r="K751" s="61"/>
      <c r="L751" s="125"/>
    </row>
    <row r="752" spans="2:12" s="5" customFormat="1" ht="15.75">
      <c r="B752" s="368"/>
      <c r="C752" s="357"/>
      <c r="D752" s="125">
        <v>9</v>
      </c>
      <c r="E752" s="125" t="s">
        <v>816</v>
      </c>
      <c r="F752" s="61" t="s">
        <v>125</v>
      </c>
      <c r="G752" s="61">
        <v>1020</v>
      </c>
      <c r="H752" s="61"/>
      <c r="I752" s="61"/>
      <c r="J752" s="61"/>
      <c r="K752" s="61"/>
      <c r="L752" s="125"/>
    </row>
    <row r="753" spans="2:12" s="5" customFormat="1" ht="15.75">
      <c r="B753" s="368"/>
      <c r="C753" s="357"/>
      <c r="D753" s="125">
        <v>10</v>
      </c>
      <c r="E753" s="125" t="s">
        <v>163</v>
      </c>
      <c r="F753" s="61" t="s">
        <v>164</v>
      </c>
      <c r="G753" s="61">
        <v>1</v>
      </c>
      <c r="H753" s="61">
        <v>4</v>
      </c>
      <c r="I753" s="61" t="s">
        <v>165</v>
      </c>
      <c r="J753" s="61"/>
      <c r="K753" s="61"/>
      <c r="L753" s="125"/>
    </row>
    <row r="754" spans="2:12" s="5" customFormat="1" ht="15.75">
      <c r="B754" s="368"/>
      <c r="C754" s="357"/>
      <c r="D754" s="125">
        <v>11</v>
      </c>
      <c r="E754" s="125" t="s">
        <v>166</v>
      </c>
      <c r="F754" s="61" t="s">
        <v>127</v>
      </c>
      <c r="G754" s="61" t="s">
        <v>1331</v>
      </c>
      <c r="H754" s="61" t="s">
        <v>1294</v>
      </c>
      <c r="I754" s="61">
        <v>1</v>
      </c>
      <c r="J754" s="61"/>
      <c r="K754" s="61"/>
      <c r="L754" s="125"/>
    </row>
    <row r="755" spans="2:12" s="5" customFormat="1" ht="15.75">
      <c r="B755" s="368"/>
      <c r="C755" s="357"/>
      <c r="D755" s="125">
        <v>12</v>
      </c>
      <c r="E755" s="125" t="s">
        <v>313</v>
      </c>
      <c r="F755" s="61" t="s">
        <v>125</v>
      </c>
      <c r="G755" s="61">
        <v>10000</v>
      </c>
      <c r="H755" s="61"/>
      <c r="I755" s="61"/>
      <c r="J755" s="61"/>
      <c r="K755" s="61"/>
      <c r="L755" s="125"/>
    </row>
    <row r="756" spans="2:12" s="5" customFormat="1" ht="15.75">
      <c r="B756" s="368"/>
      <c r="C756" s="357"/>
      <c r="D756" s="125">
        <v>13</v>
      </c>
      <c r="E756" s="125" t="s">
        <v>146</v>
      </c>
      <c r="F756" s="61" t="s">
        <v>123</v>
      </c>
      <c r="G756" s="61"/>
      <c r="H756" s="61"/>
      <c r="I756" s="61"/>
      <c r="J756" s="61"/>
      <c r="K756" s="61"/>
      <c r="L756" s="125"/>
    </row>
    <row r="757" spans="2:12" s="5" customFormat="1" ht="15.75">
      <c r="B757" s="369"/>
      <c r="C757" s="358"/>
      <c r="D757" s="125"/>
      <c r="E757" s="125"/>
      <c r="F757" s="61"/>
      <c r="G757" s="61"/>
      <c r="H757" s="61"/>
      <c r="I757" s="61"/>
      <c r="J757" s="61"/>
      <c r="K757" s="61"/>
      <c r="L757" s="125"/>
    </row>
    <row r="758" spans="2:12" s="5" customFormat="1" ht="15.75">
      <c r="B758" s="359" t="s">
        <v>1479</v>
      </c>
      <c r="C758" s="356" t="s">
        <v>1728</v>
      </c>
      <c r="D758" s="126">
        <v>1</v>
      </c>
      <c r="E758" s="126" t="s">
        <v>142</v>
      </c>
      <c r="F758" s="61" t="s">
        <v>122</v>
      </c>
      <c r="G758" s="61"/>
      <c r="H758" s="61"/>
      <c r="I758" s="61"/>
      <c r="J758" s="61"/>
      <c r="K758" s="61"/>
      <c r="L758" s="126"/>
    </row>
    <row r="759" spans="2:12" s="5" customFormat="1" ht="15.75">
      <c r="B759" s="359"/>
      <c r="C759" s="357"/>
      <c r="D759" s="126">
        <v>2</v>
      </c>
      <c r="E759" s="126" t="s">
        <v>1639</v>
      </c>
      <c r="F759" s="61" t="s">
        <v>87</v>
      </c>
      <c r="G759" s="61" t="s">
        <v>1640</v>
      </c>
      <c r="H759" s="61"/>
      <c r="I759" s="61"/>
      <c r="J759" s="61"/>
      <c r="K759" s="61"/>
      <c r="L759" s="126"/>
    </row>
    <row r="760" spans="2:12" s="5" customFormat="1" ht="15.75">
      <c r="B760" s="359"/>
      <c r="C760" s="357"/>
      <c r="D760" s="126">
        <v>3</v>
      </c>
      <c r="E760" s="126" t="s">
        <v>172</v>
      </c>
      <c r="F760" s="61" t="s">
        <v>173</v>
      </c>
      <c r="G760" s="61">
        <v>0</v>
      </c>
      <c r="H760" s="61" t="s">
        <v>174</v>
      </c>
      <c r="I760" s="61"/>
      <c r="J760" s="61"/>
      <c r="K760" s="61"/>
      <c r="L760" s="126"/>
    </row>
    <row r="761" spans="2:12" s="5" customFormat="1" ht="15.75">
      <c r="B761" s="359"/>
      <c r="C761" s="357"/>
      <c r="D761" s="126">
        <v>4</v>
      </c>
      <c r="E761" s="126" t="s">
        <v>163</v>
      </c>
      <c r="F761" s="61" t="s">
        <v>164</v>
      </c>
      <c r="G761" s="61">
        <v>1</v>
      </c>
      <c r="H761" s="61">
        <v>4</v>
      </c>
      <c r="I761" s="61" t="s">
        <v>165</v>
      </c>
      <c r="J761" s="61"/>
      <c r="K761" s="61"/>
      <c r="L761" s="126"/>
    </row>
    <row r="762" spans="2:12" s="5" customFormat="1" ht="15.75">
      <c r="B762" s="359"/>
      <c r="C762" s="357"/>
      <c r="D762" s="126">
        <v>5</v>
      </c>
      <c r="E762" s="126" t="s">
        <v>1643</v>
      </c>
      <c r="F762" s="61" t="s">
        <v>87</v>
      </c>
      <c r="G762" s="61" t="s">
        <v>1720</v>
      </c>
      <c r="H762" s="61"/>
      <c r="I762" s="61"/>
      <c r="J762" s="61"/>
      <c r="K762" s="61"/>
      <c r="L762" s="126"/>
    </row>
    <row r="763" spans="2:12" s="5" customFormat="1" ht="15.75">
      <c r="B763" s="359"/>
      <c r="C763" s="357"/>
      <c r="D763" s="126">
        <v>6</v>
      </c>
      <c r="E763" s="126" t="s">
        <v>293</v>
      </c>
      <c r="F763" s="61" t="s">
        <v>127</v>
      </c>
      <c r="G763" s="61" t="s">
        <v>1331</v>
      </c>
      <c r="H763" s="61" t="s">
        <v>1294</v>
      </c>
      <c r="I763" s="61">
        <v>1</v>
      </c>
      <c r="J763" s="61"/>
      <c r="K763" s="61"/>
      <c r="L763" s="126"/>
    </row>
    <row r="764" spans="2:12" s="5" customFormat="1" ht="15.75">
      <c r="B764" s="359"/>
      <c r="C764" s="357"/>
      <c r="D764" s="126">
        <v>7</v>
      </c>
      <c r="E764" s="126" t="s">
        <v>313</v>
      </c>
      <c r="F764" s="61" t="s">
        <v>125</v>
      </c>
      <c r="G764" s="61">
        <v>10000</v>
      </c>
      <c r="H764" s="61"/>
      <c r="I764" s="61"/>
      <c r="J764" s="61"/>
      <c r="K764" s="61"/>
      <c r="L764" s="126"/>
    </row>
    <row r="765" spans="2:12" s="5" customFormat="1" ht="15.75">
      <c r="B765" s="359"/>
      <c r="C765" s="357"/>
      <c r="D765" s="126">
        <v>8</v>
      </c>
      <c r="E765" s="126" t="s">
        <v>146</v>
      </c>
      <c r="F765" s="61" t="s">
        <v>123</v>
      </c>
      <c r="G765" s="61"/>
      <c r="H765" s="61"/>
      <c r="I765" s="61"/>
      <c r="J765" s="61"/>
      <c r="K765" s="61"/>
      <c r="L765" s="126"/>
    </row>
    <row r="766" spans="2:12" s="5" customFormat="1" ht="15.75">
      <c r="B766" s="359"/>
      <c r="C766" s="358"/>
      <c r="D766" s="126"/>
      <c r="E766" s="126"/>
      <c r="F766" s="61"/>
      <c r="G766" s="61"/>
      <c r="H766" s="61"/>
      <c r="I766" s="61"/>
      <c r="J766" s="61"/>
      <c r="K766" s="61"/>
      <c r="L766" s="126"/>
    </row>
    <row r="767" spans="2:12" s="5" customFormat="1" ht="15.75">
      <c r="B767" s="359" t="s">
        <v>1752</v>
      </c>
      <c r="C767" s="356" t="s">
        <v>1728</v>
      </c>
      <c r="D767" s="126">
        <v>1</v>
      </c>
      <c r="E767" s="126" t="s">
        <v>142</v>
      </c>
      <c r="F767" s="61" t="s">
        <v>122</v>
      </c>
      <c r="G767" s="61"/>
      <c r="H767" s="61"/>
      <c r="I767" s="61"/>
      <c r="J767" s="61"/>
      <c r="K767" s="61"/>
      <c r="L767" s="126"/>
    </row>
    <row r="768" spans="2:12" s="5" customFormat="1" ht="15.75">
      <c r="B768" s="359"/>
      <c r="C768" s="357"/>
      <c r="D768" s="126">
        <v>2</v>
      </c>
      <c r="E768" s="126" t="s">
        <v>1639</v>
      </c>
      <c r="F768" s="61" t="s">
        <v>87</v>
      </c>
      <c r="G768" s="61" t="s">
        <v>1640</v>
      </c>
      <c r="H768" s="61"/>
      <c r="I768" s="61"/>
      <c r="J768" s="61"/>
      <c r="K768" s="61"/>
      <c r="L768" s="126"/>
    </row>
    <row r="769" spans="2:12" s="5" customFormat="1" ht="15.75">
      <c r="B769" s="359"/>
      <c r="C769" s="357"/>
      <c r="D769" s="126">
        <v>3</v>
      </c>
      <c r="E769" s="126" t="s">
        <v>172</v>
      </c>
      <c r="F769" s="61" t="s">
        <v>173</v>
      </c>
      <c r="G769" s="61">
        <v>0</v>
      </c>
      <c r="H769" s="61" t="s">
        <v>174</v>
      </c>
      <c r="I769" s="61"/>
      <c r="J769" s="61"/>
      <c r="K769" s="61"/>
      <c r="L769" s="126"/>
    </row>
    <row r="770" spans="2:12" s="5" customFormat="1" ht="15.75">
      <c r="B770" s="359"/>
      <c r="C770" s="357"/>
      <c r="D770" s="126">
        <v>4</v>
      </c>
      <c r="E770" s="126" t="s">
        <v>163</v>
      </c>
      <c r="F770" s="61" t="s">
        <v>164</v>
      </c>
      <c r="G770" s="61">
        <v>1</v>
      </c>
      <c r="H770" s="61">
        <v>4</v>
      </c>
      <c r="I770" s="61" t="s">
        <v>165</v>
      </c>
      <c r="J770" s="61"/>
      <c r="K770" s="61"/>
      <c r="L770" s="126"/>
    </row>
    <row r="771" spans="2:12" s="5" customFormat="1" ht="15.75">
      <c r="B771" s="359"/>
      <c r="C771" s="357"/>
      <c r="D771" s="126">
        <v>5</v>
      </c>
      <c r="E771" s="126" t="s">
        <v>1751</v>
      </c>
      <c r="F771" s="61" t="s">
        <v>87</v>
      </c>
      <c r="G771" s="61" t="s">
        <v>1761</v>
      </c>
      <c r="H771" s="61"/>
      <c r="I771" s="61"/>
      <c r="J771" s="61"/>
      <c r="K771" s="61"/>
      <c r="L771" s="126"/>
    </row>
    <row r="772" spans="2:12" s="5" customFormat="1" ht="15.75">
      <c r="B772" s="359"/>
      <c r="C772" s="357"/>
      <c r="D772" s="126">
        <v>6</v>
      </c>
      <c r="E772" s="126" t="s">
        <v>293</v>
      </c>
      <c r="F772" s="61" t="s">
        <v>127</v>
      </c>
      <c r="G772" s="61" t="s">
        <v>1331</v>
      </c>
      <c r="H772" s="61" t="s">
        <v>1294</v>
      </c>
      <c r="I772" s="61">
        <v>1</v>
      </c>
      <c r="J772" s="61"/>
      <c r="K772" s="61"/>
      <c r="L772" s="126"/>
    </row>
    <row r="773" spans="2:12" s="5" customFormat="1" ht="15.75">
      <c r="B773" s="359"/>
      <c r="C773" s="357"/>
      <c r="D773" s="126">
        <v>7</v>
      </c>
      <c r="E773" s="126" t="s">
        <v>313</v>
      </c>
      <c r="F773" s="61" t="s">
        <v>125</v>
      </c>
      <c r="G773" s="61">
        <v>10000</v>
      </c>
      <c r="H773" s="61"/>
      <c r="I773" s="61"/>
      <c r="J773" s="61"/>
      <c r="K773" s="61"/>
      <c r="L773" s="126"/>
    </row>
    <row r="774" spans="2:12" s="5" customFormat="1" ht="15.75">
      <c r="B774" s="359"/>
      <c r="C774" s="357"/>
      <c r="D774" s="126">
        <v>8</v>
      </c>
      <c r="E774" s="126" t="s">
        <v>146</v>
      </c>
      <c r="F774" s="61" t="s">
        <v>123</v>
      </c>
      <c r="G774" s="61"/>
      <c r="H774" s="61"/>
      <c r="I774" s="61"/>
      <c r="J774" s="61"/>
      <c r="K774" s="61"/>
      <c r="L774" s="126"/>
    </row>
    <row r="775" spans="2:12" s="5" customFormat="1" ht="15.75">
      <c r="B775" s="359"/>
      <c r="C775" s="358"/>
      <c r="D775" s="126"/>
      <c r="E775" s="126"/>
      <c r="F775" s="61"/>
      <c r="G775" s="61"/>
      <c r="H775" s="61"/>
      <c r="I775" s="61"/>
      <c r="J775" s="61"/>
      <c r="K775" s="61"/>
      <c r="L775" s="126"/>
    </row>
    <row r="776" spans="2:12" s="5" customFormat="1" ht="15.75">
      <c r="B776" s="359" t="s">
        <v>1753</v>
      </c>
      <c r="C776" s="356" t="s">
        <v>1728</v>
      </c>
      <c r="D776" s="126">
        <v>1</v>
      </c>
      <c r="E776" s="126" t="s">
        <v>142</v>
      </c>
      <c r="F776" s="61" t="s">
        <v>122</v>
      </c>
      <c r="G776" s="61"/>
      <c r="H776" s="61"/>
      <c r="I776" s="61"/>
      <c r="J776" s="61"/>
      <c r="K776" s="61"/>
      <c r="L776" s="126"/>
    </row>
    <row r="777" spans="2:12" s="5" customFormat="1" ht="15.75">
      <c r="B777" s="359"/>
      <c r="C777" s="357"/>
      <c r="D777" s="126">
        <v>2</v>
      </c>
      <c r="E777" s="126" t="s">
        <v>1639</v>
      </c>
      <c r="F777" s="61" t="s">
        <v>87</v>
      </c>
      <c r="G777" s="61" t="s">
        <v>1640</v>
      </c>
      <c r="H777" s="61"/>
      <c r="I777" s="61"/>
      <c r="J777" s="61"/>
      <c r="K777" s="61"/>
      <c r="L777" s="126"/>
    </row>
    <row r="778" spans="2:12" s="5" customFormat="1" ht="15.75">
      <c r="B778" s="359"/>
      <c r="C778" s="357"/>
      <c r="D778" s="126">
        <v>3</v>
      </c>
      <c r="E778" s="126" t="s">
        <v>172</v>
      </c>
      <c r="F778" s="61" t="s">
        <v>173</v>
      </c>
      <c r="G778" s="61">
        <v>0</v>
      </c>
      <c r="H778" s="61" t="s">
        <v>174</v>
      </c>
      <c r="I778" s="61"/>
      <c r="J778" s="61"/>
      <c r="K778" s="61"/>
      <c r="L778" s="126"/>
    </row>
    <row r="779" spans="2:12" s="5" customFormat="1" ht="15.75">
      <c r="B779" s="359"/>
      <c r="C779" s="357"/>
      <c r="D779" s="126">
        <v>4</v>
      </c>
      <c r="E779" s="126" t="s">
        <v>163</v>
      </c>
      <c r="F779" s="61" t="s">
        <v>164</v>
      </c>
      <c r="G779" s="61">
        <v>1</v>
      </c>
      <c r="H779" s="61">
        <v>4</v>
      </c>
      <c r="I779" s="61" t="s">
        <v>165</v>
      </c>
      <c r="J779" s="61"/>
      <c r="K779" s="61"/>
      <c r="L779" s="126"/>
    </row>
    <row r="780" spans="2:12" s="5" customFormat="1" ht="15.75">
      <c r="B780" s="359"/>
      <c r="C780" s="357"/>
      <c r="D780" s="126">
        <v>5</v>
      </c>
      <c r="E780" s="126" t="s">
        <v>1645</v>
      </c>
      <c r="F780" s="61" t="s">
        <v>87</v>
      </c>
      <c r="G780" s="61" t="s">
        <v>1721</v>
      </c>
      <c r="H780" s="61"/>
      <c r="I780" s="61"/>
      <c r="J780" s="61"/>
      <c r="K780" s="61"/>
      <c r="L780" s="126"/>
    </row>
    <row r="781" spans="2:12" s="5" customFormat="1" ht="15.75">
      <c r="B781" s="359"/>
      <c r="C781" s="357"/>
      <c r="D781" s="126">
        <v>6</v>
      </c>
      <c r="E781" s="126" t="s">
        <v>293</v>
      </c>
      <c r="F781" s="61" t="s">
        <v>127</v>
      </c>
      <c r="G781" s="61" t="s">
        <v>1331</v>
      </c>
      <c r="H781" s="61" t="s">
        <v>1294</v>
      </c>
      <c r="I781" s="61">
        <v>1</v>
      </c>
      <c r="J781" s="61"/>
      <c r="K781" s="61"/>
      <c r="L781" s="126"/>
    </row>
    <row r="782" spans="2:12" s="5" customFormat="1" ht="15.75">
      <c r="B782" s="359"/>
      <c r="C782" s="357"/>
      <c r="D782" s="126">
        <v>7</v>
      </c>
      <c r="E782" s="126" t="s">
        <v>313</v>
      </c>
      <c r="F782" s="61" t="s">
        <v>125</v>
      </c>
      <c r="G782" s="61">
        <v>10000</v>
      </c>
      <c r="H782" s="61"/>
      <c r="I782" s="61"/>
      <c r="J782" s="61"/>
      <c r="K782" s="61"/>
      <c r="L782" s="126"/>
    </row>
    <row r="783" spans="2:12" s="5" customFormat="1" ht="15.75">
      <c r="B783" s="359"/>
      <c r="C783" s="357"/>
      <c r="D783" s="126">
        <v>8</v>
      </c>
      <c r="E783" s="126" t="s">
        <v>146</v>
      </c>
      <c r="F783" s="61" t="s">
        <v>123</v>
      </c>
      <c r="G783" s="61"/>
      <c r="H783" s="61"/>
      <c r="I783" s="61"/>
      <c r="J783" s="61"/>
      <c r="K783" s="61"/>
      <c r="L783" s="126"/>
    </row>
    <row r="784" spans="2:12" s="5" customFormat="1" ht="15.75">
      <c r="B784" s="359"/>
      <c r="C784" s="358"/>
      <c r="D784" s="126"/>
      <c r="E784" s="126"/>
      <c r="F784" s="61"/>
      <c r="G784" s="61"/>
      <c r="H784" s="61"/>
      <c r="I784" s="61"/>
      <c r="J784" s="61"/>
      <c r="K784" s="61"/>
      <c r="L784" s="126"/>
    </row>
    <row r="785" spans="2:12" s="5" customFormat="1" ht="15.75">
      <c r="B785" s="359" t="s">
        <v>1338</v>
      </c>
      <c r="C785" s="356" t="s">
        <v>1728</v>
      </c>
      <c r="D785" s="126">
        <v>1</v>
      </c>
      <c r="E785" s="126" t="s">
        <v>1639</v>
      </c>
      <c r="F785" s="61" t="s">
        <v>87</v>
      </c>
      <c r="G785" s="61" t="s">
        <v>1640</v>
      </c>
      <c r="H785" s="61"/>
      <c r="I785" s="61"/>
      <c r="J785" s="61"/>
      <c r="K785" s="61"/>
      <c r="L785" s="126"/>
    </row>
    <row r="786" spans="2:12" s="5" customFormat="1" ht="15.75">
      <c r="B786" s="359"/>
      <c r="C786" s="357"/>
      <c r="D786" s="126">
        <v>2</v>
      </c>
      <c r="E786" s="126" t="s">
        <v>142</v>
      </c>
      <c r="F786" s="61" t="s">
        <v>122</v>
      </c>
      <c r="G786" s="61"/>
      <c r="H786" s="61"/>
      <c r="I786" s="61"/>
      <c r="J786" s="61"/>
      <c r="K786" s="61"/>
      <c r="L786" s="126"/>
    </row>
    <row r="787" spans="2:12" s="5" customFormat="1" ht="15.75">
      <c r="B787" s="359"/>
      <c r="C787" s="357"/>
      <c r="D787" s="126">
        <v>3</v>
      </c>
      <c r="E787" s="126"/>
      <c r="F787" s="61" t="s">
        <v>1339</v>
      </c>
      <c r="G787" s="61">
        <v>1000</v>
      </c>
      <c r="H787" s="61"/>
      <c r="I787" s="61"/>
      <c r="J787" s="61"/>
      <c r="K787" s="61"/>
      <c r="L787" s="126"/>
    </row>
    <row r="788" spans="2:12" s="5" customFormat="1" ht="15.75">
      <c r="B788" s="359"/>
      <c r="C788" s="357"/>
      <c r="D788" s="126">
        <v>4</v>
      </c>
      <c r="E788" s="126" t="s">
        <v>172</v>
      </c>
      <c r="F788" s="61" t="s">
        <v>173</v>
      </c>
      <c r="G788" s="61">
        <v>0</v>
      </c>
      <c r="H788" s="61" t="s">
        <v>174</v>
      </c>
      <c r="I788" s="61"/>
      <c r="J788" s="61"/>
      <c r="K788" s="61"/>
      <c r="L788" s="126"/>
    </row>
    <row r="789" spans="2:12" s="5" customFormat="1" ht="15.75">
      <c r="B789" s="359"/>
      <c r="C789" s="357"/>
      <c r="D789" s="126">
        <v>5</v>
      </c>
      <c r="E789" s="126" t="s">
        <v>163</v>
      </c>
      <c r="F789" s="61" t="s">
        <v>164</v>
      </c>
      <c r="G789" s="61">
        <v>1</v>
      </c>
      <c r="H789" s="61">
        <v>4</v>
      </c>
      <c r="I789" s="61" t="s">
        <v>165</v>
      </c>
      <c r="J789" s="61"/>
      <c r="K789" s="61"/>
      <c r="L789" s="126"/>
    </row>
    <row r="790" spans="2:12" s="5" customFormat="1" ht="15.75">
      <c r="B790" s="359"/>
      <c r="C790" s="357"/>
      <c r="D790" s="126">
        <v>6</v>
      </c>
      <c r="E790" s="126"/>
      <c r="F790" s="61" t="s">
        <v>125</v>
      </c>
      <c r="G790" s="61">
        <v>1000</v>
      </c>
      <c r="H790" s="61"/>
      <c r="I790" s="61"/>
      <c r="J790" s="61"/>
      <c r="K790" s="61"/>
      <c r="L790" s="126"/>
    </row>
    <row r="791" spans="2:12" s="5" customFormat="1" ht="15.75">
      <c r="B791" s="359"/>
      <c r="C791" s="357"/>
      <c r="D791" s="126">
        <v>7</v>
      </c>
      <c r="E791" s="126" t="s">
        <v>293</v>
      </c>
      <c r="F791" s="61" t="s">
        <v>127</v>
      </c>
      <c r="G791" s="61" t="s">
        <v>1331</v>
      </c>
      <c r="H791" s="61" t="s">
        <v>1294</v>
      </c>
      <c r="I791" s="61">
        <v>1</v>
      </c>
      <c r="J791" s="61"/>
      <c r="K791" s="61"/>
      <c r="L791" s="126"/>
    </row>
    <row r="792" spans="2:12" s="5" customFormat="1" ht="15.75">
      <c r="B792" s="359"/>
      <c r="C792" s="357"/>
      <c r="D792" s="126">
        <v>8</v>
      </c>
      <c r="E792" s="126" t="s">
        <v>313</v>
      </c>
      <c r="F792" s="61" t="s">
        <v>125</v>
      </c>
      <c r="G792" s="61">
        <v>10000</v>
      </c>
      <c r="H792" s="61"/>
      <c r="I792" s="61"/>
      <c r="J792" s="61"/>
      <c r="K792" s="61"/>
      <c r="L792" s="126"/>
    </row>
    <row r="793" spans="2:12" s="5" customFormat="1" ht="15.75">
      <c r="B793" s="359"/>
      <c r="C793" s="357"/>
      <c r="D793" s="126">
        <v>9</v>
      </c>
      <c r="E793" s="126" t="s">
        <v>146</v>
      </c>
      <c r="F793" s="61" t="s">
        <v>123</v>
      </c>
      <c r="G793" s="61"/>
      <c r="H793" s="61"/>
      <c r="I793" s="61"/>
      <c r="J793" s="61"/>
      <c r="K793" s="61"/>
      <c r="L793" s="126"/>
    </row>
    <row r="794" spans="2:12" s="5" customFormat="1" ht="15.75">
      <c r="B794" s="359"/>
      <c r="C794" s="358"/>
      <c r="D794" s="126"/>
      <c r="E794" s="126"/>
      <c r="F794" s="61"/>
      <c r="G794" s="61"/>
      <c r="H794" s="61"/>
      <c r="I794" s="61"/>
      <c r="J794" s="61"/>
      <c r="K794" s="61"/>
      <c r="L794" s="126"/>
    </row>
    <row r="795" spans="2:12" s="5" customFormat="1" ht="15.75">
      <c r="B795" s="359" t="s">
        <v>1340</v>
      </c>
      <c r="C795" s="356" t="s">
        <v>1728</v>
      </c>
      <c r="D795" s="126">
        <v>1</v>
      </c>
      <c r="E795" s="126" t="s">
        <v>1639</v>
      </c>
      <c r="F795" s="61" t="s">
        <v>87</v>
      </c>
      <c r="G795" s="61" t="s">
        <v>1640</v>
      </c>
      <c r="H795" s="61"/>
      <c r="I795" s="61"/>
      <c r="J795" s="61"/>
      <c r="K795" s="61"/>
      <c r="L795" s="126"/>
    </row>
    <row r="796" spans="2:12" s="5" customFormat="1" ht="15.75">
      <c r="B796" s="359"/>
      <c r="C796" s="357"/>
      <c r="D796" s="126">
        <v>2</v>
      </c>
      <c r="E796" s="126" t="s">
        <v>142</v>
      </c>
      <c r="F796" s="61" t="s">
        <v>122</v>
      </c>
      <c r="G796" s="61"/>
      <c r="H796" s="61"/>
      <c r="I796" s="61"/>
      <c r="J796" s="61"/>
      <c r="K796" s="61"/>
      <c r="L796" s="126"/>
    </row>
    <row r="797" spans="2:12" s="5" customFormat="1" ht="15.75">
      <c r="B797" s="359"/>
      <c r="C797" s="357"/>
      <c r="D797" s="180">
        <v>3</v>
      </c>
      <c r="E797" s="126"/>
      <c r="F797" s="61" t="s">
        <v>1339</v>
      </c>
      <c r="G797" s="61">
        <v>100</v>
      </c>
      <c r="H797" s="61"/>
      <c r="I797" s="61"/>
      <c r="J797" s="61"/>
      <c r="K797" s="61"/>
      <c r="L797" s="126"/>
    </row>
    <row r="798" spans="2:12" s="5" customFormat="1" ht="15.75">
      <c r="B798" s="359"/>
      <c r="C798" s="357"/>
      <c r="D798" s="180">
        <v>4</v>
      </c>
      <c r="E798" s="126"/>
      <c r="F798" s="61" t="s">
        <v>1341</v>
      </c>
      <c r="G798" s="61" t="s">
        <v>1342</v>
      </c>
      <c r="H798" s="61" t="s">
        <v>1294</v>
      </c>
      <c r="I798" s="61"/>
      <c r="J798" s="61"/>
      <c r="K798" s="61"/>
      <c r="L798" s="126"/>
    </row>
    <row r="799" spans="2:12" s="5" customFormat="1" ht="15.75">
      <c r="B799" s="359"/>
      <c r="C799" s="357"/>
      <c r="D799" s="180">
        <v>5</v>
      </c>
      <c r="E799" s="126"/>
      <c r="F799" s="61" t="s">
        <v>1343</v>
      </c>
      <c r="G799" s="61" t="s">
        <v>1342</v>
      </c>
      <c r="H799" s="61">
        <v>2</v>
      </c>
      <c r="I799" s="61"/>
      <c r="J799" s="61"/>
      <c r="K799" s="61"/>
      <c r="L799" s="126"/>
    </row>
    <row r="800" spans="2:12" s="5" customFormat="1" ht="15.75">
      <c r="B800" s="359"/>
      <c r="C800" s="357"/>
      <c r="D800" s="180">
        <v>6</v>
      </c>
      <c r="E800" s="180"/>
      <c r="F800" s="61" t="s">
        <v>1933</v>
      </c>
      <c r="G800" s="61">
        <v>100</v>
      </c>
      <c r="H800" s="61"/>
      <c r="I800" s="61"/>
      <c r="J800" s="61"/>
      <c r="K800" s="61"/>
      <c r="L800" s="180"/>
    </row>
    <row r="801" spans="2:12" s="5" customFormat="1" ht="15.75">
      <c r="B801" s="359"/>
      <c r="C801" s="357"/>
      <c r="D801" s="180">
        <v>7</v>
      </c>
      <c r="E801" s="126"/>
      <c r="F801" s="61" t="s">
        <v>135</v>
      </c>
      <c r="G801" s="61">
        <v>6</v>
      </c>
      <c r="H801" s="61" t="s">
        <v>1294</v>
      </c>
      <c r="I801" s="61" t="s">
        <v>162</v>
      </c>
      <c r="J801" s="61"/>
      <c r="K801" s="61"/>
      <c r="L801" s="126"/>
    </row>
    <row r="802" spans="2:12" s="5" customFormat="1" ht="15.75">
      <c r="B802" s="359"/>
      <c r="C802" s="357"/>
      <c r="D802" s="180">
        <v>8</v>
      </c>
      <c r="E802" s="126" t="s">
        <v>163</v>
      </c>
      <c r="F802" s="61" t="s">
        <v>164</v>
      </c>
      <c r="G802" s="61">
        <v>1</v>
      </c>
      <c r="H802" s="61">
        <v>4</v>
      </c>
      <c r="I802" s="61" t="s">
        <v>179</v>
      </c>
      <c r="J802" s="61"/>
      <c r="K802" s="61"/>
      <c r="L802" s="126"/>
    </row>
    <row r="803" spans="2:12" s="5" customFormat="1" ht="15.75">
      <c r="B803" s="359"/>
      <c r="C803" s="357"/>
      <c r="D803" s="180">
        <v>9</v>
      </c>
      <c r="E803" s="126" t="s">
        <v>172</v>
      </c>
      <c r="F803" s="61" t="s">
        <v>173</v>
      </c>
      <c r="G803" s="61">
        <v>2</v>
      </c>
      <c r="H803" s="61" t="s">
        <v>1344</v>
      </c>
      <c r="I803" s="61" t="s">
        <v>1294</v>
      </c>
      <c r="J803" s="61">
        <v>1</v>
      </c>
      <c r="K803" s="61"/>
      <c r="L803" s="126"/>
    </row>
    <row r="804" spans="2:12" s="5" customFormat="1" ht="15.75">
      <c r="B804" s="359"/>
      <c r="C804" s="357"/>
      <c r="D804" s="180">
        <v>10</v>
      </c>
      <c r="E804" s="180" t="s">
        <v>1524</v>
      </c>
      <c r="F804" s="61" t="s">
        <v>81</v>
      </c>
      <c r="G804" s="61" t="s">
        <v>1517</v>
      </c>
      <c r="H804" s="61"/>
      <c r="I804" s="61"/>
      <c r="J804" s="61"/>
      <c r="K804" s="61"/>
      <c r="L804" s="180"/>
    </row>
    <row r="805" spans="2:12" s="5" customFormat="1" ht="15.75">
      <c r="B805" s="359"/>
      <c r="C805" s="357"/>
      <c r="D805" s="180">
        <v>11</v>
      </c>
      <c r="E805" s="126" t="s">
        <v>163</v>
      </c>
      <c r="F805" s="61" t="s">
        <v>164</v>
      </c>
      <c r="G805" s="61">
        <v>1</v>
      </c>
      <c r="H805" s="61">
        <v>4</v>
      </c>
      <c r="I805" s="61" t="s">
        <v>180</v>
      </c>
      <c r="J805" s="61"/>
      <c r="K805" s="61"/>
      <c r="L805" s="126"/>
    </row>
    <row r="806" spans="2:12" s="5" customFormat="1" ht="15.75">
      <c r="B806" s="359"/>
      <c r="C806" s="357"/>
      <c r="D806" s="180">
        <v>12</v>
      </c>
      <c r="E806" s="126" t="s">
        <v>293</v>
      </c>
      <c r="F806" s="61" t="s">
        <v>127</v>
      </c>
      <c r="G806" s="61" t="s">
        <v>1344</v>
      </c>
      <c r="H806" s="61" t="s">
        <v>1294</v>
      </c>
      <c r="I806" s="61">
        <v>1</v>
      </c>
      <c r="J806" s="61"/>
      <c r="K806" s="61"/>
      <c r="L806" s="126"/>
    </row>
    <row r="807" spans="2:12" s="5" customFormat="1" ht="15.75">
      <c r="B807" s="359"/>
      <c r="C807" s="357"/>
      <c r="D807" s="180">
        <v>13</v>
      </c>
      <c r="E807" s="126" t="s">
        <v>194</v>
      </c>
      <c r="F807" s="61" t="s">
        <v>125</v>
      </c>
      <c r="G807" s="61" t="s">
        <v>1546</v>
      </c>
      <c r="H807" s="61"/>
      <c r="I807" s="61"/>
      <c r="J807" s="61"/>
      <c r="K807" s="61"/>
      <c r="L807" s="126"/>
    </row>
    <row r="808" spans="2:12" s="5" customFormat="1" ht="15.75">
      <c r="B808" s="359"/>
      <c r="C808" s="357"/>
      <c r="D808" s="180">
        <v>14</v>
      </c>
      <c r="E808" s="180" t="s">
        <v>195</v>
      </c>
      <c r="F808" s="61" t="s">
        <v>81</v>
      </c>
      <c r="G808" s="61" t="s">
        <v>196</v>
      </c>
      <c r="H808" s="61" t="s">
        <v>197</v>
      </c>
      <c r="I808" s="61" t="s">
        <v>197</v>
      </c>
      <c r="J808" s="61"/>
      <c r="K808" s="61"/>
      <c r="L808" s="180"/>
    </row>
    <row r="809" spans="2:12" s="5" customFormat="1" ht="15.75">
      <c r="B809" s="359"/>
      <c r="C809" s="357"/>
      <c r="D809" s="180">
        <v>15</v>
      </c>
      <c r="E809" s="180"/>
      <c r="F809" s="61" t="s">
        <v>81</v>
      </c>
      <c r="G809" s="61" t="s">
        <v>198</v>
      </c>
      <c r="H809" s="61" t="s">
        <v>199</v>
      </c>
      <c r="I809" s="61" t="s">
        <v>197</v>
      </c>
      <c r="J809" s="61" t="s">
        <v>197</v>
      </c>
      <c r="K809" s="61"/>
      <c r="L809" s="180"/>
    </row>
    <row r="810" spans="2:12" s="5" customFormat="1" ht="15.75">
      <c r="B810" s="359"/>
      <c r="C810" s="357"/>
      <c r="D810" s="180">
        <v>16</v>
      </c>
      <c r="E810" s="126" t="s">
        <v>146</v>
      </c>
      <c r="F810" s="61" t="s">
        <v>123</v>
      </c>
      <c r="G810" s="61"/>
      <c r="H810" s="61"/>
      <c r="I810" s="61"/>
      <c r="J810" s="61"/>
      <c r="K810" s="61"/>
      <c r="L810" s="126"/>
    </row>
    <row r="811" spans="2:12" s="5" customFormat="1" ht="15.75">
      <c r="B811" s="359"/>
      <c r="C811" s="358"/>
      <c r="D811" s="126"/>
      <c r="E811" s="126"/>
      <c r="F811" s="61"/>
      <c r="G811" s="61"/>
      <c r="H811" s="61"/>
      <c r="I811" s="61"/>
      <c r="J811" s="61"/>
      <c r="K811" s="61"/>
      <c r="L811" s="126"/>
    </row>
    <row r="812" spans="2:12" s="5" customFormat="1" ht="15.75">
      <c r="B812" s="359" t="s">
        <v>1345</v>
      </c>
      <c r="C812" s="356" t="s">
        <v>1728</v>
      </c>
      <c r="D812" s="126">
        <v>1</v>
      </c>
      <c r="E812" s="126" t="s">
        <v>1639</v>
      </c>
      <c r="F812" s="61" t="s">
        <v>87</v>
      </c>
      <c r="G812" s="61" t="s">
        <v>1640</v>
      </c>
      <c r="H812" s="61"/>
      <c r="I812" s="61"/>
      <c r="J812" s="61"/>
      <c r="K812" s="61"/>
      <c r="L812" s="126"/>
    </row>
    <row r="813" spans="2:12" s="5" customFormat="1" ht="15.75">
      <c r="B813" s="359"/>
      <c r="C813" s="357"/>
      <c r="D813" s="126">
        <v>2</v>
      </c>
      <c r="E813" s="126" t="s">
        <v>142</v>
      </c>
      <c r="F813" s="61" t="s">
        <v>122</v>
      </c>
      <c r="G813" s="61"/>
      <c r="H813" s="61"/>
      <c r="I813" s="61"/>
      <c r="J813" s="61"/>
      <c r="K813" s="61"/>
      <c r="L813" s="126"/>
    </row>
    <row r="814" spans="2:12" s="5" customFormat="1" ht="15.75">
      <c r="B814" s="359"/>
      <c r="C814" s="357"/>
      <c r="D814" s="180">
        <v>3</v>
      </c>
      <c r="E814" s="126"/>
      <c r="F814" s="61" t="s">
        <v>1339</v>
      </c>
      <c r="G814" s="61">
        <v>100</v>
      </c>
      <c r="H814" s="61"/>
      <c r="I814" s="61"/>
      <c r="J814" s="61"/>
      <c r="K814" s="61"/>
      <c r="L814" s="126"/>
    </row>
    <row r="815" spans="2:12" s="5" customFormat="1" ht="15.75">
      <c r="B815" s="359"/>
      <c r="C815" s="357"/>
      <c r="D815" s="180">
        <v>4</v>
      </c>
      <c r="E815" s="126"/>
      <c r="F815" s="61" t="s">
        <v>1341</v>
      </c>
      <c r="G815" s="61" t="s">
        <v>1342</v>
      </c>
      <c r="H815" s="61" t="s">
        <v>1294</v>
      </c>
      <c r="I815" s="61"/>
      <c r="J815" s="61"/>
      <c r="K815" s="61"/>
      <c r="L815" s="126"/>
    </row>
    <row r="816" spans="2:12" s="5" customFormat="1" ht="15.75">
      <c r="B816" s="359"/>
      <c r="C816" s="357"/>
      <c r="D816" s="180">
        <v>5</v>
      </c>
      <c r="E816" s="126"/>
      <c r="F816" s="61" t="s">
        <v>1343</v>
      </c>
      <c r="G816" s="61" t="s">
        <v>1342</v>
      </c>
      <c r="H816" s="61">
        <v>2</v>
      </c>
      <c r="I816" s="61"/>
      <c r="J816" s="61"/>
      <c r="K816" s="61"/>
      <c r="L816" s="126"/>
    </row>
    <row r="817" spans="2:12" s="5" customFormat="1" ht="15.75">
      <c r="B817" s="359"/>
      <c r="C817" s="357"/>
      <c r="D817" s="180">
        <v>6</v>
      </c>
      <c r="E817" s="180"/>
      <c r="F817" s="61" t="s">
        <v>1933</v>
      </c>
      <c r="G817" s="61">
        <v>100</v>
      </c>
      <c r="H817" s="61"/>
      <c r="I817" s="61"/>
      <c r="J817" s="61"/>
      <c r="K817" s="61"/>
      <c r="L817" s="180"/>
    </row>
    <row r="818" spans="2:12" s="5" customFormat="1" ht="15.75">
      <c r="B818" s="359"/>
      <c r="C818" s="357"/>
      <c r="D818" s="180">
        <v>7</v>
      </c>
      <c r="E818" s="126"/>
      <c r="F818" s="61" t="s">
        <v>135</v>
      </c>
      <c r="G818" s="61">
        <v>6</v>
      </c>
      <c r="H818" s="61" t="s">
        <v>1294</v>
      </c>
      <c r="I818" s="61" t="s">
        <v>162</v>
      </c>
      <c r="J818" s="61"/>
      <c r="K818" s="61"/>
      <c r="L818" s="126"/>
    </row>
    <row r="819" spans="2:12" s="5" customFormat="1" ht="15.75">
      <c r="B819" s="359"/>
      <c r="C819" s="357"/>
      <c r="D819" s="180">
        <v>8</v>
      </c>
      <c r="E819" s="126" t="s">
        <v>163</v>
      </c>
      <c r="F819" s="61" t="s">
        <v>164</v>
      </c>
      <c r="G819" s="61">
        <v>1</v>
      </c>
      <c r="H819" s="61">
        <v>4</v>
      </c>
      <c r="I819" s="61" t="s">
        <v>179</v>
      </c>
      <c r="J819" s="61"/>
      <c r="K819" s="61"/>
      <c r="L819" s="126"/>
    </row>
    <row r="820" spans="2:12" s="5" customFormat="1" ht="15.75">
      <c r="B820" s="359"/>
      <c r="C820" s="357"/>
      <c r="D820" s="180">
        <v>9</v>
      </c>
      <c r="E820" s="126" t="s">
        <v>172</v>
      </c>
      <c r="F820" s="61" t="s">
        <v>173</v>
      </c>
      <c r="G820" s="61">
        <v>2</v>
      </c>
      <c r="H820" s="61" t="s">
        <v>1344</v>
      </c>
      <c r="I820" s="61" t="s">
        <v>1294</v>
      </c>
      <c r="J820" s="61">
        <v>1</v>
      </c>
      <c r="K820" s="61"/>
      <c r="L820" s="126"/>
    </row>
    <row r="821" spans="2:12" s="5" customFormat="1" ht="15.75">
      <c r="B821" s="359"/>
      <c r="C821" s="357"/>
      <c r="D821" s="180">
        <v>10</v>
      </c>
      <c r="E821" s="126" t="s">
        <v>163</v>
      </c>
      <c r="F821" s="61" t="s">
        <v>164</v>
      </c>
      <c r="G821" s="61">
        <v>1</v>
      </c>
      <c r="H821" s="61">
        <v>4</v>
      </c>
      <c r="I821" s="61" t="s">
        <v>180</v>
      </c>
      <c r="J821" s="61"/>
      <c r="K821" s="61"/>
      <c r="L821" s="126"/>
    </row>
    <row r="822" spans="2:12" s="5" customFormat="1" ht="15.75">
      <c r="B822" s="359"/>
      <c r="C822" s="357"/>
      <c r="D822" s="180">
        <v>11</v>
      </c>
      <c r="E822" s="126" t="s">
        <v>293</v>
      </c>
      <c r="F822" s="61" t="s">
        <v>127</v>
      </c>
      <c r="G822" s="61" t="s">
        <v>1344</v>
      </c>
      <c r="H822" s="61" t="s">
        <v>1294</v>
      </c>
      <c r="I822" s="61">
        <v>1</v>
      </c>
      <c r="J822" s="61"/>
      <c r="K822" s="61"/>
      <c r="L822" s="126"/>
    </row>
    <row r="823" spans="2:12" s="5" customFormat="1" ht="15.75">
      <c r="B823" s="359"/>
      <c r="C823" s="357"/>
      <c r="D823" s="180">
        <v>12</v>
      </c>
      <c r="E823" s="126" t="s">
        <v>313</v>
      </c>
      <c r="F823" s="61" t="s">
        <v>125</v>
      </c>
      <c r="G823" s="61">
        <v>10000</v>
      </c>
      <c r="H823" s="61"/>
      <c r="I823" s="61"/>
      <c r="J823" s="61"/>
      <c r="K823" s="61"/>
      <c r="L823" s="126"/>
    </row>
    <row r="824" spans="2:12" s="5" customFormat="1" ht="15.75">
      <c r="B824" s="359"/>
      <c r="C824" s="357"/>
      <c r="D824" s="180">
        <v>13</v>
      </c>
      <c r="E824" s="126" t="s">
        <v>146</v>
      </c>
      <c r="F824" s="61" t="s">
        <v>123</v>
      </c>
      <c r="G824" s="61"/>
      <c r="H824" s="61"/>
      <c r="I824" s="61"/>
      <c r="J824" s="61"/>
      <c r="K824" s="61"/>
      <c r="L824" s="126"/>
    </row>
    <row r="825" spans="2:12" s="5" customFormat="1" ht="15.75">
      <c r="B825" s="359"/>
      <c r="C825" s="358"/>
      <c r="D825" s="126"/>
      <c r="E825" s="126"/>
      <c r="F825" s="61"/>
      <c r="G825" s="61"/>
      <c r="H825" s="61"/>
      <c r="I825" s="61"/>
      <c r="J825" s="61"/>
      <c r="K825" s="61"/>
      <c r="L825" s="126"/>
    </row>
    <row r="826" spans="2:12" s="5" customFormat="1" ht="15.75">
      <c r="B826" s="359" t="s">
        <v>1346</v>
      </c>
      <c r="C826" s="356" t="s">
        <v>1728</v>
      </c>
      <c r="D826" s="126">
        <v>1</v>
      </c>
      <c r="E826" s="126" t="s">
        <v>1639</v>
      </c>
      <c r="F826" s="61" t="s">
        <v>87</v>
      </c>
      <c r="G826" s="61" t="s">
        <v>1640</v>
      </c>
      <c r="H826" s="61"/>
      <c r="I826" s="61"/>
      <c r="J826" s="61"/>
      <c r="K826" s="61"/>
      <c r="L826" s="126"/>
    </row>
    <row r="827" spans="2:12" s="5" customFormat="1" ht="15.75">
      <c r="B827" s="359"/>
      <c r="C827" s="357"/>
      <c r="D827" s="126">
        <v>2</v>
      </c>
      <c r="E827" s="126" t="s">
        <v>142</v>
      </c>
      <c r="F827" s="61" t="s">
        <v>122</v>
      </c>
      <c r="G827" s="61"/>
      <c r="H827" s="61"/>
      <c r="I827" s="61"/>
      <c r="J827" s="61"/>
      <c r="K827" s="61"/>
      <c r="L827" s="126"/>
    </row>
    <row r="828" spans="2:12" s="5" customFormat="1" ht="15.75">
      <c r="B828" s="359"/>
      <c r="C828" s="357"/>
      <c r="D828" s="180">
        <v>3</v>
      </c>
      <c r="E828" s="126"/>
      <c r="F828" s="61" t="s">
        <v>1339</v>
      </c>
      <c r="G828" s="61">
        <v>100</v>
      </c>
      <c r="H828" s="61"/>
      <c r="I828" s="61"/>
      <c r="J828" s="61"/>
      <c r="K828" s="61"/>
      <c r="L828" s="126"/>
    </row>
    <row r="829" spans="2:12" s="5" customFormat="1" ht="15.75">
      <c r="B829" s="359"/>
      <c r="C829" s="357"/>
      <c r="D829" s="180">
        <v>4</v>
      </c>
      <c r="E829" s="126"/>
      <c r="F829" s="61" t="s">
        <v>1341</v>
      </c>
      <c r="G829" s="61" t="s">
        <v>1342</v>
      </c>
      <c r="H829" s="61" t="s">
        <v>1294</v>
      </c>
      <c r="I829" s="61"/>
      <c r="J829" s="61"/>
      <c r="K829" s="61"/>
      <c r="L829" s="126"/>
    </row>
    <row r="830" spans="2:12" s="5" customFormat="1" ht="15.75">
      <c r="B830" s="359"/>
      <c r="C830" s="357"/>
      <c r="D830" s="180">
        <v>5</v>
      </c>
      <c r="E830" s="126"/>
      <c r="F830" s="61" t="s">
        <v>1343</v>
      </c>
      <c r="G830" s="61" t="s">
        <v>1342</v>
      </c>
      <c r="H830" s="61">
        <v>2</v>
      </c>
      <c r="I830" s="61"/>
      <c r="J830" s="61"/>
      <c r="K830" s="61"/>
      <c r="L830" s="126"/>
    </row>
    <row r="831" spans="2:12" s="5" customFormat="1" ht="15.75">
      <c r="B831" s="359"/>
      <c r="C831" s="357"/>
      <c r="D831" s="180">
        <v>6</v>
      </c>
      <c r="E831" s="180"/>
      <c r="F831" s="61" t="s">
        <v>1933</v>
      </c>
      <c r="G831" s="61">
        <v>100</v>
      </c>
      <c r="H831" s="61"/>
      <c r="I831" s="61"/>
      <c r="J831" s="61"/>
      <c r="K831" s="61"/>
      <c r="L831" s="180"/>
    </row>
    <row r="832" spans="2:12" s="5" customFormat="1" ht="15.75">
      <c r="B832" s="359"/>
      <c r="C832" s="357"/>
      <c r="D832" s="180">
        <v>7</v>
      </c>
      <c r="E832" s="126"/>
      <c r="F832" s="61" t="s">
        <v>135</v>
      </c>
      <c r="G832" s="61">
        <v>6</v>
      </c>
      <c r="H832" s="61" t="s">
        <v>1294</v>
      </c>
      <c r="I832" s="61" t="s">
        <v>162</v>
      </c>
      <c r="J832" s="61"/>
      <c r="K832" s="61"/>
      <c r="L832" s="126"/>
    </row>
    <row r="833" spans="2:12" s="5" customFormat="1" ht="15.75">
      <c r="B833" s="359"/>
      <c r="C833" s="357"/>
      <c r="D833" s="180">
        <v>8</v>
      </c>
      <c r="E833" s="126" t="s">
        <v>163</v>
      </c>
      <c r="F833" s="61" t="s">
        <v>164</v>
      </c>
      <c r="G833" s="61">
        <v>1</v>
      </c>
      <c r="H833" s="61">
        <v>4</v>
      </c>
      <c r="I833" s="61" t="s">
        <v>165</v>
      </c>
      <c r="J833" s="61"/>
      <c r="K833" s="61"/>
      <c r="L833" s="126"/>
    </row>
    <row r="834" spans="2:12" s="5" customFormat="1" ht="15.75">
      <c r="B834" s="359"/>
      <c r="C834" s="357"/>
      <c r="D834" s="180">
        <v>9</v>
      </c>
      <c r="E834" s="126" t="s">
        <v>172</v>
      </c>
      <c r="F834" s="61" t="s">
        <v>173</v>
      </c>
      <c r="G834" s="61">
        <v>2</v>
      </c>
      <c r="H834" s="61" t="s">
        <v>1344</v>
      </c>
      <c r="I834" s="61" t="s">
        <v>1294</v>
      </c>
      <c r="J834" s="61">
        <v>1</v>
      </c>
      <c r="K834" s="61"/>
      <c r="L834" s="126"/>
    </row>
    <row r="835" spans="2:12" s="5" customFormat="1" ht="15.75">
      <c r="B835" s="359"/>
      <c r="C835" s="357"/>
      <c r="D835" s="180">
        <v>10</v>
      </c>
      <c r="E835" s="180" t="s">
        <v>1524</v>
      </c>
      <c r="F835" s="61" t="s">
        <v>81</v>
      </c>
      <c r="G835" s="61" t="s">
        <v>1517</v>
      </c>
      <c r="H835" s="61"/>
      <c r="I835" s="61"/>
      <c r="J835" s="61"/>
      <c r="K835" s="61"/>
      <c r="L835" s="180"/>
    </row>
    <row r="836" spans="2:12" s="5" customFormat="1" ht="15.75">
      <c r="B836" s="359"/>
      <c r="C836" s="357"/>
      <c r="D836" s="180">
        <v>11</v>
      </c>
      <c r="E836" s="126" t="s">
        <v>163</v>
      </c>
      <c r="F836" s="61" t="s">
        <v>164</v>
      </c>
      <c r="G836" s="61">
        <v>1</v>
      </c>
      <c r="H836" s="61">
        <v>4</v>
      </c>
      <c r="I836" s="61" t="s">
        <v>180</v>
      </c>
      <c r="J836" s="61"/>
      <c r="K836" s="61"/>
      <c r="L836" s="126"/>
    </row>
    <row r="837" spans="2:12" s="5" customFormat="1" ht="15.75">
      <c r="B837" s="359"/>
      <c r="C837" s="357"/>
      <c r="D837" s="180">
        <v>12</v>
      </c>
      <c r="E837" s="126" t="s">
        <v>293</v>
      </c>
      <c r="F837" s="61" t="s">
        <v>127</v>
      </c>
      <c r="G837" s="61" t="s">
        <v>1344</v>
      </c>
      <c r="H837" s="61" t="s">
        <v>1294</v>
      </c>
      <c r="I837" s="61">
        <v>1</v>
      </c>
      <c r="J837" s="61"/>
      <c r="K837" s="61"/>
      <c r="L837" s="126"/>
    </row>
    <row r="838" spans="2:12" s="5" customFormat="1" ht="15.75">
      <c r="B838" s="359"/>
      <c r="C838" s="357"/>
      <c r="D838" s="180">
        <v>13</v>
      </c>
      <c r="E838" s="126" t="s">
        <v>194</v>
      </c>
      <c r="F838" s="61" t="s">
        <v>125</v>
      </c>
      <c r="G838" s="61" t="s">
        <v>1546</v>
      </c>
      <c r="H838" s="61"/>
      <c r="I838" s="61"/>
      <c r="J838" s="61"/>
      <c r="K838" s="61"/>
      <c r="L838" s="126"/>
    </row>
    <row r="839" spans="2:12" s="5" customFormat="1" ht="15.75">
      <c r="B839" s="359"/>
      <c r="C839" s="357"/>
      <c r="D839" s="180">
        <v>14</v>
      </c>
      <c r="E839" s="180" t="s">
        <v>195</v>
      </c>
      <c r="F839" s="61" t="s">
        <v>81</v>
      </c>
      <c r="G839" s="61" t="s">
        <v>196</v>
      </c>
      <c r="H839" s="61" t="s">
        <v>197</v>
      </c>
      <c r="I839" s="61" t="s">
        <v>197</v>
      </c>
      <c r="J839" s="61"/>
      <c r="K839" s="61"/>
      <c r="L839" s="180"/>
    </row>
    <row r="840" spans="2:12" s="5" customFormat="1" ht="15.75">
      <c r="B840" s="359"/>
      <c r="C840" s="357"/>
      <c r="D840" s="180">
        <v>15</v>
      </c>
      <c r="E840" s="180"/>
      <c r="F840" s="61" t="s">
        <v>81</v>
      </c>
      <c r="G840" s="61" t="s">
        <v>198</v>
      </c>
      <c r="H840" s="61" t="s">
        <v>199</v>
      </c>
      <c r="I840" s="61" t="s">
        <v>197</v>
      </c>
      <c r="J840" s="61" t="s">
        <v>197</v>
      </c>
      <c r="K840" s="61"/>
      <c r="L840" s="180"/>
    </row>
    <row r="841" spans="2:12" s="5" customFormat="1" ht="15.75">
      <c r="B841" s="359"/>
      <c r="C841" s="357"/>
      <c r="D841" s="180">
        <v>16</v>
      </c>
      <c r="E841" s="126" t="s">
        <v>146</v>
      </c>
      <c r="F841" s="61" t="s">
        <v>123</v>
      </c>
      <c r="G841" s="61"/>
      <c r="H841" s="61"/>
      <c r="I841" s="61"/>
      <c r="J841" s="61"/>
      <c r="K841" s="61"/>
      <c r="L841" s="126"/>
    </row>
    <row r="842" spans="2:12" s="5" customFormat="1" ht="15.75">
      <c r="B842" s="359"/>
      <c r="C842" s="358"/>
      <c r="D842" s="126"/>
      <c r="E842" s="126"/>
      <c r="F842" s="61"/>
      <c r="G842" s="61"/>
      <c r="H842" s="61"/>
      <c r="I842" s="61"/>
      <c r="J842" s="61"/>
      <c r="K842" s="61"/>
      <c r="L842" s="126"/>
    </row>
    <row r="843" spans="2:12" s="5" customFormat="1" ht="15.75">
      <c r="B843" s="359" t="s">
        <v>1347</v>
      </c>
      <c r="C843" s="356" t="s">
        <v>1728</v>
      </c>
      <c r="D843" s="126">
        <v>1</v>
      </c>
      <c r="E843" s="126" t="s">
        <v>1639</v>
      </c>
      <c r="F843" s="61" t="s">
        <v>87</v>
      </c>
      <c r="G843" s="61" t="s">
        <v>1640</v>
      </c>
      <c r="H843" s="61"/>
      <c r="I843" s="61"/>
      <c r="J843" s="61"/>
      <c r="K843" s="61"/>
      <c r="L843" s="126"/>
    </row>
    <row r="844" spans="2:12" s="5" customFormat="1" ht="15.75">
      <c r="B844" s="359"/>
      <c r="C844" s="357"/>
      <c r="D844" s="126">
        <v>2</v>
      </c>
      <c r="E844" s="126" t="s">
        <v>142</v>
      </c>
      <c r="F844" s="61" t="s">
        <v>122</v>
      </c>
      <c r="G844" s="61"/>
      <c r="H844" s="61"/>
      <c r="I844" s="61"/>
      <c r="J844" s="61"/>
      <c r="K844" s="61"/>
      <c r="L844" s="126"/>
    </row>
    <row r="845" spans="2:12" s="5" customFormat="1" ht="15.75">
      <c r="B845" s="359"/>
      <c r="C845" s="357"/>
      <c r="D845" s="180">
        <v>3</v>
      </c>
      <c r="E845" s="126"/>
      <c r="F845" s="61" t="s">
        <v>1339</v>
      </c>
      <c r="G845" s="61">
        <v>100</v>
      </c>
      <c r="H845" s="61"/>
      <c r="I845" s="61"/>
      <c r="J845" s="61"/>
      <c r="K845" s="61"/>
      <c r="L845" s="126"/>
    </row>
    <row r="846" spans="2:12" s="5" customFormat="1" ht="15.75">
      <c r="B846" s="359"/>
      <c r="C846" s="357"/>
      <c r="D846" s="180">
        <v>4</v>
      </c>
      <c r="E846" s="126"/>
      <c r="F846" s="61" t="s">
        <v>1341</v>
      </c>
      <c r="G846" s="61" t="s">
        <v>1342</v>
      </c>
      <c r="H846" s="61" t="s">
        <v>1294</v>
      </c>
      <c r="I846" s="61"/>
      <c r="J846" s="61"/>
      <c r="K846" s="61"/>
      <c r="L846" s="126"/>
    </row>
    <row r="847" spans="2:12" s="5" customFormat="1" ht="15.75">
      <c r="B847" s="359"/>
      <c r="C847" s="357"/>
      <c r="D847" s="180">
        <v>5</v>
      </c>
      <c r="E847" s="126"/>
      <c r="F847" s="61" t="s">
        <v>1343</v>
      </c>
      <c r="G847" s="61" t="s">
        <v>1342</v>
      </c>
      <c r="H847" s="61">
        <v>2</v>
      </c>
      <c r="I847" s="61"/>
      <c r="J847" s="61"/>
      <c r="K847" s="61"/>
      <c r="L847" s="126"/>
    </row>
    <row r="848" spans="2:12" s="5" customFormat="1" ht="15.75">
      <c r="B848" s="359"/>
      <c r="C848" s="357"/>
      <c r="D848" s="180">
        <v>6</v>
      </c>
      <c r="E848" s="180"/>
      <c r="F848" s="61" t="s">
        <v>1933</v>
      </c>
      <c r="G848" s="61">
        <v>100</v>
      </c>
      <c r="H848" s="61"/>
      <c r="I848" s="61"/>
      <c r="J848" s="61"/>
      <c r="K848" s="61"/>
      <c r="L848" s="180"/>
    </row>
    <row r="849" spans="2:12" s="5" customFormat="1" ht="15.75">
      <c r="B849" s="359"/>
      <c r="C849" s="357"/>
      <c r="D849" s="180">
        <v>7</v>
      </c>
      <c r="E849" s="126"/>
      <c r="F849" s="61" t="s">
        <v>135</v>
      </c>
      <c r="G849" s="61">
        <v>6</v>
      </c>
      <c r="H849" s="61" t="s">
        <v>1294</v>
      </c>
      <c r="I849" s="61" t="s">
        <v>162</v>
      </c>
      <c r="J849" s="61"/>
      <c r="K849" s="61"/>
      <c r="L849" s="126"/>
    </row>
    <row r="850" spans="2:12" s="5" customFormat="1" ht="15.75">
      <c r="B850" s="359"/>
      <c r="C850" s="357"/>
      <c r="D850" s="180">
        <v>8</v>
      </c>
      <c r="E850" s="126" t="s">
        <v>163</v>
      </c>
      <c r="F850" s="61" t="s">
        <v>164</v>
      </c>
      <c r="G850" s="61">
        <v>1</v>
      </c>
      <c r="H850" s="61">
        <v>4</v>
      </c>
      <c r="I850" s="61" t="s">
        <v>165</v>
      </c>
      <c r="J850" s="61"/>
      <c r="K850" s="61"/>
      <c r="L850" s="126"/>
    </row>
    <row r="851" spans="2:12" s="5" customFormat="1" ht="15.75">
      <c r="B851" s="359"/>
      <c r="C851" s="357"/>
      <c r="D851" s="180">
        <v>9</v>
      </c>
      <c r="E851" s="126" t="s">
        <v>172</v>
      </c>
      <c r="F851" s="61" t="s">
        <v>173</v>
      </c>
      <c r="G851" s="61">
        <v>2</v>
      </c>
      <c r="H851" s="61" t="s">
        <v>1344</v>
      </c>
      <c r="I851" s="61" t="s">
        <v>1294</v>
      </c>
      <c r="J851" s="61">
        <v>1</v>
      </c>
      <c r="K851" s="61"/>
      <c r="L851" s="126"/>
    </row>
    <row r="852" spans="2:12" s="5" customFormat="1" ht="15.75">
      <c r="B852" s="359"/>
      <c r="C852" s="357"/>
      <c r="D852" s="180">
        <v>10</v>
      </c>
      <c r="E852" s="126" t="s">
        <v>163</v>
      </c>
      <c r="F852" s="61" t="s">
        <v>164</v>
      </c>
      <c r="G852" s="61">
        <v>1</v>
      </c>
      <c r="H852" s="61">
        <v>4</v>
      </c>
      <c r="I852" s="61" t="s">
        <v>180</v>
      </c>
      <c r="J852" s="61"/>
      <c r="K852" s="61"/>
      <c r="L852" s="126"/>
    </row>
    <row r="853" spans="2:12" s="5" customFormat="1" ht="15.75">
      <c r="B853" s="359"/>
      <c r="C853" s="357"/>
      <c r="D853" s="180">
        <v>11</v>
      </c>
      <c r="E853" s="126" t="s">
        <v>293</v>
      </c>
      <c r="F853" s="61" t="s">
        <v>127</v>
      </c>
      <c r="G853" s="61" t="s">
        <v>1344</v>
      </c>
      <c r="H853" s="61" t="s">
        <v>1294</v>
      </c>
      <c r="I853" s="61">
        <v>1</v>
      </c>
      <c r="J853" s="61"/>
      <c r="K853" s="61"/>
      <c r="L853" s="126"/>
    </row>
    <row r="854" spans="2:12" s="5" customFormat="1" ht="15.75">
      <c r="B854" s="359"/>
      <c r="C854" s="357"/>
      <c r="D854" s="180">
        <v>12</v>
      </c>
      <c r="E854" s="126" t="s">
        <v>313</v>
      </c>
      <c r="F854" s="61" t="s">
        <v>125</v>
      </c>
      <c r="G854" s="61">
        <v>10000</v>
      </c>
      <c r="H854" s="61"/>
      <c r="I854" s="61"/>
      <c r="J854" s="61"/>
      <c r="K854" s="61"/>
      <c r="L854" s="126"/>
    </row>
    <row r="855" spans="2:12" s="5" customFormat="1" ht="15.75">
      <c r="B855" s="359"/>
      <c r="C855" s="357"/>
      <c r="D855" s="180">
        <v>13</v>
      </c>
      <c r="E855" s="126" t="s">
        <v>146</v>
      </c>
      <c r="F855" s="61" t="s">
        <v>123</v>
      </c>
      <c r="G855" s="61"/>
      <c r="H855" s="61"/>
      <c r="I855" s="61"/>
      <c r="J855" s="61"/>
      <c r="K855" s="61"/>
      <c r="L855" s="126"/>
    </row>
    <row r="856" spans="2:12" s="5" customFormat="1" ht="15.75">
      <c r="B856" s="359"/>
      <c r="C856" s="358"/>
      <c r="D856" s="126"/>
      <c r="E856" s="126"/>
      <c r="F856" s="61"/>
      <c r="G856" s="61"/>
      <c r="H856" s="61"/>
      <c r="I856" s="61"/>
      <c r="J856" s="61"/>
      <c r="K856" s="61"/>
      <c r="L856" s="126"/>
    </row>
    <row r="857" spans="2:12" s="5" customFormat="1" ht="15.75">
      <c r="B857" s="367" t="s">
        <v>1380</v>
      </c>
      <c r="C857" s="356" t="s">
        <v>1728</v>
      </c>
      <c r="D857" s="128">
        <v>1</v>
      </c>
      <c r="E857" s="128" t="s">
        <v>1641</v>
      </c>
      <c r="F857" s="61" t="s">
        <v>87</v>
      </c>
      <c r="G857" s="61" t="s">
        <v>1642</v>
      </c>
      <c r="H857" s="61"/>
      <c r="I857" s="61"/>
      <c r="J857" s="61"/>
      <c r="K857" s="61"/>
      <c r="L857" s="128"/>
    </row>
    <row r="858" spans="2:12" s="5" customFormat="1" ht="15.75">
      <c r="B858" s="368"/>
      <c r="C858" s="357"/>
      <c r="D858" s="128">
        <v>2</v>
      </c>
      <c r="E858" s="128" t="s">
        <v>142</v>
      </c>
      <c r="F858" s="61" t="s">
        <v>122</v>
      </c>
      <c r="G858" s="61"/>
      <c r="H858" s="61"/>
      <c r="I858" s="61"/>
      <c r="J858" s="61"/>
      <c r="K858" s="61"/>
      <c r="L858" s="128"/>
    </row>
    <row r="859" spans="2:12" s="5" customFormat="1" ht="15.75">
      <c r="B859" s="368"/>
      <c r="C859" s="357"/>
      <c r="D859" s="180">
        <v>3</v>
      </c>
      <c r="E859" s="129"/>
      <c r="F859" s="61" t="s">
        <v>1383</v>
      </c>
      <c r="G859" s="61">
        <v>5</v>
      </c>
      <c r="H859" s="61" t="s">
        <v>1294</v>
      </c>
      <c r="I859" s="61">
        <v>5</v>
      </c>
      <c r="J859" s="61"/>
      <c r="K859" s="61"/>
      <c r="L859" s="129"/>
    </row>
    <row r="860" spans="2:12" s="5" customFormat="1" ht="15.75">
      <c r="B860" s="368"/>
      <c r="C860" s="357"/>
      <c r="D860" s="180">
        <v>4</v>
      </c>
      <c r="E860" s="128" t="s">
        <v>1376</v>
      </c>
      <c r="F860" s="61" t="s">
        <v>1372</v>
      </c>
      <c r="G860" s="61" t="s">
        <v>1371</v>
      </c>
      <c r="H860" s="61" t="s">
        <v>1294</v>
      </c>
      <c r="I860" s="61"/>
      <c r="J860" s="61"/>
      <c r="K860" s="61"/>
      <c r="L860" s="128"/>
    </row>
    <row r="861" spans="2:12" s="5" customFormat="1" ht="15.75">
      <c r="B861" s="368"/>
      <c r="C861" s="357"/>
      <c r="D861" s="180">
        <v>5</v>
      </c>
      <c r="E861" s="128"/>
      <c r="F861" s="61" t="s">
        <v>1375</v>
      </c>
      <c r="G861" s="61" t="s">
        <v>1371</v>
      </c>
      <c r="H861" s="61">
        <v>1</v>
      </c>
      <c r="I861" s="61"/>
      <c r="J861" s="61"/>
      <c r="K861" s="61"/>
      <c r="L861" s="128"/>
    </row>
    <row r="862" spans="2:12" s="5" customFormat="1" ht="15.75">
      <c r="B862" s="368"/>
      <c r="C862" s="357"/>
      <c r="D862" s="180">
        <v>6</v>
      </c>
      <c r="E862" s="180"/>
      <c r="F862" s="61" t="s">
        <v>1933</v>
      </c>
      <c r="G862" s="61">
        <v>100</v>
      </c>
      <c r="H862" s="61"/>
      <c r="I862" s="61"/>
      <c r="J862" s="61"/>
      <c r="K862" s="61"/>
      <c r="L862" s="180"/>
    </row>
    <row r="863" spans="2:12" s="5" customFormat="1" ht="15.75">
      <c r="B863" s="368"/>
      <c r="C863" s="357"/>
      <c r="D863" s="180">
        <v>7</v>
      </c>
      <c r="E863" s="128"/>
      <c r="F863" s="61" t="s">
        <v>135</v>
      </c>
      <c r="G863" s="61">
        <v>6</v>
      </c>
      <c r="H863" s="61" t="s">
        <v>1294</v>
      </c>
      <c r="I863" s="61" t="s">
        <v>162</v>
      </c>
      <c r="J863" s="61"/>
      <c r="K863" s="61"/>
      <c r="L863" s="128"/>
    </row>
    <row r="864" spans="2:12" s="5" customFormat="1" ht="15.75">
      <c r="B864" s="368"/>
      <c r="C864" s="357"/>
      <c r="D864" s="180">
        <v>8</v>
      </c>
      <c r="E864" s="180"/>
      <c r="F864" s="61" t="s">
        <v>1933</v>
      </c>
      <c r="G864" s="61">
        <v>100</v>
      </c>
      <c r="H864" s="61"/>
      <c r="I864" s="61"/>
      <c r="J864" s="61"/>
      <c r="K864" s="61"/>
      <c r="L864" s="180"/>
    </row>
    <row r="865" spans="2:12" s="5" customFormat="1" ht="15.75">
      <c r="B865" s="368"/>
      <c r="C865" s="357"/>
      <c r="D865" s="180">
        <v>9</v>
      </c>
      <c r="E865" s="129"/>
      <c r="F865" s="61" t="s">
        <v>1390</v>
      </c>
      <c r="G865" s="61" t="s">
        <v>1382</v>
      </c>
      <c r="H865" s="61" t="s">
        <v>1294</v>
      </c>
      <c r="I865" s="61"/>
      <c r="J865" s="61"/>
      <c r="K865" s="61"/>
      <c r="L865" s="129"/>
    </row>
    <row r="866" spans="2:12" s="5" customFormat="1" ht="15.75">
      <c r="B866" s="368"/>
      <c r="C866" s="357"/>
      <c r="D866" s="180">
        <v>10</v>
      </c>
      <c r="E866" s="129"/>
      <c r="F866" s="61" t="s">
        <v>1388</v>
      </c>
      <c r="G866" s="61" t="s">
        <v>1382</v>
      </c>
      <c r="H866" s="61" t="s">
        <v>1389</v>
      </c>
      <c r="I866" s="61"/>
      <c r="J866" s="61"/>
      <c r="K866" s="61"/>
      <c r="L866" s="129"/>
    </row>
    <row r="867" spans="2:12" s="5" customFormat="1" ht="15.75">
      <c r="B867" s="368"/>
      <c r="C867" s="357"/>
      <c r="D867" s="180">
        <v>11</v>
      </c>
      <c r="E867" s="129"/>
      <c r="F867" s="61" t="s">
        <v>1391</v>
      </c>
      <c r="G867" s="61">
        <v>8</v>
      </c>
      <c r="H867" s="61" t="s">
        <v>1382</v>
      </c>
      <c r="I867" s="61">
        <v>0</v>
      </c>
      <c r="J867" s="61"/>
      <c r="K867" s="61"/>
      <c r="L867" s="129"/>
    </row>
    <row r="868" spans="2:12" s="5" customFormat="1" ht="15.75">
      <c r="B868" s="368"/>
      <c r="C868" s="357"/>
      <c r="D868" s="180">
        <v>12</v>
      </c>
      <c r="E868" s="129"/>
      <c r="F868" s="61" t="s">
        <v>1390</v>
      </c>
      <c r="G868" s="61" t="s">
        <v>1382</v>
      </c>
      <c r="H868" s="61" t="s">
        <v>1294</v>
      </c>
      <c r="I868" s="61"/>
      <c r="J868" s="61"/>
      <c r="K868" s="61"/>
      <c r="L868" s="129"/>
    </row>
    <row r="869" spans="2:12" s="5" customFormat="1" ht="15.75">
      <c r="B869" s="368"/>
      <c r="C869" s="357"/>
      <c r="D869" s="180">
        <v>13</v>
      </c>
      <c r="E869" s="128" t="s">
        <v>166</v>
      </c>
      <c r="F869" s="61" t="s">
        <v>127</v>
      </c>
      <c r="G869" s="61" t="s">
        <v>1331</v>
      </c>
      <c r="H869" s="61" t="s">
        <v>1371</v>
      </c>
      <c r="I869" s="61">
        <v>1</v>
      </c>
      <c r="J869" s="61"/>
      <c r="K869" s="61"/>
      <c r="L869" s="128"/>
    </row>
    <row r="870" spans="2:12" s="5" customFormat="1" ht="15.75">
      <c r="B870" s="368"/>
      <c r="C870" s="357"/>
      <c r="D870" s="180">
        <v>14</v>
      </c>
      <c r="E870" s="180"/>
      <c r="F870" s="61" t="s">
        <v>125</v>
      </c>
      <c r="G870" s="61">
        <v>100</v>
      </c>
      <c r="H870" s="61"/>
      <c r="I870" s="61"/>
      <c r="J870" s="61"/>
      <c r="K870" s="61"/>
      <c r="L870" s="180"/>
    </row>
    <row r="871" spans="2:12" s="5" customFormat="1" ht="15.75">
      <c r="B871" s="368"/>
      <c r="C871" s="357"/>
      <c r="D871" s="180">
        <v>15</v>
      </c>
      <c r="E871" s="180" t="s">
        <v>1524</v>
      </c>
      <c r="F871" s="61" t="s">
        <v>81</v>
      </c>
      <c r="G871" s="61" t="s">
        <v>1517</v>
      </c>
      <c r="H871" s="61"/>
      <c r="I871" s="61"/>
      <c r="J871" s="61"/>
      <c r="K871" s="61"/>
      <c r="L871" s="180"/>
    </row>
    <row r="872" spans="2:12" s="5" customFormat="1" ht="15.75">
      <c r="B872" s="368"/>
      <c r="C872" s="357"/>
      <c r="D872" s="180">
        <v>16</v>
      </c>
      <c r="E872" s="128" t="s">
        <v>163</v>
      </c>
      <c r="F872" s="61" t="s">
        <v>164</v>
      </c>
      <c r="G872" s="61">
        <v>1</v>
      </c>
      <c r="H872" s="61">
        <v>4</v>
      </c>
      <c r="I872" s="61" t="s">
        <v>165</v>
      </c>
      <c r="J872" s="61"/>
      <c r="K872" s="61"/>
      <c r="L872" s="128"/>
    </row>
    <row r="873" spans="2:12" s="5" customFormat="1" ht="15.75">
      <c r="B873" s="368"/>
      <c r="C873" s="357"/>
      <c r="D873" s="180">
        <v>17</v>
      </c>
      <c r="E873" s="128"/>
      <c r="F873" s="61" t="s">
        <v>1381</v>
      </c>
      <c r="G873" s="61" t="s">
        <v>1382</v>
      </c>
      <c r="H873" s="61">
        <v>5</v>
      </c>
      <c r="I873" s="61"/>
      <c r="J873" s="61"/>
      <c r="K873" s="61"/>
      <c r="L873" s="128"/>
    </row>
    <row r="874" spans="2:12" s="5" customFormat="1" ht="15.75">
      <c r="B874" s="368"/>
      <c r="C874" s="357"/>
      <c r="D874" s="180">
        <v>18</v>
      </c>
      <c r="E874" s="128" t="s">
        <v>166</v>
      </c>
      <c r="F874" s="61" t="s">
        <v>127</v>
      </c>
      <c r="G874" s="61" t="s">
        <v>1384</v>
      </c>
      <c r="H874" s="61" t="s">
        <v>1382</v>
      </c>
      <c r="I874" s="61">
        <v>3</v>
      </c>
      <c r="J874" s="61"/>
      <c r="K874" s="61"/>
      <c r="L874" s="128"/>
    </row>
    <row r="875" spans="2:12" s="5" customFormat="1" ht="15.75">
      <c r="B875" s="368"/>
      <c r="C875" s="357"/>
      <c r="D875" s="180">
        <v>19</v>
      </c>
      <c r="E875" s="128" t="s">
        <v>194</v>
      </c>
      <c r="F875" s="61" t="s">
        <v>125</v>
      </c>
      <c r="G875" s="61" t="s">
        <v>1546</v>
      </c>
      <c r="H875" s="61"/>
      <c r="I875" s="61"/>
      <c r="J875" s="61"/>
      <c r="K875" s="61"/>
      <c r="L875" s="128"/>
    </row>
    <row r="876" spans="2:12" s="5" customFormat="1" ht="15.75">
      <c r="B876" s="368"/>
      <c r="C876" s="357"/>
      <c r="D876" s="180">
        <v>20</v>
      </c>
      <c r="E876" s="180" t="s">
        <v>195</v>
      </c>
      <c r="F876" s="61" t="s">
        <v>81</v>
      </c>
      <c r="G876" s="61" t="s">
        <v>196</v>
      </c>
      <c r="H876" s="61" t="s">
        <v>197</v>
      </c>
      <c r="I876" s="61" t="s">
        <v>197</v>
      </c>
      <c r="J876" s="61"/>
      <c r="K876" s="61"/>
      <c r="L876" s="180"/>
    </row>
    <row r="877" spans="2:12" s="5" customFormat="1" ht="15.75">
      <c r="B877" s="368"/>
      <c r="C877" s="357"/>
      <c r="D877" s="180">
        <v>21</v>
      </c>
      <c r="E877" s="180"/>
      <c r="F877" s="61" t="s">
        <v>81</v>
      </c>
      <c r="G877" s="61" t="s">
        <v>198</v>
      </c>
      <c r="H877" s="61" t="s">
        <v>199</v>
      </c>
      <c r="I877" s="61" t="s">
        <v>197</v>
      </c>
      <c r="J877" s="61" t="s">
        <v>197</v>
      </c>
      <c r="K877" s="61"/>
      <c r="L877" s="180"/>
    </row>
    <row r="878" spans="2:12" s="5" customFormat="1" ht="15.75">
      <c r="B878" s="368"/>
      <c r="C878" s="357"/>
      <c r="D878" s="180">
        <v>22</v>
      </c>
      <c r="E878" s="128" t="s">
        <v>146</v>
      </c>
      <c r="F878" s="61" t="s">
        <v>123</v>
      </c>
      <c r="G878" s="61"/>
      <c r="H878" s="61"/>
      <c r="I878" s="61"/>
      <c r="J878" s="61"/>
      <c r="K878" s="61"/>
      <c r="L878" s="128"/>
    </row>
    <row r="879" spans="2:12" s="5" customFormat="1" ht="15.75">
      <c r="B879" s="369"/>
      <c r="C879" s="358"/>
      <c r="D879" s="128"/>
      <c r="E879" s="128"/>
      <c r="F879" s="61"/>
      <c r="G879" s="61"/>
      <c r="H879" s="61"/>
      <c r="I879" s="61"/>
      <c r="J879" s="61"/>
      <c r="K879" s="61"/>
      <c r="L879" s="128"/>
    </row>
    <row r="880" spans="2:12" s="5" customFormat="1" ht="15.75">
      <c r="B880" s="367" t="s">
        <v>1385</v>
      </c>
      <c r="C880" s="356" t="s">
        <v>1728</v>
      </c>
      <c r="D880" s="129">
        <v>1</v>
      </c>
      <c r="E880" s="129" t="s">
        <v>1641</v>
      </c>
      <c r="F880" s="61" t="s">
        <v>87</v>
      </c>
      <c r="G880" s="61" t="s">
        <v>1642</v>
      </c>
      <c r="H880" s="61"/>
      <c r="I880" s="61"/>
      <c r="J880" s="61"/>
      <c r="K880" s="61"/>
      <c r="L880" s="129"/>
    </row>
    <row r="881" spans="2:12" s="5" customFormat="1" ht="15.75">
      <c r="B881" s="368"/>
      <c r="C881" s="357"/>
      <c r="D881" s="129">
        <v>2</v>
      </c>
      <c r="E881" s="129" t="s">
        <v>142</v>
      </c>
      <c r="F881" s="61" t="s">
        <v>122</v>
      </c>
      <c r="G881" s="61"/>
      <c r="H881" s="61"/>
      <c r="I881" s="61"/>
      <c r="J881" s="61"/>
      <c r="K881" s="61"/>
      <c r="L881" s="129"/>
    </row>
    <row r="882" spans="2:12" s="5" customFormat="1" ht="15.75">
      <c r="B882" s="368"/>
      <c r="C882" s="357"/>
      <c r="D882" s="180">
        <v>3</v>
      </c>
      <c r="E882" s="129"/>
      <c r="F882" s="61" t="s">
        <v>1383</v>
      </c>
      <c r="G882" s="61">
        <v>5</v>
      </c>
      <c r="H882" s="61" t="s">
        <v>1294</v>
      </c>
      <c r="I882" s="61">
        <v>5</v>
      </c>
      <c r="J882" s="61"/>
      <c r="K882" s="61"/>
      <c r="L882" s="129"/>
    </row>
    <row r="883" spans="2:12" s="5" customFormat="1" ht="15.75">
      <c r="B883" s="368"/>
      <c r="C883" s="357"/>
      <c r="D883" s="180">
        <v>4</v>
      </c>
      <c r="E883" s="129" t="s">
        <v>1376</v>
      </c>
      <c r="F883" s="61" t="s">
        <v>130</v>
      </c>
      <c r="G883" s="61" t="s">
        <v>162</v>
      </c>
      <c r="H883" s="61" t="s">
        <v>1294</v>
      </c>
      <c r="I883" s="61"/>
      <c r="J883" s="61"/>
      <c r="K883" s="61"/>
      <c r="L883" s="129"/>
    </row>
    <row r="884" spans="2:12" s="5" customFormat="1" ht="15.75">
      <c r="B884" s="368"/>
      <c r="C884" s="357"/>
      <c r="D884" s="180">
        <v>5</v>
      </c>
      <c r="E884" s="129"/>
      <c r="F884" s="61" t="s">
        <v>131</v>
      </c>
      <c r="G884" s="61" t="s">
        <v>162</v>
      </c>
      <c r="H884" s="61">
        <v>1</v>
      </c>
      <c r="I884" s="61"/>
      <c r="J884" s="61"/>
      <c r="K884" s="61"/>
      <c r="L884" s="129"/>
    </row>
    <row r="885" spans="2:12" s="5" customFormat="1" ht="15.75">
      <c r="B885" s="368"/>
      <c r="C885" s="357"/>
      <c r="D885" s="180">
        <v>6</v>
      </c>
      <c r="E885" s="180"/>
      <c r="F885" s="61" t="s">
        <v>1933</v>
      </c>
      <c r="G885" s="61">
        <v>100</v>
      </c>
      <c r="H885" s="61"/>
      <c r="I885" s="61"/>
      <c r="J885" s="61"/>
      <c r="K885" s="61"/>
      <c r="L885" s="180"/>
    </row>
    <row r="886" spans="2:12" s="5" customFormat="1" ht="15.75">
      <c r="B886" s="368"/>
      <c r="C886" s="357"/>
      <c r="D886" s="180">
        <v>7</v>
      </c>
      <c r="E886" s="129"/>
      <c r="F886" s="61" t="s">
        <v>135</v>
      </c>
      <c r="G886" s="61">
        <v>6</v>
      </c>
      <c r="H886" s="61" t="s">
        <v>1294</v>
      </c>
      <c r="I886" s="61" t="s">
        <v>162</v>
      </c>
      <c r="J886" s="61"/>
      <c r="K886" s="61"/>
      <c r="L886" s="129"/>
    </row>
    <row r="887" spans="2:12" s="5" customFormat="1" ht="15.75">
      <c r="B887" s="368"/>
      <c r="C887" s="357"/>
      <c r="D887" s="180">
        <v>8</v>
      </c>
      <c r="E887" s="180"/>
      <c r="F887" s="61" t="s">
        <v>1933</v>
      </c>
      <c r="G887" s="61">
        <v>100</v>
      </c>
      <c r="H887" s="61"/>
      <c r="I887" s="61"/>
      <c r="J887" s="61"/>
      <c r="K887" s="61"/>
      <c r="L887" s="180"/>
    </row>
    <row r="888" spans="2:12" s="5" customFormat="1" ht="15.75">
      <c r="B888" s="368"/>
      <c r="C888" s="357"/>
      <c r="D888" s="180">
        <v>9</v>
      </c>
      <c r="E888" s="129"/>
      <c r="F888" s="61" t="s">
        <v>1390</v>
      </c>
      <c r="G888" s="61" t="s">
        <v>1382</v>
      </c>
      <c r="H888" s="61" t="s">
        <v>1294</v>
      </c>
      <c r="I888" s="61"/>
      <c r="J888" s="61"/>
      <c r="K888" s="61"/>
      <c r="L888" s="129"/>
    </row>
    <row r="889" spans="2:12" s="5" customFormat="1" ht="15.75">
      <c r="B889" s="368"/>
      <c r="C889" s="357"/>
      <c r="D889" s="180">
        <v>10</v>
      </c>
      <c r="E889" s="129"/>
      <c r="F889" s="61" t="s">
        <v>1388</v>
      </c>
      <c r="G889" s="61" t="s">
        <v>1382</v>
      </c>
      <c r="H889" s="61" t="s">
        <v>1389</v>
      </c>
      <c r="I889" s="61"/>
      <c r="J889" s="61"/>
      <c r="K889" s="61"/>
      <c r="L889" s="129"/>
    </row>
    <row r="890" spans="2:12" s="5" customFormat="1" ht="15.75">
      <c r="B890" s="368"/>
      <c r="C890" s="357"/>
      <c r="D890" s="180">
        <v>11</v>
      </c>
      <c r="E890" s="129"/>
      <c r="F890" s="61" t="s">
        <v>1391</v>
      </c>
      <c r="G890" s="61">
        <v>8</v>
      </c>
      <c r="H890" s="61" t="s">
        <v>1382</v>
      </c>
      <c r="I890" s="61">
        <v>0</v>
      </c>
      <c r="J890" s="61"/>
      <c r="K890" s="61"/>
      <c r="L890" s="129"/>
    </row>
    <row r="891" spans="2:12" s="5" customFormat="1" ht="15.75">
      <c r="B891" s="368"/>
      <c r="C891" s="357"/>
      <c r="D891" s="180">
        <v>12</v>
      </c>
      <c r="E891" s="129"/>
      <c r="F891" s="61" t="s">
        <v>1390</v>
      </c>
      <c r="G891" s="61" t="s">
        <v>1382</v>
      </c>
      <c r="H891" s="61" t="s">
        <v>1294</v>
      </c>
      <c r="I891" s="61"/>
      <c r="J891" s="61"/>
      <c r="K891" s="61"/>
      <c r="L891" s="129"/>
    </row>
    <row r="892" spans="2:12" s="5" customFormat="1" ht="15.75">
      <c r="B892" s="368"/>
      <c r="C892" s="357"/>
      <c r="D892" s="180">
        <v>13</v>
      </c>
      <c r="E892" s="129" t="s">
        <v>166</v>
      </c>
      <c r="F892" s="61" t="s">
        <v>127</v>
      </c>
      <c r="G892" s="61" t="s">
        <v>1331</v>
      </c>
      <c r="H892" s="61" t="s">
        <v>162</v>
      </c>
      <c r="I892" s="61">
        <v>1</v>
      </c>
      <c r="J892" s="61"/>
      <c r="K892" s="61"/>
      <c r="L892" s="129"/>
    </row>
    <row r="893" spans="2:12" s="5" customFormat="1" ht="15.75">
      <c r="B893" s="368"/>
      <c r="C893" s="357"/>
      <c r="D893" s="180">
        <v>14</v>
      </c>
      <c r="E893" s="180"/>
      <c r="F893" s="61" t="s">
        <v>125</v>
      </c>
      <c r="G893" s="61">
        <v>100</v>
      </c>
      <c r="H893" s="61"/>
      <c r="I893" s="61"/>
      <c r="J893" s="61"/>
      <c r="K893" s="61"/>
      <c r="L893" s="180"/>
    </row>
    <row r="894" spans="2:12" s="5" customFormat="1" ht="15.75">
      <c r="B894" s="368"/>
      <c r="C894" s="357"/>
      <c r="D894" s="180">
        <v>15</v>
      </c>
      <c r="E894" s="129" t="s">
        <v>163</v>
      </c>
      <c r="F894" s="61" t="s">
        <v>164</v>
      </c>
      <c r="G894" s="61">
        <v>1</v>
      </c>
      <c r="H894" s="61">
        <v>4</v>
      </c>
      <c r="I894" s="61" t="s">
        <v>165</v>
      </c>
      <c r="J894" s="61"/>
      <c r="K894" s="61"/>
      <c r="L894" s="129"/>
    </row>
    <row r="895" spans="2:12" s="5" customFormat="1" ht="15.75">
      <c r="B895" s="368"/>
      <c r="C895" s="357"/>
      <c r="D895" s="180">
        <v>16</v>
      </c>
      <c r="E895" s="129"/>
      <c r="F895" s="61" t="s">
        <v>132</v>
      </c>
      <c r="G895" s="61" t="s">
        <v>1382</v>
      </c>
      <c r="H895" s="61">
        <v>5</v>
      </c>
      <c r="I895" s="61"/>
      <c r="J895" s="61"/>
      <c r="K895" s="61"/>
      <c r="L895" s="129"/>
    </row>
    <row r="896" spans="2:12" s="5" customFormat="1" ht="15.75">
      <c r="B896" s="368"/>
      <c r="C896" s="357"/>
      <c r="D896" s="180">
        <v>17</v>
      </c>
      <c r="E896" s="129" t="s">
        <v>166</v>
      </c>
      <c r="F896" s="61" t="s">
        <v>127</v>
      </c>
      <c r="G896" s="61" t="s">
        <v>1384</v>
      </c>
      <c r="H896" s="61" t="s">
        <v>1382</v>
      </c>
      <c r="I896" s="61">
        <v>3</v>
      </c>
      <c r="J896" s="61"/>
      <c r="K896" s="61"/>
      <c r="L896" s="129"/>
    </row>
    <row r="897" spans="2:12" s="5" customFormat="1" ht="15.75">
      <c r="B897" s="368"/>
      <c r="C897" s="357"/>
      <c r="D897" s="180">
        <v>18</v>
      </c>
      <c r="E897" s="129" t="s">
        <v>313</v>
      </c>
      <c r="F897" s="61" t="s">
        <v>125</v>
      </c>
      <c r="G897" s="61">
        <v>10000</v>
      </c>
      <c r="H897" s="61"/>
      <c r="I897" s="61"/>
      <c r="J897" s="61"/>
      <c r="K897" s="61"/>
      <c r="L897" s="129"/>
    </row>
    <row r="898" spans="2:12" s="5" customFormat="1" ht="15.75">
      <c r="B898" s="368"/>
      <c r="C898" s="357"/>
      <c r="D898" s="180">
        <v>19</v>
      </c>
      <c r="E898" s="129" t="s">
        <v>146</v>
      </c>
      <c r="F898" s="61" t="s">
        <v>123</v>
      </c>
      <c r="G898" s="61"/>
      <c r="H898" s="61"/>
      <c r="I898" s="61"/>
      <c r="J898" s="61"/>
      <c r="K898" s="61"/>
      <c r="L898" s="129"/>
    </row>
    <row r="899" spans="2:12" s="5" customFormat="1" ht="15.75">
      <c r="B899" s="369"/>
      <c r="C899" s="358"/>
      <c r="D899" s="129"/>
      <c r="E899" s="129"/>
      <c r="F899" s="61"/>
      <c r="G899" s="61"/>
      <c r="H899" s="61"/>
      <c r="I899" s="61"/>
      <c r="J899" s="61"/>
      <c r="K899" s="61"/>
      <c r="L899" s="129"/>
    </row>
    <row r="900" spans="2:12" s="5" customFormat="1" ht="15.75">
      <c r="B900" s="367" t="s">
        <v>1386</v>
      </c>
      <c r="C900" s="356" t="s">
        <v>1728</v>
      </c>
      <c r="D900" s="129">
        <v>1</v>
      </c>
      <c r="E900" s="129" t="s">
        <v>1641</v>
      </c>
      <c r="F900" s="61" t="s">
        <v>87</v>
      </c>
      <c r="G900" s="61" t="s">
        <v>1642</v>
      </c>
      <c r="H900" s="61"/>
      <c r="I900" s="61"/>
      <c r="J900" s="61"/>
      <c r="K900" s="61"/>
      <c r="L900" s="129"/>
    </row>
    <row r="901" spans="2:12" s="5" customFormat="1" ht="15.75">
      <c r="B901" s="368"/>
      <c r="C901" s="357"/>
      <c r="D901" s="129">
        <v>2</v>
      </c>
      <c r="E901" s="129" t="s">
        <v>142</v>
      </c>
      <c r="F901" s="61" t="s">
        <v>122</v>
      </c>
      <c r="G901" s="61"/>
      <c r="H901" s="61"/>
      <c r="I901" s="61"/>
      <c r="J901" s="61"/>
      <c r="K901" s="61"/>
      <c r="L901" s="129"/>
    </row>
    <row r="902" spans="2:12" s="5" customFormat="1" ht="15.75">
      <c r="B902" s="368"/>
      <c r="C902" s="357"/>
      <c r="D902" s="181">
        <v>3</v>
      </c>
      <c r="E902" s="181"/>
      <c r="F902" s="61" t="s">
        <v>1935</v>
      </c>
      <c r="G902" s="61">
        <v>100</v>
      </c>
      <c r="H902" s="61"/>
      <c r="I902" s="61"/>
      <c r="J902" s="61"/>
      <c r="K902" s="61"/>
      <c r="L902" s="181"/>
    </row>
    <row r="903" spans="2:12" s="5" customFormat="1" ht="15.75">
      <c r="B903" s="368"/>
      <c r="C903" s="357"/>
      <c r="D903" s="181">
        <v>4</v>
      </c>
      <c r="E903" s="129"/>
      <c r="F903" s="61" t="s">
        <v>1383</v>
      </c>
      <c r="G903" s="61">
        <v>3</v>
      </c>
      <c r="H903" s="61" t="s">
        <v>1294</v>
      </c>
      <c r="I903" s="61">
        <v>6</v>
      </c>
      <c r="J903" s="61"/>
      <c r="K903" s="61"/>
      <c r="L903" s="129"/>
    </row>
    <row r="904" spans="2:12" s="5" customFormat="1" ht="15.75">
      <c r="B904" s="368"/>
      <c r="C904" s="357"/>
      <c r="D904" s="181">
        <v>5</v>
      </c>
      <c r="E904" s="129" t="s">
        <v>1376</v>
      </c>
      <c r="F904" s="61" t="s">
        <v>130</v>
      </c>
      <c r="G904" s="61" t="s">
        <v>162</v>
      </c>
      <c r="H904" s="61" t="s">
        <v>1294</v>
      </c>
      <c r="I904" s="61"/>
      <c r="J904" s="61"/>
      <c r="K904" s="61"/>
      <c r="L904" s="129"/>
    </row>
    <row r="905" spans="2:12" s="5" customFormat="1" ht="15.75">
      <c r="B905" s="368"/>
      <c r="C905" s="357"/>
      <c r="D905" s="181">
        <v>6</v>
      </c>
      <c r="E905" s="129"/>
      <c r="F905" s="61" t="s">
        <v>131</v>
      </c>
      <c r="G905" s="61" t="s">
        <v>162</v>
      </c>
      <c r="H905" s="61">
        <v>1</v>
      </c>
      <c r="I905" s="61"/>
      <c r="J905" s="61"/>
      <c r="K905" s="61"/>
      <c r="L905" s="129"/>
    </row>
    <row r="906" spans="2:12" s="5" customFormat="1" ht="15.75">
      <c r="B906" s="368"/>
      <c r="C906" s="357"/>
      <c r="D906" s="181">
        <v>7</v>
      </c>
      <c r="E906" s="180"/>
      <c r="F906" s="61" t="s">
        <v>1933</v>
      </c>
      <c r="G906" s="61">
        <v>100</v>
      </c>
      <c r="H906" s="61"/>
      <c r="I906" s="61"/>
      <c r="J906" s="61"/>
      <c r="K906" s="61"/>
      <c r="L906" s="180"/>
    </row>
    <row r="907" spans="2:12" s="5" customFormat="1" ht="15.75">
      <c r="B907" s="368"/>
      <c r="C907" s="357"/>
      <c r="D907" s="181">
        <v>8</v>
      </c>
      <c r="E907" s="129"/>
      <c r="F907" s="61" t="s">
        <v>135</v>
      </c>
      <c r="G907" s="61">
        <v>7</v>
      </c>
      <c r="H907" s="61" t="s">
        <v>1294</v>
      </c>
      <c r="I907" s="61" t="s">
        <v>162</v>
      </c>
      <c r="J907" s="61"/>
      <c r="K907" s="61"/>
      <c r="L907" s="129"/>
    </row>
    <row r="908" spans="2:12" s="5" customFormat="1" ht="15.75">
      <c r="B908" s="368"/>
      <c r="C908" s="357"/>
      <c r="D908" s="181">
        <v>9</v>
      </c>
      <c r="E908" s="180"/>
      <c r="F908" s="61" t="s">
        <v>1933</v>
      </c>
      <c r="G908" s="61">
        <v>100</v>
      </c>
      <c r="H908" s="61"/>
      <c r="I908" s="61"/>
      <c r="J908" s="61"/>
      <c r="K908" s="61"/>
      <c r="L908" s="180"/>
    </row>
    <row r="909" spans="2:12" s="5" customFormat="1" ht="15.75">
      <c r="B909" s="368"/>
      <c r="C909" s="357"/>
      <c r="D909" s="181">
        <v>10</v>
      </c>
      <c r="E909" s="129"/>
      <c r="F909" s="61" t="s">
        <v>1390</v>
      </c>
      <c r="G909" s="61" t="s">
        <v>1382</v>
      </c>
      <c r="H909" s="61" t="s">
        <v>1294</v>
      </c>
      <c r="I909" s="61"/>
      <c r="J909" s="61"/>
      <c r="K909" s="61"/>
      <c r="L909" s="129"/>
    </row>
    <row r="910" spans="2:12" s="5" customFormat="1" ht="15.75">
      <c r="B910" s="368"/>
      <c r="C910" s="357"/>
      <c r="D910" s="181">
        <v>11</v>
      </c>
      <c r="E910" s="129"/>
      <c r="F910" s="61" t="s">
        <v>1388</v>
      </c>
      <c r="G910" s="61" t="s">
        <v>1382</v>
      </c>
      <c r="H910" s="61" t="s">
        <v>1389</v>
      </c>
      <c r="I910" s="61"/>
      <c r="J910" s="61"/>
      <c r="K910" s="61"/>
      <c r="L910" s="129"/>
    </row>
    <row r="911" spans="2:12" s="5" customFormat="1" ht="15.75">
      <c r="B911" s="368"/>
      <c r="C911" s="357"/>
      <c r="D911" s="181">
        <v>12</v>
      </c>
      <c r="E911" s="129"/>
      <c r="F911" s="61" t="s">
        <v>1383</v>
      </c>
      <c r="G911" s="61">
        <v>9</v>
      </c>
      <c r="H911" s="61" t="s">
        <v>1382</v>
      </c>
      <c r="I911" s="61">
        <v>2</v>
      </c>
      <c r="J911" s="61"/>
      <c r="K911" s="61"/>
      <c r="L911" s="129"/>
    </row>
    <row r="912" spans="2:12" s="5" customFormat="1" ht="15.75">
      <c r="B912" s="368"/>
      <c r="C912" s="357"/>
      <c r="D912" s="181">
        <v>13</v>
      </c>
      <c r="E912" s="129"/>
      <c r="F912" s="61" t="s">
        <v>1390</v>
      </c>
      <c r="G912" s="61" t="s">
        <v>1382</v>
      </c>
      <c r="H912" s="61" t="s">
        <v>1294</v>
      </c>
      <c r="I912" s="61"/>
      <c r="J912" s="61"/>
      <c r="K912" s="61"/>
      <c r="L912" s="129"/>
    </row>
    <row r="913" spans="2:12" s="5" customFormat="1" ht="15.75">
      <c r="B913" s="368"/>
      <c r="C913" s="357"/>
      <c r="D913" s="181">
        <v>14</v>
      </c>
      <c r="E913" s="129" t="s">
        <v>166</v>
      </c>
      <c r="F913" s="61" t="s">
        <v>127</v>
      </c>
      <c r="G913" s="61" t="s">
        <v>1331</v>
      </c>
      <c r="H913" s="61" t="s">
        <v>162</v>
      </c>
      <c r="I913" s="61">
        <v>1</v>
      </c>
      <c r="J913" s="61"/>
      <c r="K913" s="61"/>
      <c r="L913" s="129"/>
    </row>
    <row r="914" spans="2:12" s="5" customFormat="1" ht="15.75">
      <c r="B914" s="368"/>
      <c r="C914" s="357"/>
      <c r="D914" s="181">
        <v>15</v>
      </c>
      <c r="E914" s="180"/>
      <c r="F914" s="61" t="s">
        <v>125</v>
      </c>
      <c r="G914" s="61">
        <v>100</v>
      </c>
      <c r="H914" s="61"/>
      <c r="I914" s="61"/>
      <c r="J914" s="61"/>
      <c r="K914" s="61"/>
      <c r="L914" s="180"/>
    </row>
    <row r="915" spans="2:12" s="5" customFormat="1" ht="15.75">
      <c r="B915" s="368"/>
      <c r="C915" s="357"/>
      <c r="D915" s="181">
        <v>16</v>
      </c>
      <c r="E915" s="180" t="s">
        <v>1524</v>
      </c>
      <c r="F915" s="61" t="s">
        <v>81</v>
      </c>
      <c r="G915" s="61" t="s">
        <v>1517</v>
      </c>
      <c r="H915" s="61"/>
      <c r="I915" s="61"/>
      <c r="J915" s="61"/>
      <c r="K915" s="61"/>
      <c r="L915" s="180"/>
    </row>
    <row r="916" spans="2:12" s="5" customFormat="1" ht="15.75">
      <c r="B916" s="368"/>
      <c r="C916" s="357"/>
      <c r="D916" s="181">
        <v>17</v>
      </c>
      <c r="E916" s="129" t="s">
        <v>163</v>
      </c>
      <c r="F916" s="61" t="s">
        <v>164</v>
      </c>
      <c r="G916" s="61">
        <v>1</v>
      </c>
      <c r="H916" s="61">
        <v>4</v>
      </c>
      <c r="I916" s="61" t="s">
        <v>165</v>
      </c>
      <c r="J916" s="61"/>
      <c r="K916" s="61"/>
      <c r="L916" s="129"/>
    </row>
    <row r="917" spans="2:12" s="5" customFormat="1" ht="15.75">
      <c r="B917" s="368"/>
      <c r="C917" s="357"/>
      <c r="D917" s="181">
        <v>18</v>
      </c>
      <c r="E917" s="129"/>
      <c r="F917" s="61" t="s">
        <v>132</v>
      </c>
      <c r="G917" s="61" t="s">
        <v>1382</v>
      </c>
      <c r="H917" s="61">
        <v>6</v>
      </c>
      <c r="I917" s="61"/>
      <c r="J917" s="61"/>
      <c r="K917" s="61"/>
      <c r="L917" s="129"/>
    </row>
    <row r="918" spans="2:12" s="5" customFormat="1" ht="15.75">
      <c r="B918" s="368"/>
      <c r="C918" s="357"/>
      <c r="D918" s="181">
        <v>19</v>
      </c>
      <c r="E918" s="129" t="s">
        <v>166</v>
      </c>
      <c r="F918" s="61" t="s">
        <v>127</v>
      </c>
      <c r="G918" s="61" t="s">
        <v>1384</v>
      </c>
      <c r="H918" s="61" t="s">
        <v>1382</v>
      </c>
      <c r="I918" s="61">
        <v>3</v>
      </c>
      <c r="J918" s="61"/>
      <c r="K918" s="61"/>
      <c r="L918" s="129"/>
    </row>
    <row r="919" spans="2:12" s="5" customFormat="1" ht="15.75">
      <c r="B919" s="368"/>
      <c r="C919" s="357"/>
      <c r="D919" s="181">
        <v>20</v>
      </c>
      <c r="E919" s="129" t="s">
        <v>194</v>
      </c>
      <c r="F919" s="61" t="s">
        <v>125</v>
      </c>
      <c r="G919" s="61" t="s">
        <v>1546</v>
      </c>
      <c r="H919" s="61"/>
      <c r="I919" s="61"/>
      <c r="J919" s="61"/>
      <c r="K919" s="61"/>
      <c r="L919" s="129"/>
    </row>
    <row r="920" spans="2:12" s="5" customFormat="1" ht="15.75">
      <c r="B920" s="368"/>
      <c r="C920" s="357"/>
      <c r="D920" s="181">
        <v>21</v>
      </c>
      <c r="E920" s="180" t="s">
        <v>195</v>
      </c>
      <c r="F920" s="61" t="s">
        <v>81</v>
      </c>
      <c r="G920" s="61" t="s">
        <v>196</v>
      </c>
      <c r="H920" s="61" t="s">
        <v>197</v>
      </c>
      <c r="I920" s="61" t="s">
        <v>197</v>
      </c>
      <c r="J920" s="61"/>
      <c r="K920" s="61"/>
      <c r="L920" s="180"/>
    </row>
    <row r="921" spans="2:12" s="5" customFormat="1" ht="15.75">
      <c r="B921" s="368"/>
      <c r="C921" s="357"/>
      <c r="D921" s="181">
        <v>22</v>
      </c>
      <c r="E921" s="180"/>
      <c r="F921" s="61" t="s">
        <v>81</v>
      </c>
      <c r="G921" s="61" t="s">
        <v>198</v>
      </c>
      <c r="H921" s="61" t="s">
        <v>199</v>
      </c>
      <c r="I921" s="61" t="s">
        <v>197</v>
      </c>
      <c r="J921" s="61" t="s">
        <v>197</v>
      </c>
      <c r="K921" s="61"/>
      <c r="L921" s="180"/>
    </row>
    <row r="922" spans="2:12" s="5" customFormat="1" ht="15.75">
      <c r="B922" s="368"/>
      <c r="C922" s="357"/>
      <c r="D922" s="181">
        <v>23</v>
      </c>
      <c r="E922" s="129" t="s">
        <v>146</v>
      </c>
      <c r="F922" s="61" t="s">
        <v>123</v>
      </c>
      <c r="G922" s="61"/>
      <c r="H922" s="61"/>
      <c r="I922" s="61"/>
      <c r="J922" s="61"/>
      <c r="K922" s="61"/>
      <c r="L922" s="129"/>
    </row>
    <row r="923" spans="2:12" s="5" customFormat="1" ht="15.75">
      <c r="B923" s="369"/>
      <c r="C923" s="358"/>
      <c r="D923" s="129"/>
      <c r="E923" s="129"/>
      <c r="F923" s="61"/>
      <c r="G923" s="61"/>
      <c r="H923" s="61"/>
      <c r="I923" s="61"/>
      <c r="J923" s="61"/>
      <c r="K923" s="61"/>
      <c r="L923" s="129"/>
    </row>
    <row r="924" spans="2:12" s="5" customFormat="1" ht="15.75">
      <c r="B924" s="367" t="s">
        <v>1387</v>
      </c>
      <c r="C924" s="356" t="s">
        <v>1728</v>
      </c>
      <c r="D924" s="129">
        <v>1</v>
      </c>
      <c r="E924" s="129" t="s">
        <v>1641</v>
      </c>
      <c r="F924" s="61" t="s">
        <v>87</v>
      </c>
      <c r="G924" s="61" t="s">
        <v>1642</v>
      </c>
      <c r="H924" s="61"/>
      <c r="I924" s="61"/>
      <c r="J924" s="61"/>
      <c r="K924" s="61"/>
      <c r="L924" s="129"/>
    </row>
    <row r="925" spans="2:12" s="5" customFormat="1" ht="15.75">
      <c r="B925" s="368"/>
      <c r="C925" s="357"/>
      <c r="D925" s="129">
        <v>2</v>
      </c>
      <c r="E925" s="129" t="s">
        <v>142</v>
      </c>
      <c r="F925" s="61" t="s">
        <v>122</v>
      </c>
      <c r="G925" s="61"/>
      <c r="H925" s="61"/>
      <c r="I925" s="61"/>
      <c r="J925" s="61"/>
      <c r="K925" s="61"/>
      <c r="L925" s="129"/>
    </row>
    <row r="926" spans="2:12" s="5" customFormat="1" ht="15.75">
      <c r="B926" s="368"/>
      <c r="C926" s="357"/>
      <c r="D926" s="181">
        <v>3</v>
      </c>
      <c r="E926" s="181"/>
      <c r="F926" s="61" t="s">
        <v>1935</v>
      </c>
      <c r="G926" s="61">
        <v>100</v>
      </c>
      <c r="H926" s="61"/>
      <c r="I926" s="61"/>
      <c r="J926" s="61"/>
      <c r="K926" s="61"/>
      <c r="L926" s="181"/>
    </row>
    <row r="927" spans="2:12" s="5" customFormat="1" ht="15.75">
      <c r="B927" s="368"/>
      <c r="C927" s="357"/>
      <c r="D927" s="181">
        <v>4</v>
      </c>
      <c r="E927" s="129"/>
      <c r="F927" s="61" t="s">
        <v>1383</v>
      </c>
      <c r="G927" s="61">
        <v>3</v>
      </c>
      <c r="H927" s="61" t="s">
        <v>1294</v>
      </c>
      <c r="I927" s="61">
        <v>6</v>
      </c>
      <c r="J927" s="61"/>
      <c r="K927" s="61"/>
      <c r="L927" s="129"/>
    </row>
    <row r="928" spans="2:12" s="5" customFormat="1" ht="15.75">
      <c r="B928" s="368"/>
      <c r="C928" s="357"/>
      <c r="D928" s="181">
        <v>5</v>
      </c>
      <c r="E928" s="129" t="s">
        <v>1376</v>
      </c>
      <c r="F928" s="61" t="s">
        <v>130</v>
      </c>
      <c r="G928" s="61" t="s">
        <v>162</v>
      </c>
      <c r="H928" s="61" t="s">
        <v>1294</v>
      </c>
      <c r="I928" s="61"/>
      <c r="J928" s="61"/>
      <c r="K928" s="61"/>
      <c r="L928" s="129"/>
    </row>
    <row r="929" spans="2:12" s="5" customFormat="1" ht="15.75">
      <c r="B929" s="368"/>
      <c r="C929" s="357"/>
      <c r="D929" s="181">
        <v>6</v>
      </c>
      <c r="E929" s="129"/>
      <c r="F929" s="61" t="s">
        <v>131</v>
      </c>
      <c r="G929" s="61" t="s">
        <v>162</v>
      </c>
      <c r="H929" s="61">
        <v>1</v>
      </c>
      <c r="I929" s="61"/>
      <c r="J929" s="61"/>
      <c r="K929" s="61"/>
      <c r="L929" s="129"/>
    </row>
    <row r="930" spans="2:12" s="5" customFormat="1" ht="15.75">
      <c r="B930" s="368"/>
      <c r="C930" s="357"/>
      <c r="D930" s="181">
        <v>7</v>
      </c>
      <c r="E930" s="180"/>
      <c r="F930" s="61" t="s">
        <v>1933</v>
      </c>
      <c r="G930" s="61">
        <v>100</v>
      </c>
      <c r="H930" s="61"/>
      <c r="I930" s="61"/>
      <c r="J930" s="61"/>
      <c r="K930" s="61"/>
      <c r="L930" s="180"/>
    </row>
    <row r="931" spans="2:12" s="5" customFormat="1" ht="15.75">
      <c r="B931" s="368"/>
      <c r="C931" s="357"/>
      <c r="D931" s="181">
        <v>8</v>
      </c>
      <c r="E931" s="129"/>
      <c r="F931" s="61" t="s">
        <v>135</v>
      </c>
      <c r="G931" s="61">
        <v>7</v>
      </c>
      <c r="H931" s="61" t="s">
        <v>1294</v>
      </c>
      <c r="I931" s="61" t="s">
        <v>162</v>
      </c>
      <c r="J931" s="61"/>
      <c r="K931" s="61"/>
      <c r="L931" s="129"/>
    </row>
    <row r="932" spans="2:12" s="5" customFormat="1" ht="15.75">
      <c r="B932" s="368"/>
      <c r="C932" s="357"/>
      <c r="D932" s="181">
        <v>9</v>
      </c>
      <c r="E932" s="180"/>
      <c r="F932" s="61" t="s">
        <v>1933</v>
      </c>
      <c r="G932" s="61">
        <v>100</v>
      </c>
      <c r="H932" s="61"/>
      <c r="I932" s="61"/>
      <c r="J932" s="61"/>
      <c r="K932" s="61"/>
      <c r="L932" s="180"/>
    </row>
    <row r="933" spans="2:12" s="5" customFormat="1" ht="15.75">
      <c r="B933" s="368"/>
      <c r="C933" s="357"/>
      <c r="D933" s="181">
        <v>10</v>
      </c>
      <c r="E933" s="129"/>
      <c r="F933" s="61" t="s">
        <v>1390</v>
      </c>
      <c r="G933" s="61" t="s">
        <v>1382</v>
      </c>
      <c r="H933" s="61" t="s">
        <v>1294</v>
      </c>
      <c r="I933" s="61"/>
      <c r="J933" s="61"/>
      <c r="K933" s="61"/>
      <c r="L933" s="129"/>
    </row>
    <row r="934" spans="2:12" s="5" customFormat="1" ht="15.75">
      <c r="B934" s="368"/>
      <c r="C934" s="357"/>
      <c r="D934" s="181">
        <v>11</v>
      </c>
      <c r="E934" s="129"/>
      <c r="F934" s="61" t="s">
        <v>1388</v>
      </c>
      <c r="G934" s="61" t="s">
        <v>1382</v>
      </c>
      <c r="H934" s="61" t="s">
        <v>1389</v>
      </c>
      <c r="I934" s="61"/>
      <c r="J934" s="61"/>
      <c r="K934" s="61"/>
      <c r="L934" s="129"/>
    </row>
    <row r="935" spans="2:12" s="5" customFormat="1" ht="15.75">
      <c r="B935" s="368"/>
      <c r="C935" s="357"/>
      <c r="D935" s="181">
        <v>12</v>
      </c>
      <c r="E935" s="129"/>
      <c r="F935" s="61" t="s">
        <v>1383</v>
      </c>
      <c r="G935" s="61">
        <v>9</v>
      </c>
      <c r="H935" s="61" t="s">
        <v>1382</v>
      </c>
      <c r="I935" s="61">
        <v>2</v>
      </c>
      <c r="J935" s="61"/>
      <c r="K935" s="61"/>
      <c r="L935" s="129"/>
    </row>
    <row r="936" spans="2:12" s="5" customFormat="1" ht="15.75">
      <c r="B936" s="368"/>
      <c r="C936" s="357"/>
      <c r="D936" s="181">
        <v>13</v>
      </c>
      <c r="E936" s="129"/>
      <c r="F936" s="61" t="s">
        <v>1390</v>
      </c>
      <c r="G936" s="61" t="s">
        <v>1382</v>
      </c>
      <c r="H936" s="61" t="s">
        <v>1294</v>
      </c>
      <c r="I936" s="61"/>
      <c r="J936" s="61"/>
      <c r="K936" s="61"/>
      <c r="L936" s="129"/>
    </row>
    <row r="937" spans="2:12" s="5" customFormat="1" ht="15.75">
      <c r="B937" s="368"/>
      <c r="C937" s="357"/>
      <c r="D937" s="181">
        <v>14</v>
      </c>
      <c r="E937" s="129" t="s">
        <v>166</v>
      </c>
      <c r="F937" s="61" t="s">
        <v>127</v>
      </c>
      <c r="G937" s="61" t="s">
        <v>1331</v>
      </c>
      <c r="H937" s="61" t="s">
        <v>162</v>
      </c>
      <c r="I937" s="61">
        <v>1</v>
      </c>
      <c r="J937" s="61"/>
      <c r="K937" s="61"/>
      <c r="L937" s="129"/>
    </row>
    <row r="938" spans="2:12" s="5" customFormat="1" ht="15.75">
      <c r="B938" s="368"/>
      <c r="C938" s="357"/>
      <c r="D938" s="181">
        <v>15</v>
      </c>
      <c r="E938" s="129" t="s">
        <v>163</v>
      </c>
      <c r="F938" s="61" t="s">
        <v>164</v>
      </c>
      <c r="G938" s="61">
        <v>1</v>
      </c>
      <c r="H938" s="61">
        <v>4</v>
      </c>
      <c r="I938" s="61" t="s">
        <v>165</v>
      </c>
      <c r="J938" s="61"/>
      <c r="K938" s="61"/>
      <c r="L938" s="129"/>
    </row>
    <row r="939" spans="2:12" s="5" customFormat="1" ht="15.75">
      <c r="B939" s="368"/>
      <c r="C939" s="357"/>
      <c r="D939" s="181">
        <v>16</v>
      </c>
      <c r="E939" s="129"/>
      <c r="F939" s="61" t="s">
        <v>125</v>
      </c>
      <c r="G939" s="61">
        <v>100</v>
      </c>
      <c r="H939" s="61"/>
      <c r="I939" s="61"/>
      <c r="J939" s="61"/>
      <c r="K939" s="61"/>
      <c r="L939" s="129"/>
    </row>
    <row r="940" spans="2:12" s="5" customFormat="1" ht="15.75">
      <c r="B940" s="368"/>
      <c r="C940" s="357"/>
      <c r="D940" s="181">
        <v>17</v>
      </c>
      <c r="E940" s="129"/>
      <c r="F940" s="61" t="s">
        <v>132</v>
      </c>
      <c r="G940" s="61" t="s">
        <v>1382</v>
      </c>
      <c r="H940" s="61">
        <v>6</v>
      </c>
      <c r="I940" s="61"/>
      <c r="J940" s="61"/>
      <c r="K940" s="61"/>
      <c r="L940" s="129"/>
    </row>
    <row r="941" spans="2:12" s="5" customFormat="1" ht="15.75">
      <c r="B941" s="368"/>
      <c r="C941" s="357"/>
      <c r="D941" s="181">
        <v>18</v>
      </c>
      <c r="E941" s="129" t="s">
        <v>166</v>
      </c>
      <c r="F941" s="61" t="s">
        <v>127</v>
      </c>
      <c r="G941" s="61" t="s">
        <v>1384</v>
      </c>
      <c r="H941" s="61" t="s">
        <v>1382</v>
      </c>
      <c r="I941" s="61">
        <v>3</v>
      </c>
      <c r="J941" s="61"/>
      <c r="K941" s="61"/>
      <c r="L941" s="129"/>
    </row>
    <row r="942" spans="2:12" s="5" customFormat="1" ht="15.75">
      <c r="B942" s="368"/>
      <c r="C942" s="357"/>
      <c r="D942" s="181">
        <v>19</v>
      </c>
      <c r="E942" s="129" t="s">
        <v>313</v>
      </c>
      <c r="F942" s="61" t="s">
        <v>125</v>
      </c>
      <c r="G942" s="61">
        <v>10000</v>
      </c>
      <c r="H942" s="61"/>
      <c r="I942" s="61"/>
      <c r="J942" s="61"/>
      <c r="K942" s="61"/>
      <c r="L942" s="129"/>
    </row>
    <row r="943" spans="2:12" s="5" customFormat="1" ht="15.75">
      <c r="B943" s="368"/>
      <c r="C943" s="357"/>
      <c r="D943" s="181">
        <v>20</v>
      </c>
      <c r="E943" s="129" t="s">
        <v>146</v>
      </c>
      <c r="F943" s="61" t="s">
        <v>123</v>
      </c>
      <c r="G943" s="61"/>
      <c r="H943" s="61"/>
      <c r="I943" s="61"/>
      <c r="J943" s="61"/>
      <c r="K943" s="61"/>
      <c r="L943" s="129"/>
    </row>
    <row r="944" spans="2:12" s="5" customFormat="1" ht="15.75">
      <c r="B944" s="369"/>
      <c r="C944" s="358"/>
      <c r="D944" s="129"/>
      <c r="E944" s="129"/>
      <c r="F944" s="61"/>
      <c r="G944" s="61"/>
      <c r="H944" s="61"/>
      <c r="I944" s="61"/>
      <c r="J944" s="61"/>
      <c r="K944" s="61"/>
      <c r="L944" s="129"/>
    </row>
    <row r="945" spans="2:12" s="5" customFormat="1" ht="15.75">
      <c r="B945" s="367" t="s">
        <v>1392</v>
      </c>
      <c r="C945" s="356" t="s">
        <v>1728</v>
      </c>
      <c r="D945" s="129">
        <v>1</v>
      </c>
      <c r="E945" s="129" t="s">
        <v>1641</v>
      </c>
      <c r="F945" s="61" t="s">
        <v>87</v>
      </c>
      <c r="G945" s="61" t="s">
        <v>1642</v>
      </c>
      <c r="H945" s="61"/>
      <c r="I945" s="61"/>
      <c r="J945" s="61"/>
      <c r="K945" s="61"/>
      <c r="L945" s="129"/>
    </row>
    <row r="946" spans="2:12" s="5" customFormat="1" ht="15.75">
      <c r="B946" s="368"/>
      <c r="C946" s="357"/>
      <c r="D946" s="129">
        <v>2</v>
      </c>
      <c r="E946" s="129" t="s">
        <v>142</v>
      </c>
      <c r="F946" s="61" t="s">
        <v>122</v>
      </c>
      <c r="G946" s="61"/>
      <c r="H946" s="61"/>
      <c r="I946" s="61"/>
      <c r="J946" s="61"/>
      <c r="K946" s="61"/>
      <c r="L946" s="129"/>
    </row>
    <row r="947" spans="2:12" s="5" customFormat="1" ht="15.75">
      <c r="B947" s="368"/>
      <c r="C947" s="357"/>
      <c r="D947" s="180">
        <v>3</v>
      </c>
      <c r="E947" s="180"/>
      <c r="F947" s="61" t="s">
        <v>1933</v>
      </c>
      <c r="G947" s="61">
        <v>100</v>
      </c>
      <c r="H947" s="61"/>
      <c r="I947" s="61"/>
      <c r="J947" s="61"/>
      <c r="K947" s="61"/>
      <c r="L947" s="180"/>
    </row>
    <row r="948" spans="2:12" s="5" customFormat="1" ht="15.75">
      <c r="B948" s="368"/>
      <c r="C948" s="357"/>
      <c r="D948" s="180">
        <v>4</v>
      </c>
      <c r="E948" s="129"/>
      <c r="F948" s="61" t="s">
        <v>1383</v>
      </c>
      <c r="G948" s="61">
        <v>3</v>
      </c>
      <c r="H948" s="61" t="s">
        <v>1294</v>
      </c>
      <c r="I948" s="61">
        <v>4</v>
      </c>
      <c r="J948" s="61"/>
      <c r="K948" s="61"/>
      <c r="L948" s="129"/>
    </row>
    <row r="949" spans="2:12" s="5" customFormat="1" ht="15.75">
      <c r="B949" s="368"/>
      <c r="C949" s="357"/>
      <c r="D949" s="180">
        <v>5</v>
      </c>
      <c r="E949" s="129" t="s">
        <v>1376</v>
      </c>
      <c r="F949" s="61" t="s">
        <v>130</v>
      </c>
      <c r="G949" s="61" t="s">
        <v>162</v>
      </c>
      <c r="H949" s="61" t="s">
        <v>1294</v>
      </c>
      <c r="I949" s="61"/>
      <c r="J949" s="61"/>
      <c r="K949" s="61"/>
      <c r="L949" s="129"/>
    </row>
    <row r="950" spans="2:12" s="5" customFormat="1" ht="15.75">
      <c r="B950" s="368"/>
      <c r="C950" s="357"/>
      <c r="D950" s="180">
        <v>6</v>
      </c>
      <c r="E950" s="129"/>
      <c r="F950" s="61" t="s">
        <v>131</v>
      </c>
      <c r="G950" s="61" t="s">
        <v>162</v>
      </c>
      <c r="H950" s="61">
        <v>1</v>
      </c>
      <c r="I950" s="61"/>
      <c r="J950" s="61"/>
      <c r="K950" s="61"/>
      <c r="L950" s="129"/>
    </row>
    <row r="951" spans="2:12" s="5" customFormat="1" ht="15.75">
      <c r="B951" s="368"/>
      <c r="C951" s="357"/>
      <c r="D951" s="180">
        <v>7</v>
      </c>
      <c r="E951" s="180"/>
      <c r="F951" s="61" t="s">
        <v>1933</v>
      </c>
      <c r="G951" s="61">
        <v>100</v>
      </c>
      <c r="H951" s="61"/>
      <c r="I951" s="61"/>
      <c r="J951" s="61"/>
      <c r="K951" s="61"/>
      <c r="L951" s="180"/>
    </row>
    <row r="952" spans="2:12" s="5" customFormat="1" ht="15.75">
      <c r="B952" s="368"/>
      <c r="C952" s="357"/>
      <c r="D952" s="180">
        <v>8</v>
      </c>
      <c r="E952" s="129"/>
      <c r="F952" s="61" t="s">
        <v>135</v>
      </c>
      <c r="G952" s="61">
        <v>7</v>
      </c>
      <c r="H952" s="61" t="s">
        <v>1294</v>
      </c>
      <c r="I952" s="61" t="s">
        <v>162</v>
      </c>
      <c r="J952" s="61"/>
      <c r="K952" s="61"/>
      <c r="L952" s="129"/>
    </row>
    <row r="953" spans="2:12" s="5" customFormat="1" ht="15.75">
      <c r="B953" s="368"/>
      <c r="C953" s="357"/>
      <c r="D953" s="180">
        <v>9</v>
      </c>
      <c r="E953" s="180"/>
      <c r="F953" s="61" t="s">
        <v>1933</v>
      </c>
      <c r="G953" s="61">
        <v>100</v>
      </c>
      <c r="H953" s="61"/>
      <c r="I953" s="61"/>
      <c r="J953" s="61"/>
      <c r="K953" s="61"/>
      <c r="L953" s="180"/>
    </row>
    <row r="954" spans="2:12" s="5" customFormat="1" ht="15.75">
      <c r="B954" s="368"/>
      <c r="C954" s="357"/>
      <c r="D954" s="180">
        <v>10</v>
      </c>
      <c r="E954" s="129"/>
      <c r="F954" s="61" t="s">
        <v>1390</v>
      </c>
      <c r="G954" s="61" t="s">
        <v>1382</v>
      </c>
      <c r="H954" s="61" t="s">
        <v>1294</v>
      </c>
      <c r="I954" s="61"/>
      <c r="J954" s="61"/>
      <c r="K954" s="61"/>
      <c r="L954" s="129"/>
    </row>
    <row r="955" spans="2:12" s="5" customFormat="1" ht="15.75">
      <c r="B955" s="368"/>
      <c r="C955" s="357"/>
      <c r="D955" s="180">
        <v>11</v>
      </c>
      <c r="E955" s="129"/>
      <c r="F955" s="61" t="s">
        <v>1388</v>
      </c>
      <c r="G955" s="61" t="s">
        <v>1382</v>
      </c>
      <c r="H955" s="61" t="s">
        <v>1389</v>
      </c>
      <c r="I955" s="61"/>
      <c r="J955" s="61"/>
      <c r="K955" s="61"/>
      <c r="L955" s="129"/>
    </row>
    <row r="956" spans="2:12" s="5" customFormat="1" ht="15.75">
      <c r="B956" s="368"/>
      <c r="C956" s="357"/>
      <c r="D956" s="180">
        <v>12</v>
      </c>
      <c r="E956" s="129"/>
      <c r="F956" s="61" t="s">
        <v>1391</v>
      </c>
      <c r="G956" s="61">
        <v>9</v>
      </c>
      <c r="H956" s="61" t="s">
        <v>1382</v>
      </c>
      <c r="I956" s="61">
        <v>3</v>
      </c>
      <c r="J956" s="61"/>
      <c r="K956" s="61"/>
      <c r="L956" s="129"/>
    </row>
    <row r="957" spans="2:12" s="5" customFormat="1" ht="15.75">
      <c r="B957" s="368"/>
      <c r="C957" s="357"/>
      <c r="D957" s="180">
        <v>13</v>
      </c>
      <c r="E957" s="129"/>
      <c r="F957" s="61" t="s">
        <v>1390</v>
      </c>
      <c r="G957" s="61" t="s">
        <v>1382</v>
      </c>
      <c r="H957" s="61" t="s">
        <v>1294</v>
      </c>
      <c r="I957" s="61"/>
      <c r="J957" s="61"/>
      <c r="K957" s="61"/>
      <c r="L957" s="129"/>
    </row>
    <row r="958" spans="2:12" s="5" customFormat="1" ht="15.75">
      <c r="B958" s="368"/>
      <c r="C958" s="357"/>
      <c r="D958" s="180">
        <v>14</v>
      </c>
      <c r="E958" s="129" t="s">
        <v>166</v>
      </c>
      <c r="F958" s="61" t="s">
        <v>127</v>
      </c>
      <c r="G958" s="61" t="s">
        <v>1331</v>
      </c>
      <c r="H958" s="61" t="s">
        <v>162</v>
      </c>
      <c r="I958" s="61">
        <v>1</v>
      </c>
      <c r="J958" s="61"/>
      <c r="K958" s="61"/>
      <c r="L958" s="129"/>
    </row>
    <row r="959" spans="2:12" s="5" customFormat="1" ht="15.75">
      <c r="B959" s="368"/>
      <c r="C959" s="357"/>
      <c r="D959" s="180">
        <v>15</v>
      </c>
      <c r="E959" s="180"/>
      <c r="F959" s="61" t="s">
        <v>125</v>
      </c>
      <c r="G959" s="61">
        <v>100</v>
      </c>
      <c r="H959" s="61"/>
      <c r="I959" s="61"/>
      <c r="J959" s="61"/>
      <c r="K959" s="61"/>
      <c r="L959" s="180"/>
    </row>
    <row r="960" spans="2:12" s="5" customFormat="1" ht="15.75">
      <c r="B960" s="368"/>
      <c r="C960" s="357"/>
      <c r="D960" s="180">
        <v>16</v>
      </c>
      <c r="E960" s="180" t="s">
        <v>1524</v>
      </c>
      <c r="F960" s="61" t="s">
        <v>81</v>
      </c>
      <c r="G960" s="61" t="s">
        <v>1517</v>
      </c>
      <c r="H960" s="61"/>
      <c r="I960" s="61"/>
      <c r="J960" s="61"/>
      <c r="K960" s="61"/>
      <c r="L960" s="180"/>
    </row>
    <row r="961" spans="2:12" s="5" customFormat="1" ht="15.75">
      <c r="B961" s="368"/>
      <c r="C961" s="357"/>
      <c r="D961" s="180">
        <v>17</v>
      </c>
      <c r="E961" s="129" t="s">
        <v>163</v>
      </c>
      <c r="F961" s="61" t="s">
        <v>164</v>
      </c>
      <c r="G961" s="61">
        <v>1</v>
      </c>
      <c r="H961" s="61">
        <v>4</v>
      </c>
      <c r="I961" s="61" t="s">
        <v>165</v>
      </c>
      <c r="J961" s="61"/>
      <c r="K961" s="61"/>
      <c r="L961" s="129"/>
    </row>
    <row r="962" spans="2:12" s="5" customFormat="1" ht="15.75">
      <c r="B962" s="368"/>
      <c r="C962" s="357"/>
      <c r="D962" s="180">
        <v>18</v>
      </c>
      <c r="E962" s="129"/>
      <c r="F962" s="61" t="s">
        <v>132</v>
      </c>
      <c r="G962" s="61" t="s">
        <v>1382</v>
      </c>
      <c r="H962" s="61">
        <v>4</v>
      </c>
      <c r="I962" s="61"/>
      <c r="J962" s="61"/>
      <c r="K962" s="61"/>
      <c r="L962" s="129"/>
    </row>
    <row r="963" spans="2:12" s="5" customFormat="1" ht="15.75">
      <c r="B963" s="368"/>
      <c r="C963" s="357"/>
      <c r="D963" s="180">
        <v>19</v>
      </c>
      <c r="E963" s="129" t="s">
        <v>166</v>
      </c>
      <c r="F963" s="61" t="s">
        <v>127</v>
      </c>
      <c r="G963" s="61" t="s">
        <v>1384</v>
      </c>
      <c r="H963" s="61" t="s">
        <v>1382</v>
      </c>
      <c r="I963" s="61">
        <v>3</v>
      </c>
      <c r="J963" s="61"/>
      <c r="K963" s="61"/>
      <c r="L963" s="129"/>
    </row>
    <row r="964" spans="2:12" s="5" customFormat="1" ht="15.75">
      <c r="B964" s="368"/>
      <c r="C964" s="357"/>
      <c r="D964" s="180">
        <v>20</v>
      </c>
      <c r="E964" s="129" t="s">
        <v>194</v>
      </c>
      <c r="F964" s="61" t="s">
        <v>125</v>
      </c>
      <c r="G964" s="61" t="s">
        <v>1546</v>
      </c>
      <c r="H964" s="61"/>
      <c r="I964" s="61"/>
      <c r="J964" s="61"/>
      <c r="K964" s="61"/>
      <c r="L964" s="129"/>
    </row>
    <row r="965" spans="2:12" s="5" customFormat="1" ht="15.75">
      <c r="B965" s="368"/>
      <c r="C965" s="357"/>
      <c r="D965" s="180">
        <v>21</v>
      </c>
      <c r="E965" s="180" t="s">
        <v>195</v>
      </c>
      <c r="F965" s="61" t="s">
        <v>81</v>
      </c>
      <c r="G965" s="61" t="s">
        <v>196</v>
      </c>
      <c r="H965" s="61" t="s">
        <v>197</v>
      </c>
      <c r="I965" s="61" t="s">
        <v>197</v>
      </c>
      <c r="J965" s="61"/>
      <c r="K965" s="61"/>
      <c r="L965" s="180"/>
    </row>
    <row r="966" spans="2:12" s="5" customFormat="1" ht="15.75">
      <c r="B966" s="368"/>
      <c r="C966" s="357"/>
      <c r="D966" s="180">
        <v>22</v>
      </c>
      <c r="E966" s="180"/>
      <c r="F966" s="61" t="s">
        <v>81</v>
      </c>
      <c r="G966" s="61" t="s">
        <v>198</v>
      </c>
      <c r="H966" s="61" t="s">
        <v>199</v>
      </c>
      <c r="I966" s="61" t="s">
        <v>197</v>
      </c>
      <c r="J966" s="61" t="s">
        <v>197</v>
      </c>
      <c r="K966" s="61"/>
      <c r="L966" s="180"/>
    </row>
    <row r="967" spans="2:12" s="5" customFormat="1" ht="15.75">
      <c r="B967" s="368"/>
      <c r="C967" s="357"/>
      <c r="D967" s="180">
        <v>23</v>
      </c>
      <c r="E967" s="129" t="s">
        <v>146</v>
      </c>
      <c r="F967" s="61" t="s">
        <v>123</v>
      </c>
      <c r="G967" s="61"/>
      <c r="H967" s="61"/>
      <c r="I967" s="61"/>
      <c r="J967" s="61"/>
      <c r="K967" s="61"/>
      <c r="L967" s="129"/>
    </row>
    <row r="968" spans="2:12" s="5" customFormat="1" ht="15.75">
      <c r="B968" s="369"/>
      <c r="C968" s="358"/>
      <c r="D968" s="129"/>
      <c r="E968" s="129"/>
      <c r="F968" s="61"/>
      <c r="G968" s="61"/>
      <c r="H968" s="61"/>
      <c r="I968" s="61"/>
      <c r="J968" s="61"/>
      <c r="K968" s="61"/>
      <c r="L968" s="129"/>
    </row>
    <row r="969" spans="2:12" s="5" customFormat="1" ht="15.75">
      <c r="B969" s="367" t="s">
        <v>1393</v>
      </c>
      <c r="C969" s="356" t="s">
        <v>1728</v>
      </c>
      <c r="D969" s="129">
        <v>1</v>
      </c>
      <c r="E969" s="129" t="s">
        <v>1641</v>
      </c>
      <c r="F969" s="61" t="s">
        <v>87</v>
      </c>
      <c r="G969" s="61" t="s">
        <v>1642</v>
      </c>
      <c r="H969" s="61"/>
      <c r="I969" s="61"/>
      <c r="J969" s="61"/>
      <c r="K969" s="61"/>
      <c r="L969" s="129"/>
    </row>
    <row r="970" spans="2:12" s="5" customFormat="1" ht="15.75">
      <c r="B970" s="368"/>
      <c r="C970" s="357"/>
      <c r="D970" s="129">
        <v>2</v>
      </c>
      <c r="E970" s="129" t="s">
        <v>142</v>
      </c>
      <c r="F970" s="61" t="s">
        <v>122</v>
      </c>
      <c r="G970" s="61"/>
      <c r="H970" s="61"/>
      <c r="I970" s="61"/>
      <c r="J970" s="61"/>
      <c r="K970" s="61"/>
      <c r="L970" s="129"/>
    </row>
    <row r="971" spans="2:12" s="5" customFormat="1" ht="15.75">
      <c r="B971" s="368"/>
      <c r="C971" s="357"/>
      <c r="D971" s="180">
        <v>3</v>
      </c>
      <c r="E971" s="180"/>
      <c r="F971" s="61" t="s">
        <v>1933</v>
      </c>
      <c r="G971" s="61">
        <v>100</v>
      </c>
      <c r="H971" s="61"/>
      <c r="I971" s="61"/>
      <c r="J971" s="61"/>
      <c r="K971" s="61"/>
      <c r="L971" s="180"/>
    </row>
    <row r="972" spans="2:12" s="5" customFormat="1" ht="15.75">
      <c r="B972" s="368"/>
      <c r="C972" s="357"/>
      <c r="D972" s="180">
        <v>4</v>
      </c>
      <c r="E972" s="129"/>
      <c r="F972" s="61" t="s">
        <v>1383</v>
      </c>
      <c r="G972" s="61">
        <v>3</v>
      </c>
      <c r="H972" s="61" t="s">
        <v>1294</v>
      </c>
      <c r="I972" s="61">
        <v>4</v>
      </c>
      <c r="J972" s="61"/>
      <c r="K972" s="61"/>
      <c r="L972" s="129"/>
    </row>
    <row r="973" spans="2:12" s="5" customFormat="1" ht="15.75">
      <c r="B973" s="368"/>
      <c r="C973" s="357"/>
      <c r="D973" s="180">
        <v>5</v>
      </c>
      <c r="E973" s="129" t="s">
        <v>1376</v>
      </c>
      <c r="F973" s="61" t="s">
        <v>130</v>
      </c>
      <c r="G973" s="61" t="s">
        <v>162</v>
      </c>
      <c r="H973" s="61" t="s">
        <v>1294</v>
      </c>
      <c r="I973" s="61"/>
      <c r="J973" s="61"/>
      <c r="K973" s="61"/>
      <c r="L973" s="129"/>
    </row>
    <row r="974" spans="2:12" s="5" customFormat="1" ht="15.75">
      <c r="B974" s="368"/>
      <c r="C974" s="357"/>
      <c r="D974" s="180">
        <v>6</v>
      </c>
      <c r="E974" s="129"/>
      <c r="F974" s="61" t="s">
        <v>131</v>
      </c>
      <c r="G974" s="61" t="s">
        <v>162</v>
      </c>
      <c r="H974" s="61">
        <v>1</v>
      </c>
      <c r="I974" s="61"/>
      <c r="J974" s="61"/>
      <c r="K974" s="61"/>
      <c r="L974" s="129"/>
    </row>
    <row r="975" spans="2:12" s="5" customFormat="1" ht="15.75">
      <c r="B975" s="368"/>
      <c r="C975" s="357"/>
      <c r="D975" s="180">
        <v>7</v>
      </c>
      <c r="E975" s="180"/>
      <c r="F975" s="61" t="s">
        <v>1933</v>
      </c>
      <c r="G975" s="61">
        <v>100</v>
      </c>
      <c r="H975" s="61"/>
      <c r="I975" s="61"/>
      <c r="J975" s="61"/>
      <c r="K975" s="61"/>
      <c r="L975" s="180"/>
    </row>
    <row r="976" spans="2:12" s="5" customFormat="1" ht="15.75">
      <c r="B976" s="368"/>
      <c r="C976" s="357"/>
      <c r="D976" s="180">
        <v>8</v>
      </c>
      <c r="E976" s="129"/>
      <c r="F976" s="61" t="s">
        <v>135</v>
      </c>
      <c r="G976" s="61">
        <v>7</v>
      </c>
      <c r="H976" s="61" t="s">
        <v>1294</v>
      </c>
      <c r="I976" s="61" t="s">
        <v>162</v>
      </c>
      <c r="J976" s="61"/>
      <c r="K976" s="61"/>
      <c r="L976" s="129"/>
    </row>
    <row r="977" spans="2:12" s="5" customFormat="1" ht="15.75">
      <c r="B977" s="368"/>
      <c r="C977" s="357"/>
      <c r="D977" s="180">
        <v>9</v>
      </c>
      <c r="E977" s="180"/>
      <c r="F977" s="61" t="s">
        <v>1933</v>
      </c>
      <c r="G977" s="61">
        <v>100</v>
      </c>
      <c r="H977" s="61"/>
      <c r="I977" s="61"/>
      <c r="J977" s="61"/>
      <c r="K977" s="61"/>
      <c r="L977" s="180"/>
    </row>
    <row r="978" spans="2:12" s="5" customFormat="1" ht="15.75">
      <c r="B978" s="368"/>
      <c r="C978" s="357"/>
      <c r="D978" s="180">
        <v>10</v>
      </c>
      <c r="E978" s="129"/>
      <c r="F978" s="61" t="s">
        <v>1390</v>
      </c>
      <c r="G978" s="61" t="s">
        <v>1382</v>
      </c>
      <c r="H978" s="61" t="s">
        <v>1294</v>
      </c>
      <c r="I978" s="61"/>
      <c r="J978" s="61"/>
      <c r="K978" s="61"/>
      <c r="L978" s="129"/>
    </row>
    <row r="979" spans="2:12" s="5" customFormat="1" ht="15.75">
      <c r="B979" s="368"/>
      <c r="C979" s="357"/>
      <c r="D979" s="180">
        <v>11</v>
      </c>
      <c r="E979" s="129"/>
      <c r="F979" s="61" t="s">
        <v>1388</v>
      </c>
      <c r="G979" s="61" t="s">
        <v>1382</v>
      </c>
      <c r="H979" s="61" t="s">
        <v>1389</v>
      </c>
      <c r="I979" s="61"/>
      <c r="J979" s="61"/>
      <c r="K979" s="61"/>
      <c r="L979" s="129"/>
    </row>
    <row r="980" spans="2:12" s="5" customFormat="1" ht="15.75">
      <c r="B980" s="368"/>
      <c r="C980" s="357"/>
      <c r="D980" s="180">
        <v>12</v>
      </c>
      <c r="E980" s="129"/>
      <c r="F980" s="61" t="s">
        <v>1391</v>
      </c>
      <c r="G980" s="61">
        <v>9</v>
      </c>
      <c r="H980" s="61" t="s">
        <v>1382</v>
      </c>
      <c r="I980" s="61">
        <v>3</v>
      </c>
      <c r="J980" s="61"/>
      <c r="K980" s="61"/>
      <c r="L980" s="129"/>
    </row>
    <row r="981" spans="2:12" s="5" customFormat="1" ht="15.75">
      <c r="B981" s="368"/>
      <c r="C981" s="357"/>
      <c r="D981" s="180">
        <v>13</v>
      </c>
      <c r="E981" s="129"/>
      <c r="F981" s="61" t="s">
        <v>1390</v>
      </c>
      <c r="G981" s="61" t="s">
        <v>1382</v>
      </c>
      <c r="H981" s="61" t="s">
        <v>1294</v>
      </c>
      <c r="I981" s="61"/>
      <c r="J981" s="61"/>
      <c r="K981" s="61"/>
      <c r="L981" s="129"/>
    </row>
    <row r="982" spans="2:12" s="5" customFormat="1" ht="15.75">
      <c r="B982" s="368"/>
      <c r="C982" s="357"/>
      <c r="D982" s="180">
        <v>14</v>
      </c>
      <c r="E982" s="129" t="s">
        <v>166</v>
      </c>
      <c r="F982" s="61" t="s">
        <v>127</v>
      </c>
      <c r="G982" s="61" t="s">
        <v>1331</v>
      </c>
      <c r="H982" s="61" t="s">
        <v>162</v>
      </c>
      <c r="I982" s="61">
        <v>1</v>
      </c>
      <c r="J982" s="61"/>
      <c r="K982" s="61"/>
      <c r="L982" s="129"/>
    </row>
    <row r="983" spans="2:12" s="5" customFormat="1" ht="15.75">
      <c r="B983" s="368"/>
      <c r="C983" s="357"/>
      <c r="D983" s="180">
        <v>15</v>
      </c>
      <c r="E983" s="180"/>
      <c r="F983" s="61" t="s">
        <v>125</v>
      </c>
      <c r="G983" s="61">
        <v>100</v>
      </c>
      <c r="H983" s="61"/>
      <c r="I983" s="61"/>
      <c r="J983" s="61"/>
      <c r="K983" s="61"/>
      <c r="L983" s="180"/>
    </row>
    <row r="984" spans="2:12" s="5" customFormat="1" ht="15.75">
      <c r="B984" s="368"/>
      <c r="C984" s="357"/>
      <c r="D984" s="180">
        <v>16</v>
      </c>
      <c r="E984" s="129" t="s">
        <v>163</v>
      </c>
      <c r="F984" s="61" t="s">
        <v>164</v>
      </c>
      <c r="G984" s="61">
        <v>1</v>
      </c>
      <c r="H984" s="61">
        <v>4</v>
      </c>
      <c r="I984" s="61" t="s">
        <v>165</v>
      </c>
      <c r="J984" s="61"/>
      <c r="K984" s="61"/>
      <c r="L984" s="129"/>
    </row>
    <row r="985" spans="2:12" s="5" customFormat="1" ht="15.75">
      <c r="B985" s="368"/>
      <c r="C985" s="357"/>
      <c r="D985" s="180">
        <v>17</v>
      </c>
      <c r="E985" s="129"/>
      <c r="F985" s="61" t="s">
        <v>132</v>
      </c>
      <c r="G985" s="61" t="s">
        <v>1382</v>
      </c>
      <c r="H985" s="61">
        <v>4</v>
      </c>
      <c r="I985" s="61"/>
      <c r="J985" s="61"/>
      <c r="K985" s="61"/>
      <c r="L985" s="129"/>
    </row>
    <row r="986" spans="2:12" s="5" customFormat="1" ht="15.75">
      <c r="B986" s="368"/>
      <c r="C986" s="357"/>
      <c r="D986" s="180">
        <v>18</v>
      </c>
      <c r="E986" s="129" t="s">
        <v>166</v>
      </c>
      <c r="F986" s="61" t="s">
        <v>127</v>
      </c>
      <c r="G986" s="61" t="s">
        <v>1384</v>
      </c>
      <c r="H986" s="61" t="s">
        <v>1382</v>
      </c>
      <c r="I986" s="61">
        <v>3</v>
      </c>
      <c r="J986" s="61"/>
      <c r="K986" s="61"/>
      <c r="L986" s="129"/>
    </row>
    <row r="987" spans="2:12" s="5" customFormat="1" ht="15.75">
      <c r="B987" s="368"/>
      <c r="C987" s="357"/>
      <c r="D987" s="180">
        <v>19</v>
      </c>
      <c r="E987" s="129" t="s">
        <v>313</v>
      </c>
      <c r="F987" s="61" t="s">
        <v>125</v>
      </c>
      <c r="G987" s="61">
        <v>10000</v>
      </c>
      <c r="H987" s="61"/>
      <c r="I987" s="61"/>
      <c r="J987" s="61"/>
      <c r="K987" s="61"/>
      <c r="L987" s="129"/>
    </row>
    <row r="988" spans="2:12" s="5" customFormat="1" ht="15.75">
      <c r="B988" s="368"/>
      <c r="C988" s="357"/>
      <c r="D988" s="180">
        <v>20</v>
      </c>
      <c r="E988" s="129" t="s">
        <v>146</v>
      </c>
      <c r="F988" s="61" t="s">
        <v>123</v>
      </c>
      <c r="G988" s="61"/>
      <c r="H988" s="61"/>
      <c r="I988" s="61"/>
      <c r="J988" s="61"/>
      <c r="K988" s="61"/>
      <c r="L988" s="129"/>
    </row>
    <row r="989" spans="2:12" s="5" customFormat="1" ht="15.75">
      <c r="B989" s="369"/>
      <c r="C989" s="358"/>
      <c r="D989" s="129"/>
      <c r="E989" s="129"/>
      <c r="F989" s="61"/>
      <c r="G989" s="61"/>
      <c r="H989" s="61"/>
      <c r="I989" s="61"/>
      <c r="J989" s="61"/>
      <c r="K989" s="61"/>
      <c r="L989" s="129"/>
    </row>
    <row r="990" spans="2:12" s="5" customFormat="1" ht="15.75">
      <c r="B990" s="367" t="s">
        <v>1394</v>
      </c>
      <c r="C990" s="356" t="s">
        <v>1728</v>
      </c>
      <c r="D990" s="129">
        <v>1</v>
      </c>
      <c r="E990" s="129" t="s">
        <v>1641</v>
      </c>
      <c r="F990" s="61" t="s">
        <v>87</v>
      </c>
      <c r="G990" s="61" t="s">
        <v>1642</v>
      </c>
      <c r="H990" s="61"/>
      <c r="I990" s="61"/>
      <c r="J990" s="61"/>
      <c r="K990" s="61"/>
      <c r="L990" s="129"/>
    </row>
    <row r="991" spans="2:12" s="5" customFormat="1" ht="15.75">
      <c r="B991" s="368"/>
      <c r="C991" s="357"/>
      <c r="D991" s="129">
        <v>2</v>
      </c>
      <c r="E991" s="129" t="s">
        <v>142</v>
      </c>
      <c r="F991" s="61" t="s">
        <v>122</v>
      </c>
      <c r="G991" s="61"/>
      <c r="H991" s="61"/>
      <c r="I991" s="61"/>
      <c r="J991" s="61"/>
      <c r="K991" s="61"/>
      <c r="L991" s="129"/>
    </row>
    <row r="992" spans="2:12" s="5" customFormat="1" ht="15.75">
      <c r="B992" s="368"/>
      <c r="C992" s="357"/>
      <c r="D992" s="180">
        <v>3</v>
      </c>
      <c r="E992" s="180"/>
      <c r="F992" s="61" t="s">
        <v>1933</v>
      </c>
      <c r="G992" s="61">
        <v>100</v>
      </c>
      <c r="H992" s="61"/>
      <c r="I992" s="61"/>
      <c r="J992" s="61"/>
      <c r="K992" s="61"/>
      <c r="L992" s="180"/>
    </row>
    <row r="993" spans="2:12" s="5" customFormat="1" ht="15.75">
      <c r="B993" s="368"/>
      <c r="C993" s="357"/>
      <c r="D993" s="180">
        <v>4</v>
      </c>
      <c r="E993" s="129"/>
      <c r="F993" s="61" t="s">
        <v>1383</v>
      </c>
      <c r="G993" s="61">
        <v>3</v>
      </c>
      <c r="H993" s="61" t="s">
        <v>1294</v>
      </c>
      <c r="I993" s="61">
        <v>7</v>
      </c>
      <c r="J993" s="61"/>
      <c r="K993" s="61"/>
      <c r="L993" s="129"/>
    </row>
    <row r="994" spans="2:12" s="5" customFormat="1" ht="15.75">
      <c r="B994" s="368"/>
      <c r="C994" s="357"/>
      <c r="D994" s="180">
        <v>5</v>
      </c>
      <c r="E994" s="129" t="s">
        <v>1376</v>
      </c>
      <c r="F994" s="61" t="s">
        <v>130</v>
      </c>
      <c r="G994" s="61" t="s">
        <v>162</v>
      </c>
      <c r="H994" s="61" t="s">
        <v>1294</v>
      </c>
      <c r="I994" s="61"/>
      <c r="J994" s="61"/>
      <c r="K994" s="61"/>
      <c r="L994" s="129"/>
    </row>
    <row r="995" spans="2:12" s="5" customFormat="1" ht="15.75">
      <c r="B995" s="368"/>
      <c r="C995" s="357"/>
      <c r="D995" s="180">
        <v>6</v>
      </c>
      <c r="E995" s="129"/>
      <c r="F995" s="61" t="s">
        <v>131</v>
      </c>
      <c r="G995" s="61" t="s">
        <v>162</v>
      </c>
      <c r="H995" s="61">
        <v>1</v>
      </c>
      <c r="I995" s="61"/>
      <c r="J995" s="61"/>
      <c r="K995" s="61"/>
      <c r="L995" s="129"/>
    </row>
    <row r="996" spans="2:12" s="5" customFormat="1" ht="15.75">
      <c r="B996" s="368"/>
      <c r="C996" s="357"/>
      <c r="D996" s="180">
        <v>7</v>
      </c>
      <c r="E996" s="180"/>
      <c r="F996" s="61" t="s">
        <v>1933</v>
      </c>
      <c r="G996" s="61">
        <v>100</v>
      </c>
      <c r="H996" s="61"/>
      <c r="I996" s="61"/>
      <c r="J996" s="61"/>
      <c r="K996" s="61"/>
      <c r="L996" s="180"/>
    </row>
    <row r="997" spans="2:12" s="5" customFormat="1" ht="15.75">
      <c r="B997" s="368"/>
      <c r="C997" s="357"/>
      <c r="D997" s="180">
        <v>8</v>
      </c>
      <c r="E997" s="129"/>
      <c r="F997" s="61" t="s">
        <v>135</v>
      </c>
      <c r="G997" s="61">
        <v>7</v>
      </c>
      <c r="H997" s="61" t="s">
        <v>1294</v>
      </c>
      <c r="I997" s="61" t="s">
        <v>162</v>
      </c>
      <c r="J997" s="61"/>
      <c r="K997" s="61"/>
      <c r="L997" s="129"/>
    </row>
    <row r="998" spans="2:12" s="5" customFormat="1" ht="15.75">
      <c r="B998" s="368"/>
      <c r="C998" s="357"/>
      <c r="D998" s="180">
        <v>9</v>
      </c>
      <c r="E998" s="180"/>
      <c r="F998" s="61" t="s">
        <v>1933</v>
      </c>
      <c r="G998" s="61">
        <v>100</v>
      </c>
      <c r="H998" s="61"/>
      <c r="I998" s="61"/>
      <c r="J998" s="61"/>
      <c r="K998" s="61"/>
      <c r="L998" s="180"/>
    </row>
    <row r="999" spans="2:12" s="5" customFormat="1" ht="15.75">
      <c r="B999" s="368"/>
      <c r="C999" s="357"/>
      <c r="D999" s="180">
        <v>10</v>
      </c>
      <c r="E999" s="129"/>
      <c r="F999" s="61" t="s">
        <v>1390</v>
      </c>
      <c r="G999" s="61" t="s">
        <v>1382</v>
      </c>
      <c r="H999" s="61" t="s">
        <v>1294</v>
      </c>
      <c r="I999" s="61"/>
      <c r="J999" s="61"/>
      <c r="K999" s="61"/>
      <c r="L999" s="129"/>
    </row>
    <row r="1000" spans="2:12" s="5" customFormat="1" ht="15.75">
      <c r="B1000" s="368"/>
      <c r="C1000" s="357"/>
      <c r="D1000" s="180">
        <v>11</v>
      </c>
      <c r="E1000" s="129"/>
      <c r="F1000" s="61" t="s">
        <v>1388</v>
      </c>
      <c r="G1000" s="61" t="s">
        <v>1382</v>
      </c>
      <c r="H1000" s="61" t="s">
        <v>1389</v>
      </c>
      <c r="I1000" s="61"/>
      <c r="J1000" s="61"/>
      <c r="K1000" s="61"/>
      <c r="L1000" s="129"/>
    </row>
    <row r="1001" spans="2:12" s="5" customFormat="1" ht="15.75">
      <c r="B1001" s="368"/>
      <c r="C1001" s="357"/>
      <c r="D1001" s="180">
        <v>12</v>
      </c>
      <c r="E1001" s="129"/>
      <c r="F1001" s="61" t="s">
        <v>1383</v>
      </c>
      <c r="G1001" s="61">
        <v>9</v>
      </c>
      <c r="H1001" s="61">
        <v>2</v>
      </c>
      <c r="I1001" s="61" t="s">
        <v>1382</v>
      </c>
      <c r="J1001" s="61"/>
      <c r="K1001" s="61"/>
      <c r="L1001" s="129"/>
    </row>
    <row r="1002" spans="2:12" s="5" customFormat="1" ht="15.75">
      <c r="B1002" s="368"/>
      <c r="C1002" s="357"/>
      <c r="D1002" s="180">
        <v>13</v>
      </c>
      <c r="E1002" s="129"/>
      <c r="F1002" s="61" t="s">
        <v>1390</v>
      </c>
      <c r="G1002" s="61" t="s">
        <v>1382</v>
      </c>
      <c r="H1002" s="61" t="s">
        <v>1294</v>
      </c>
      <c r="I1002" s="61"/>
      <c r="J1002" s="61"/>
      <c r="K1002" s="61"/>
      <c r="L1002" s="129"/>
    </row>
    <row r="1003" spans="2:12" s="5" customFormat="1" ht="15.75">
      <c r="B1003" s="368"/>
      <c r="C1003" s="357"/>
      <c r="D1003" s="180">
        <v>14</v>
      </c>
      <c r="E1003" s="129" t="s">
        <v>166</v>
      </c>
      <c r="F1003" s="61" t="s">
        <v>127</v>
      </c>
      <c r="G1003" s="61" t="s">
        <v>1331</v>
      </c>
      <c r="H1003" s="61" t="s">
        <v>162</v>
      </c>
      <c r="I1003" s="61">
        <v>1</v>
      </c>
      <c r="J1003" s="61"/>
      <c r="K1003" s="61"/>
      <c r="L1003" s="129"/>
    </row>
    <row r="1004" spans="2:12" s="5" customFormat="1" ht="15.75">
      <c r="B1004" s="368"/>
      <c r="C1004" s="357"/>
      <c r="D1004" s="180">
        <v>15</v>
      </c>
      <c r="E1004" s="180"/>
      <c r="F1004" s="61" t="s">
        <v>125</v>
      </c>
      <c r="G1004" s="61">
        <v>100</v>
      </c>
      <c r="H1004" s="61"/>
      <c r="I1004" s="61"/>
      <c r="J1004" s="61"/>
      <c r="K1004" s="61"/>
      <c r="L1004" s="180"/>
    </row>
    <row r="1005" spans="2:12" s="5" customFormat="1" ht="15.75">
      <c r="B1005" s="368"/>
      <c r="C1005" s="357"/>
      <c r="D1005" s="180">
        <v>16</v>
      </c>
      <c r="E1005" s="180" t="s">
        <v>1524</v>
      </c>
      <c r="F1005" s="61" t="s">
        <v>81</v>
      </c>
      <c r="G1005" s="61" t="s">
        <v>1517</v>
      </c>
      <c r="H1005" s="61"/>
      <c r="I1005" s="61"/>
      <c r="J1005" s="61"/>
      <c r="K1005" s="61"/>
      <c r="L1005" s="180"/>
    </row>
    <row r="1006" spans="2:12" s="5" customFormat="1" ht="15.75">
      <c r="B1006" s="368"/>
      <c r="C1006" s="357"/>
      <c r="D1006" s="180">
        <v>17</v>
      </c>
      <c r="E1006" s="129" t="s">
        <v>163</v>
      </c>
      <c r="F1006" s="61" t="s">
        <v>164</v>
      </c>
      <c r="G1006" s="61">
        <v>1</v>
      </c>
      <c r="H1006" s="61">
        <v>4</v>
      </c>
      <c r="I1006" s="61" t="s">
        <v>165</v>
      </c>
      <c r="J1006" s="61"/>
      <c r="K1006" s="61"/>
      <c r="L1006" s="129"/>
    </row>
    <row r="1007" spans="2:12" s="5" customFormat="1" ht="15.75">
      <c r="B1007" s="368"/>
      <c r="C1007" s="357"/>
      <c r="D1007" s="180">
        <v>18</v>
      </c>
      <c r="E1007" s="129"/>
      <c r="F1007" s="61" t="s">
        <v>132</v>
      </c>
      <c r="G1007" s="61" t="s">
        <v>1382</v>
      </c>
      <c r="H1007" s="61">
        <v>7</v>
      </c>
      <c r="I1007" s="61"/>
      <c r="J1007" s="61"/>
      <c r="K1007" s="61"/>
      <c r="L1007" s="129"/>
    </row>
    <row r="1008" spans="2:12" s="5" customFormat="1" ht="15.75">
      <c r="B1008" s="368"/>
      <c r="C1008" s="357"/>
      <c r="D1008" s="180">
        <v>19</v>
      </c>
      <c r="E1008" s="129" t="s">
        <v>166</v>
      </c>
      <c r="F1008" s="61" t="s">
        <v>127</v>
      </c>
      <c r="G1008" s="61" t="s">
        <v>1384</v>
      </c>
      <c r="H1008" s="61" t="s">
        <v>1382</v>
      </c>
      <c r="I1008" s="61">
        <v>3</v>
      </c>
      <c r="J1008" s="61"/>
      <c r="K1008" s="61"/>
      <c r="L1008" s="129"/>
    </row>
    <row r="1009" spans="2:12" s="5" customFormat="1" ht="15.75">
      <c r="B1009" s="368"/>
      <c r="C1009" s="357"/>
      <c r="D1009" s="180">
        <v>20</v>
      </c>
      <c r="E1009" s="129" t="s">
        <v>194</v>
      </c>
      <c r="F1009" s="61" t="s">
        <v>125</v>
      </c>
      <c r="G1009" s="61" t="s">
        <v>1546</v>
      </c>
      <c r="H1009" s="61"/>
      <c r="I1009" s="61"/>
      <c r="J1009" s="61"/>
      <c r="K1009" s="61"/>
      <c r="L1009" s="129"/>
    </row>
    <row r="1010" spans="2:12" s="5" customFormat="1" ht="15.75">
      <c r="B1010" s="368"/>
      <c r="C1010" s="357"/>
      <c r="D1010" s="180">
        <v>21</v>
      </c>
      <c r="E1010" s="180" t="s">
        <v>195</v>
      </c>
      <c r="F1010" s="61" t="s">
        <v>81</v>
      </c>
      <c r="G1010" s="61" t="s">
        <v>196</v>
      </c>
      <c r="H1010" s="61" t="s">
        <v>197</v>
      </c>
      <c r="I1010" s="61" t="s">
        <v>197</v>
      </c>
      <c r="J1010" s="61"/>
      <c r="K1010" s="61"/>
      <c r="L1010" s="180"/>
    </row>
    <row r="1011" spans="2:12" s="5" customFormat="1" ht="15.75">
      <c r="B1011" s="368"/>
      <c r="C1011" s="357"/>
      <c r="D1011" s="180">
        <v>22</v>
      </c>
      <c r="E1011" s="180"/>
      <c r="F1011" s="61" t="s">
        <v>81</v>
      </c>
      <c r="G1011" s="61" t="s">
        <v>198</v>
      </c>
      <c r="H1011" s="61" t="s">
        <v>199</v>
      </c>
      <c r="I1011" s="61" t="s">
        <v>197</v>
      </c>
      <c r="J1011" s="61" t="s">
        <v>1934</v>
      </c>
      <c r="K1011" s="61"/>
      <c r="L1011" s="180"/>
    </row>
    <row r="1012" spans="2:12" s="5" customFormat="1" ht="15.75">
      <c r="B1012" s="368"/>
      <c r="C1012" s="357"/>
      <c r="D1012" s="180">
        <v>23</v>
      </c>
      <c r="E1012" s="129" t="s">
        <v>146</v>
      </c>
      <c r="F1012" s="61" t="s">
        <v>123</v>
      </c>
      <c r="G1012" s="61"/>
      <c r="H1012" s="61"/>
      <c r="I1012" s="61"/>
      <c r="J1012" s="61"/>
      <c r="K1012" s="61"/>
      <c r="L1012" s="129"/>
    </row>
    <row r="1013" spans="2:12" s="5" customFormat="1" ht="15.75">
      <c r="B1013" s="369"/>
      <c r="C1013" s="358"/>
      <c r="D1013" s="129"/>
      <c r="E1013" s="129"/>
      <c r="F1013" s="61"/>
      <c r="G1013" s="61"/>
      <c r="H1013" s="61"/>
      <c r="I1013" s="61"/>
      <c r="J1013" s="61"/>
      <c r="K1013" s="61"/>
      <c r="L1013" s="129"/>
    </row>
    <row r="1014" spans="2:12" s="5" customFormat="1" ht="15.75">
      <c r="B1014" s="367" t="s">
        <v>1395</v>
      </c>
      <c r="C1014" s="356" t="s">
        <v>1728</v>
      </c>
      <c r="D1014" s="129">
        <v>1</v>
      </c>
      <c r="E1014" s="129" t="s">
        <v>1641</v>
      </c>
      <c r="F1014" s="61" t="s">
        <v>87</v>
      </c>
      <c r="G1014" s="61" t="s">
        <v>1642</v>
      </c>
      <c r="H1014" s="61"/>
      <c r="I1014" s="61"/>
      <c r="J1014" s="61"/>
      <c r="K1014" s="61"/>
      <c r="L1014" s="129"/>
    </row>
    <row r="1015" spans="2:12" s="5" customFormat="1" ht="15.75">
      <c r="B1015" s="368"/>
      <c r="C1015" s="357"/>
      <c r="D1015" s="129">
        <v>2</v>
      </c>
      <c r="E1015" s="129" t="s">
        <v>142</v>
      </c>
      <c r="F1015" s="61" t="s">
        <v>122</v>
      </c>
      <c r="G1015" s="61"/>
      <c r="H1015" s="61"/>
      <c r="I1015" s="61"/>
      <c r="J1015" s="61"/>
      <c r="K1015" s="61"/>
      <c r="L1015" s="129"/>
    </row>
    <row r="1016" spans="2:12" s="5" customFormat="1" ht="15.75">
      <c r="B1016" s="368"/>
      <c r="C1016" s="357"/>
      <c r="D1016" s="180">
        <v>3</v>
      </c>
      <c r="E1016" s="180"/>
      <c r="F1016" s="61" t="s">
        <v>1933</v>
      </c>
      <c r="G1016" s="61">
        <v>100</v>
      </c>
      <c r="H1016" s="61"/>
      <c r="I1016" s="61"/>
      <c r="J1016" s="61"/>
      <c r="K1016" s="61"/>
      <c r="L1016" s="180"/>
    </row>
    <row r="1017" spans="2:12" s="5" customFormat="1" ht="15.75">
      <c r="B1017" s="368"/>
      <c r="C1017" s="357"/>
      <c r="D1017" s="180">
        <v>4</v>
      </c>
      <c r="E1017" s="129"/>
      <c r="F1017" s="61" t="s">
        <v>1383</v>
      </c>
      <c r="G1017" s="61">
        <v>3</v>
      </c>
      <c r="H1017" s="61" t="s">
        <v>1294</v>
      </c>
      <c r="I1017" s="61">
        <v>7</v>
      </c>
      <c r="J1017" s="61"/>
      <c r="K1017" s="61"/>
      <c r="L1017" s="129"/>
    </row>
    <row r="1018" spans="2:12" s="5" customFormat="1" ht="15.75">
      <c r="B1018" s="368"/>
      <c r="C1018" s="357"/>
      <c r="D1018" s="180">
        <v>5</v>
      </c>
      <c r="E1018" s="129" t="s">
        <v>1376</v>
      </c>
      <c r="F1018" s="61" t="s">
        <v>130</v>
      </c>
      <c r="G1018" s="61" t="s">
        <v>162</v>
      </c>
      <c r="H1018" s="61" t="s">
        <v>1294</v>
      </c>
      <c r="I1018" s="61"/>
      <c r="J1018" s="61"/>
      <c r="K1018" s="61"/>
      <c r="L1018" s="129"/>
    </row>
    <row r="1019" spans="2:12" s="5" customFormat="1" ht="15.75">
      <c r="B1019" s="368"/>
      <c r="C1019" s="357"/>
      <c r="D1019" s="180">
        <v>6</v>
      </c>
      <c r="E1019" s="129"/>
      <c r="F1019" s="61" t="s">
        <v>131</v>
      </c>
      <c r="G1019" s="61" t="s">
        <v>162</v>
      </c>
      <c r="H1019" s="61">
        <v>1</v>
      </c>
      <c r="I1019" s="61"/>
      <c r="J1019" s="61"/>
      <c r="K1019" s="61"/>
      <c r="L1019" s="129"/>
    </row>
    <row r="1020" spans="2:12" s="5" customFormat="1" ht="15.75">
      <c r="B1020" s="368"/>
      <c r="C1020" s="357"/>
      <c r="D1020" s="180">
        <v>7</v>
      </c>
      <c r="E1020" s="180"/>
      <c r="F1020" s="61" t="s">
        <v>1933</v>
      </c>
      <c r="G1020" s="61">
        <v>100</v>
      </c>
      <c r="H1020" s="61"/>
      <c r="I1020" s="61"/>
      <c r="J1020" s="61"/>
      <c r="K1020" s="61"/>
      <c r="L1020" s="180"/>
    </row>
    <row r="1021" spans="2:12" s="5" customFormat="1" ht="15.75">
      <c r="B1021" s="368"/>
      <c r="C1021" s="357"/>
      <c r="D1021" s="180">
        <v>8</v>
      </c>
      <c r="E1021" s="129"/>
      <c r="F1021" s="61" t="s">
        <v>135</v>
      </c>
      <c r="G1021" s="61">
        <v>7</v>
      </c>
      <c r="H1021" s="61" t="s">
        <v>1294</v>
      </c>
      <c r="I1021" s="61" t="s">
        <v>162</v>
      </c>
      <c r="J1021" s="61"/>
      <c r="K1021" s="61"/>
      <c r="L1021" s="129"/>
    </row>
    <row r="1022" spans="2:12" s="5" customFormat="1" ht="15.75">
      <c r="B1022" s="368"/>
      <c r="C1022" s="357"/>
      <c r="D1022" s="180">
        <v>9</v>
      </c>
      <c r="E1022" s="180"/>
      <c r="F1022" s="61" t="s">
        <v>1933</v>
      </c>
      <c r="G1022" s="61">
        <v>100</v>
      </c>
      <c r="H1022" s="61"/>
      <c r="I1022" s="61"/>
      <c r="J1022" s="61"/>
      <c r="K1022" s="61"/>
      <c r="L1022" s="180"/>
    </row>
    <row r="1023" spans="2:12" s="5" customFormat="1" ht="15.75">
      <c r="B1023" s="368"/>
      <c r="C1023" s="357"/>
      <c r="D1023" s="180">
        <v>10</v>
      </c>
      <c r="E1023" s="129"/>
      <c r="F1023" s="61" t="s">
        <v>1390</v>
      </c>
      <c r="G1023" s="61" t="s">
        <v>1382</v>
      </c>
      <c r="H1023" s="61" t="s">
        <v>1294</v>
      </c>
      <c r="I1023" s="61"/>
      <c r="J1023" s="61"/>
      <c r="K1023" s="61"/>
      <c r="L1023" s="129"/>
    </row>
    <row r="1024" spans="2:12" s="5" customFormat="1" ht="15.75">
      <c r="B1024" s="368"/>
      <c r="C1024" s="357"/>
      <c r="D1024" s="180">
        <v>11</v>
      </c>
      <c r="E1024" s="129"/>
      <c r="F1024" s="61" t="s">
        <v>1388</v>
      </c>
      <c r="G1024" s="61" t="s">
        <v>1382</v>
      </c>
      <c r="H1024" s="61" t="s">
        <v>1389</v>
      </c>
      <c r="I1024" s="61"/>
      <c r="J1024" s="61"/>
      <c r="K1024" s="61"/>
      <c r="L1024" s="129"/>
    </row>
    <row r="1025" spans="2:12" s="5" customFormat="1" ht="15.75">
      <c r="B1025" s="368"/>
      <c r="C1025" s="357"/>
      <c r="D1025" s="180">
        <v>12</v>
      </c>
      <c r="E1025" s="129"/>
      <c r="F1025" s="61" t="s">
        <v>1383</v>
      </c>
      <c r="G1025" s="61">
        <v>9</v>
      </c>
      <c r="H1025" s="61">
        <v>2</v>
      </c>
      <c r="I1025" s="61" t="s">
        <v>1382</v>
      </c>
      <c r="J1025" s="61"/>
      <c r="K1025" s="61"/>
      <c r="L1025" s="129"/>
    </row>
    <row r="1026" spans="2:12" s="5" customFormat="1" ht="15.75">
      <c r="B1026" s="368"/>
      <c r="C1026" s="357"/>
      <c r="D1026" s="180">
        <v>13</v>
      </c>
      <c r="E1026" s="129"/>
      <c r="F1026" s="61" t="s">
        <v>1390</v>
      </c>
      <c r="G1026" s="61" t="s">
        <v>1382</v>
      </c>
      <c r="H1026" s="61" t="s">
        <v>1294</v>
      </c>
      <c r="I1026" s="61"/>
      <c r="J1026" s="61"/>
      <c r="K1026" s="61"/>
      <c r="L1026" s="129"/>
    </row>
    <row r="1027" spans="2:12" s="5" customFormat="1" ht="15.75">
      <c r="B1027" s="368"/>
      <c r="C1027" s="357"/>
      <c r="D1027" s="180">
        <v>14</v>
      </c>
      <c r="E1027" s="129" t="s">
        <v>166</v>
      </c>
      <c r="F1027" s="61" t="s">
        <v>127</v>
      </c>
      <c r="G1027" s="61" t="s">
        <v>1331</v>
      </c>
      <c r="H1027" s="61" t="s">
        <v>162</v>
      </c>
      <c r="I1027" s="61">
        <v>1</v>
      </c>
      <c r="J1027" s="61"/>
      <c r="K1027" s="61"/>
      <c r="L1027" s="129"/>
    </row>
    <row r="1028" spans="2:12" s="5" customFormat="1" ht="15.75">
      <c r="B1028" s="368"/>
      <c r="C1028" s="357"/>
      <c r="D1028" s="180">
        <v>15</v>
      </c>
      <c r="E1028" s="180"/>
      <c r="F1028" s="61" t="s">
        <v>125</v>
      </c>
      <c r="G1028" s="61">
        <v>100</v>
      </c>
      <c r="H1028" s="61"/>
      <c r="I1028" s="61"/>
      <c r="J1028" s="61"/>
      <c r="K1028" s="61"/>
      <c r="L1028" s="180"/>
    </row>
    <row r="1029" spans="2:12" s="5" customFormat="1" ht="15.75">
      <c r="B1029" s="368"/>
      <c r="C1029" s="357"/>
      <c r="D1029" s="180">
        <v>16</v>
      </c>
      <c r="E1029" s="129" t="s">
        <v>163</v>
      </c>
      <c r="F1029" s="61" t="s">
        <v>164</v>
      </c>
      <c r="G1029" s="61">
        <v>1</v>
      </c>
      <c r="H1029" s="61">
        <v>4</v>
      </c>
      <c r="I1029" s="61" t="s">
        <v>165</v>
      </c>
      <c r="J1029" s="61"/>
      <c r="K1029" s="61"/>
      <c r="L1029" s="129"/>
    </row>
    <row r="1030" spans="2:12" s="5" customFormat="1" ht="15.75">
      <c r="B1030" s="368"/>
      <c r="C1030" s="357"/>
      <c r="D1030" s="180">
        <v>17</v>
      </c>
      <c r="E1030" s="129"/>
      <c r="F1030" s="61" t="s">
        <v>132</v>
      </c>
      <c r="G1030" s="61" t="s">
        <v>1382</v>
      </c>
      <c r="H1030" s="61">
        <v>7</v>
      </c>
      <c r="I1030" s="61"/>
      <c r="J1030" s="61"/>
      <c r="K1030" s="61"/>
      <c r="L1030" s="129"/>
    </row>
    <row r="1031" spans="2:12" s="5" customFormat="1" ht="15.75">
      <c r="B1031" s="368"/>
      <c r="C1031" s="357"/>
      <c r="D1031" s="180">
        <v>18</v>
      </c>
      <c r="E1031" s="129" t="s">
        <v>166</v>
      </c>
      <c r="F1031" s="61" t="s">
        <v>127</v>
      </c>
      <c r="G1031" s="61" t="s">
        <v>1384</v>
      </c>
      <c r="H1031" s="61" t="s">
        <v>1382</v>
      </c>
      <c r="I1031" s="61">
        <v>3</v>
      </c>
      <c r="J1031" s="61"/>
      <c r="K1031" s="61"/>
      <c r="L1031" s="129"/>
    </row>
    <row r="1032" spans="2:12" s="5" customFormat="1" ht="15.75">
      <c r="B1032" s="368"/>
      <c r="C1032" s="357"/>
      <c r="D1032" s="180">
        <v>19</v>
      </c>
      <c r="E1032" s="129" t="s">
        <v>313</v>
      </c>
      <c r="F1032" s="61" t="s">
        <v>125</v>
      </c>
      <c r="G1032" s="61">
        <v>10000</v>
      </c>
      <c r="H1032" s="61"/>
      <c r="I1032" s="61"/>
      <c r="J1032" s="61"/>
      <c r="K1032" s="61"/>
      <c r="L1032" s="129"/>
    </row>
    <row r="1033" spans="2:12" s="5" customFormat="1" ht="15.75">
      <c r="B1033" s="368"/>
      <c r="C1033" s="357"/>
      <c r="D1033" s="180">
        <v>20</v>
      </c>
      <c r="E1033" s="129" t="s">
        <v>146</v>
      </c>
      <c r="F1033" s="61" t="s">
        <v>123</v>
      </c>
      <c r="G1033" s="61"/>
      <c r="H1033" s="61"/>
      <c r="I1033" s="61"/>
      <c r="J1033" s="61"/>
      <c r="K1033" s="61"/>
      <c r="L1033" s="129"/>
    </row>
    <row r="1034" spans="2:12" s="5" customFormat="1" ht="15.75">
      <c r="B1034" s="369"/>
      <c r="C1034" s="358"/>
      <c r="D1034" s="129"/>
      <c r="E1034" s="129"/>
      <c r="F1034" s="61"/>
      <c r="G1034" s="61"/>
      <c r="H1034" s="61"/>
      <c r="I1034" s="61"/>
      <c r="J1034" s="61"/>
      <c r="K1034" s="61"/>
      <c r="L1034" s="129"/>
    </row>
    <row r="1035" spans="2:12" s="5" customFormat="1" ht="15.75">
      <c r="B1035" s="367" t="s">
        <v>1396</v>
      </c>
      <c r="C1035" s="356" t="s">
        <v>1728</v>
      </c>
      <c r="D1035" s="129">
        <v>1</v>
      </c>
      <c r="E1035" s="129" t="s">
        <v>1641</v>
      </c>
      <c r="F1035" s="61" t="s">
        <v>87</v>
      </c>
      <c r="G1035" s="61" t="s">
        <v>1642</v>
      </c>
      <c r="H1035" s="61"/>
      <c r="I1035" s="61"/>
      <c r="J1035" s="61"/>
      <c r="K1035" s="61"/>
      <c r="L1035" s="129"/>
    </row>
    <row r="1036" spans="2:12" s="5" customFormat="1" ht="15.75">
      <c r="B1036" s="368"/>
      <c r="C1036" s="357"/>
      <c r="D1036" s="129">
        <v>2</v>
      </c>
      <c r="E1036" s="129" t="s">
        <v>142</v>
      </c>
      <c r="F1036" s="61" t="s">
        <v>122</v>
      </c>
      <c r="G1036" s="61"/>
      <c r="H1036" s="61"/>
      <c r="I1036" s="61"/>
      <c r="J1036" s="61"/>
      <c r="K1036" s="61"/>
      <c r="L1036" s="129"/>
    </row>
    <row r="1037" spans="2:12" s="5" customFormat="1" ht="15.75">
      <c r="B1037" s="368"/>
      <c r="C1037" s="357"/>
      <c r="D1037" s="180">
        <v>3</v>
      </c>
      <c r="E1037" s="180"/>
      <c r="F1037" s="61" t="s">
        <v>1933</v>
      </c>
      <c r="G1037" s="61">
        <v>100</v>
      </c>
      <c r="H1037" s="61"/>
      <c r="I1037" s="61"/>
      <c r="J1037" s="61"/>
      <c r="K1037" s="61"/>
      <c r="L1037" s="180"/>
    </row>
    <row r="1038" spans="2:12" s="5" customFormat="1" ht="15.75">
      <c r="B1038" s="368"/>
      <c r="C1038" s="357"/>
      <c r="D1038" s="180">
        <v>4</v>
      </c>
      <c r="E1038" s="129"/>
      <c r="F1038" s="61" t="s">
        <v>1383</v>
      </c>
      <c r="G1038" s="61">
        <v>3</v>
      </c>
      <c r="H1038" s="61" t="s">
        <v>1294</v>
      </c>
      <c r="I1038" s="61">
        <v>3</v>
      </c>
      <c r="J1038" s="61"/>
      <c r="K1038" s="61"/>
      <c r="L1038" s="129"/>
    </row>
    <row r="1039" spans="2:12" s="5" customFormat="1" ht="15.75">
      <c r="B1039" s="368"/>
      <c r="C1039" s="357"/>
      <c r="D1039" s="180">
        <v>5</v>
      </c>
      <c r="E1039" s="129" t="s">
        <v>1376</v>
      </c>
      <c r="F1039" s="61" t="s">
        <v>130</v>
      </c>
      <c r="G1039" s="61" t="s">
        <v>162</v>
      </c>
      <c r="H1039" s="61" t="s">
        <v>1294</v>
      </c>
      <c r="I1039" s="61"/>
      <c r="J1039" s="61"/>
      <c r="K1039" s="61"/>
      <c r="L1039" s="129"/>
    </row>
    <row r="1040" spans="2:12" s="5" customFormat="1" ht="15.75">
      <c r="B1040" s="368"/>
      <c r="C1040" s="357"/>
      <c r="D1040" s="180">
        <v>6</v>
      </c>
      <c r="E1040" s="129"/>
      <c r="F1040" s="61" t="s">
        <v>131</v>
      </c>
      <c r="G1040" s="61" t="s">
        <v>162</v>
      </c>
      <c r="H1040" s="61">
        <v>1</v>
      </c>
      <c r="I1040" s="61"/>
      <c r="J1040" s="61"/>
      <c r="K1040" s="61"/>
      <c r="L1040" s="129"/>
    </row>
    <row r="1041" spans="2:12" s="5" customFormat="1" ht="15.75">
      <c r="B1041" s="368"/>
      <c r="C1041" s="357"/>
      <c r="D1041" s="180">
        <v>7</v>
      </c>
      <c r="E1041" s="180"/>
      <c r="F1041" s="61" t="s">
        <v>1933</v>
      </c>
      <c r="G1041" s="61">
        <v>100</v>
      </c>
      <c r="H1041" s="61"/>
      <c r="I1041" s="61"/>
      <c r="J1041" s="61"/>
      <c r="K1041" s="61"/>
      <c r="L1041" s="180"/>
    </row>
    <row r="1042" spans="2:12" s="5" customFormat="1" ht="15.75">
      <c r="B1042" s="368"/>
      <c r="C1042" s="357"/>
      <c r="D1042" s="180">
        <v>8</v>
      </c>
      <c r="E1042" s="129"/>
      <c r="F1042" s="61" t="s">
        <v>135</v>
      </c>
      <c r="G1042" s="61">
        <v>7</v>
      </c>
      <c r="H1042" s="61" t="s">
        <v>1294</v>
      </c>
      <c r="I1042" s="61" t="s">
        <v>162</v>
      </c>
      <c r="J1042" s="61"/>
      <c r="K1042" s="61"/>
      <c r="L1042" s="129"/>
    </row>
    <row r="1043" spans="2:12" s="5" customFormat="1" ht="15.75">
      <c r="B1043" s="368"/>
      <c r="C1043" s="357"/>
      <c r="D1043" s="180">
        <v>9</v>
      </c>
      <c r="E1043" s="180"/>
      <c r="F1043" s="61" t="s">
        <v>1933</v>
      </c>
      <c r="G1043" s="61">
        <v>100</v>
      </c>
      <c r="H1043" s="61"/>
      <c r="I1043" s="61"/>
      <c r="J1043" s="61"/>
      <c r="K1043" s="61"/>
      <c r="L1043" s="180"/>
    </row>
    <row r="1044" spans="2:12" s="5" customFormat="1" ht="15.75">
      <c r="B1044" s="368"/>
      <c r="C1044" s="357"/>
      <c r="D1044" s="180">
        <v>10</v>
      </c>
      <c r="E1044" s="129"/>
      <c r="F1044" s="61" t="s">
        <v>1390</v>
      </c>
      <c r="G1044" s="61" t="s">
        <v>1382</v>
      </c>
      <c r="H1044" s="61" t="s">
        <v>1294</v>
      </c>
      <c r="I1044" s="61"/>
      <c r="J1044" s="61"/>
      <c r="K1044" s="61"/>
      <c r="L1044" s="129"/>
    </row>
    <row r="1045" spans="2:12" s="5" customFormat="1" ht="15.75">
      <c r="B1045" s="368"/>
      <c r="C1045" s="357"/>
      <c r="D1045" s="180">
        <v>11</v>
      </c>
      <c r="E1045" s="129"/>
      <c r="F1045" s="61" t="s">
        <v>1388</v>
      </c>
      <c r="G1045" s="61" t="s">
        <v>1382</v>
      </c>
      <c r="H1045" s="61" t="s">
        <v>1389</v>
      </c>
      <c r="I1045" s="61"/>
      <c r="J1045" s="61"/>
      <c r="K1045" s="61"/>
      <c r="L1045" s="129"/>
    </row>
    <row r="1046" spans="2:12" s="5" customFormat="1" ht="15.75">
      <c r="B1046" s="368"/>
      <c r="C1046" s="357"/>
      <c r="D1046" s="180">
        <v>12</v>
      </c>
      <c r="E1046" s="129"/>
      <c r="F1046" s="61" t="s">
        <v>1383</v>
      </c>
      <c r="G1046" s="61">
        <v>9</v>
      </c>
      <c r="H1046" s="61" t="s">
        <v>1382</v>
      </c>
      <c r="I1046" s="61">
        <v>2</v>
      </c>
      <c r="J1046" s="61"/>
      <c r="K1046" s="61"/>
      <c r="L1046" s="129"/>
    </row>
    <row r="1047" spans="2:12" s="5" customFormat="1" ht="15.75">
      <c r="B1047" s="368"/>
      <c r="C1047" s="357"/>
      <c r="D1047" s="180">
        <v>13</v>
      </c>
      <c r="E1047" s="129"/>
      <c r="F1047" s="61" t="s">
        <v>1390</v>
      </c>
      <c r="G1047" s="61" t="s">
        <v>1382</v>
      </c>
      <c r="H1047" s="61" t="s">
        <v>1294</v>
      </c>
      <c r="I1047" s="61"/>
      <c r="J1047" s="61"/>
      <c r="K1047" s="61"/>
      <c r="L1047" s="129"/>
    </row>
    <row r="1048" spans="2:12" s="5" customFormat="1" ht="15.75">
      <c r="B1048" s="368"/>
      <c r="C1048" s="357"/>
      <c r="D1048" s="180">
        <v>14</v>
      </c>
      <c r="E1048" s="129" t="s">
        <v>166</v>
      </c>
      <c r="F1048" s="61" t="s">
        <v>127</v>
      </c>
      <c r="G1048" s="61" t="s">
        <v>1331</v>
      </c>
      <c r="H1048" s="61" t="s">
        <v>162</v>
      </c>
      <c r="I1048" s="61">
        <v>1</v>
      </c>
      <c r="J1048" s="61"/>
      <c r="K1048" s="61"/>
      <c r="L1048" s="129"/>
    </row>
    <row r="1049" spans="2:12" s="5" customFormat="1" ht="15.75">
      <c r="B1049" s="368"/>
      <c r="C1049" s="357"/>
      <c r="D1049" s="180">
        <v>15</v>
      </c>
      <c r="E1049" s="180"/>
      <c r="F1049" s="61" t="s">
        <v>125</v>
      </c>
      <c r="G1049" s="61">
        <v>100</v>
      </c>
      <c r="H1049" s="61"/>
      <c r="I1049" s="61"/>
      <c r="J1049" s="61"/>
      <c r="K1049" s="61"/>
      <c r="L1049" s="180"/>
    </row>
    <row r="1050" spans="2:12" s="5" customFormat="1" ht="15.75">
      <c r="B1050" s="368"/>
      <c r="C1050" s="357"/>
      <c r="D1050" s="180">
        <v>16</v>
      </c>
      <c r="E1050" s="180" t="s">
        <v>1524</v>
      </c>
      <c r="F1050" s="61" t="s">
        <v>81</v>
      </c>
      <c r="G1050" s="61" t="s">
        <v>1517</v>
      </c>
      <c r="H1050" s="61"/>
      <c r="I1050" s="61"/>
      <c r="J1050" s="61"/>
      <c r="K1050" s="61"/>
      <c r="L1050" s="180"/>
    </row>
    <row r="1051" spans="2:12" s="5" customFormat="1" ht="15.75">
      <c r="B1051" s="368"/>
      <c r="C1051" s="357"/>
      <c r="D1051" s="180">
        <v>17</v>
      </c>
      <c r="E1051" s="129" t="s">
        <v>163</v>
      </c>
      <c r="F1051" s="61" t="s">
        <v>164</v>
      </c>
      <c r="G1051" s="61">
        <v>1</v>
      </c>
      <c r="H1051" s="61">
        <v>4</v>
      </c>
      <c r="I1051" s="61" t="s">
        <v>165</v>
      </c>
      <c r="J1051" s="61"/>
      <c r="K1051" s="61"/>
      <c r="L1051" s="129"/>
    </row>
    <row r="1052" spans="2:12" s="5" customFormat="1" ht="15.75">
      <c r="B1052" s="368"/>
      <c r="C1052" s="357"/>
      <c r="D1052" s="180">
        <v>18</v>
      </c>
      <c r="E1052" s="129"/>
      <c r="F1052" s="61" t="s">
        <v>132</v>
      </c>
      <c r="G1052" s="61" t="s">
        <v>1382</v>
      </c>
      <c r="H1052" s="61">
        <v>3</v>
      </c>
      <c r="I1052" s="61"/>
      <c r="J1052" s="61"/>
      <c r="K1052" s="61"/>
      <c r="L1052" s="129"/>
    </row>
    <row r="1053" spans="2:12" s="5" customFormat="1" ht="15.75">
      <c r="B1053" s="368"/>
      <c r="C1053" s="357"/>
      <c r="D1053" s="180">
        <v>19</v>
      </c>
      <c r="E1053" s="129" t="s">
        <v>166</v>
      </c>
      <c r="F1053" s="61" t="s">
        <v>127</v>
      </c>
      <c r="G1053" s="61" t="s">
        <v>1384</v>
      </c>
      <c r="H1053" s="61" t="s">
        <v>1382</v>
      </c>
      <c r="I1053" s="61">
        <v>3</v>
      </c>
      <c r="J1053" s="61"/>
      <c r="K1053" s="61"/>
      <c r="L1053" s="129"/>
    </row>
    <row r="1054" spans="2:12" s="5" customFormat="1" ht="15.75">
      <c r="B1054" s="368"/>
      <c r="C1054" s="357"/>
      <c r="D1054" s="180">
        <v>20</v>
      </c>
      <c r="E1054" s="129" t="s">
        <v>194</v>
      </c>
      <c r="F1054" s="61" t="s">
        <v>125</v>
      </c>
      <c r="G1054" s="61" t="s">
        <v>1546</v>
      </c>
      <c r="H1054" s="61"/>
      <c r="I1054" s="61"/>
      <c r="J1054" s="61"/>
      <c r="K1054" s="61"/>
      <c r="L1054" s="129"/>
    </row>
    <row r="1055" spans="2:12" s="5" customFormat="1" ht="15.75">
      <c r="B1055" s="368"/>
      <c r="C1055" s="357"/>
      <c r="D1055" s="180">
        <v>21</v>
      </c>
      <c r="E1055" s="180" t="s">
        <v>195</v>
      </c>
      <c r="F1055" s="61" t="s">
        <v>81</v>
      </c>
      <c r="G1055" s="61" t="s">
        <v>196</v>
      </c>
      <c r="H1055" s="61" t="s">
        <v>197</v>
      </c>
      <c r="I1055" s="61" t="s">
        <v>197</v>
      </c>
      <c r="J1055" s="61"/>
      <c r="K1055" s="61"/>
      <c r="L1055" s="180"/>
    </row>
    <row r="1056" spans="2:12" s="5" customFormat="1" ht="15.75">
      <c r="B1056" s="368"/>
      <c r="C1056" s="357"/>
      <c r="D1056" s="180">
        <v>22</v>
      </c>
      <c r="E1056" s="180"/>
      <c r="F1056" s="61" t="s">
        <v>81</v>
      </c>
      <c r="G1056" s="61" t="s">
        <v>198</v>
      </c>
      <c r="H1056" s="61" t="s">
        <v>199</v>
      </c>
      <c r="I1056" s="61" t="s">
        <v>197</v>
      </c>
      <c r="J1056" s="61" t="s">
        <v>1934</v>
      </c>
      <c r="K1056" s="61"/>
      <c r="L1056" s="180"/>
    </row>
    <row r="1057" spans="2:12" s="5" customFormat="1" ht="15.75">
      <c r="B1057" s="368"/>
      <c r="C1057" s="357"/>
      <c r="D1057" s="180">
        <v>23</v>
      </c>
      <c r="E1057" s="129" t="s">
        <v>146</v>
      </c>
      <c r="F1057" s="61" t="s">
        <v>123</v>
      </c>
      <c r="G1057" s="61"/>
      <c r="H1057" s="61"/>
      <c r="I1057" s="61"/>
      <c r="J1057" s="61"/>
      <c r="K1057" s="61"/>
      <c r="L1057" s="129"/>
    </row>
    <row r="1058" spans="2:12" s="5" customFormat="1" ht="15.75">
      <c r="B1058" s="369"/>
      <c r="C1058" s="358"/>
      <c r="D1058" s="129"/>
      <c r="E1058" s="129"/>
      <c r="F1058" s="61"/>
      <c r="G1058" s="61"/>
      <c r="H1058" s="61"/>
      <c r="I1058" s="61"/>
      <c r="J1058" s="61"/>
      <c r="K1058" s="61"/>
      <c r="L1058" s="129"/>
    </row>
    <row r="1059" spans="2:12" s="5" customFormat="1" ht="15.75">
      <c r="B1059" s="367" t="s">
        <v>1397</v>
      </c>
      <c r="C1059" s="356" t="s">
        <v>1728</v>
      </c>
      <c r="D1059" s="129">
        <v>1</v>
      </c>
      <c r="E1059" s="129" t="s">
        <v>1641</v>
      </c>
      <c r="F1059" s="61" t="s">
        <v>87</v>
      </c>
      <c r="G1059" s="61" t="s">
        <v>1642</v>
      </c>
      <c r="H1059" s="61"/>
      <c r="I1059" s="61"/>
      <c r="J1059" s="61"/>
      <c r="K1059" s="61"/>
      <c r="L1059" s="129"/>
    </row>
    <row r="1060" spans="2:12" s="5" customFormat="1" ht="15.75">
      <c r="B1060" s="368"/>
      <c r="C1060" s="357"/>
      <c r="D1060" s="129">
        <v>2</v>
      </c>
      <c r="E1060" s="129" t="s">
        <v>142</v>
      </c>
      <c r="F1060" s="61" t="s">
        <v>122</v>
      </c>
      <c r="G1060" s="61"/>
      <c r="H1060" s="61"/>
      <c r="I1060" s="61"/>
      <c r="J1060" s="61"/>
      <c r="K1060" s="61"/>
      <c r="L1060" s="129"/>
    </row>
    <row r="1061" spans="2:12" s="5" customFormat="1" ht="15.75">
      <c r="B1061" s="368"/>
      <c r="C1061" s="357"/>
      <c r="D1061" s="180">
        <v>3</v>
      </c>
      <c r="E1061" s="180"/>
      <c r="F1061" s="61" t="s">
        <v>1933</v>
      </c>
      <c r="G1061" s="61">
        <v>100</v>
      </c>
      <c r="H1061" s="61"/>
      <c r="I1061" s="61"/>
      <c r="J1061" s="61"/>
      <c r="K1061" s="61"/>
      <c r="L1061" s="180"/>
    </row>
    <row r="1062" spans="2:12" s="5" customFormat="1" ht="15.75">
      <c r="B1062" s="368"/>
      <c r="C1062" s="357"/>
      <c r="D1062" s="180">
        <v>4</v>
      </c>
      <c r="E1062" s="129"/>
      <c r="F1062" s="61" t="s">
        <v>1383</v>
      </c>
      <c r="G1062" s="61">
        <v>3</v>
      </c>
      <c r="H1062" s="61" t="s">
        <v>1294</v>
      </c>
      <c r="I1062" s="61">
        <v>3</v>
      </c>
      <c r="J1062" s="61"/>
      <c r="K1062" s="61"/>
      <c r="L1062" s="129"/>
    </row>
    <row r="1063" spans="2:12" s="5" customFormat="1" ht="15.75">
      <c r="B1063" s="368"/>
      <c r="C1063" s="357"/>
      <c r="D1063" s="180">
        <v>5</v>
      </c>
      <c r="E1063" s="129" t="s">
        <v>1376</v>
      </c>
      <c r="F1063" s="61" t="s">
        <v>130</v>
      </c>
      <c r="G1063" s="61" t="s">
        <v>162</v>
      </c>
      <c r="H1063" s="61" t="s">
        <v>1294</v>
      </c>
      <c r="I1063" s="61"/>
      <c r="J1063" s="61"/>
      <c r="K1063" s="61"/>
      <c r="L1063" s="129"/>
    </row>
    <row r="1064" spans="2:12" s="5" customFormat="1" ht="15.75">
      <c r="B1064" s="368"/>
      <c r="C1064" s="357"/>
      <c r="D1064" s="180">
        <v>6</v>
      </c>
      <c r="E1064" s="129"/>
      <c r="F1064" s="61" t="s">
        <v>131</v>
      </c>
      <c r="G1064" s="61" t="s">
        <v>162</v>
      </c>
      <c r="H1064" s="61">
        <v>1</v>
      </c>
      <c r="I1064" s="61"/>
      <c r="J1064" s="61"/>
      <c r="K1064" s="61"/>
      <c r="L1064" s="129"/>
    </row>
    <row r="1065" spans="2:12" s="5" customFormat="1" ht="15.75">
      <c r="B1065" s="368"/>
      <c r="C1065" s="357"/>
      <c r="D1065" s="180">
        <v>7</v>
      </c>
      <c r="E1065" s="180"/>
      <c r="F1065" s="61" t="s">
        <v>1933</v>
      </c>
      <c r="G1065" s="61">
        <v>100</v>
      </c>
      <c r="H1065" s="61"/>
      <c r="I1065" s="61"/>
      <c r="J1065" s="61"/>
      <c r="K1065" s="61"/>
      <c r="L1065" s="180"/>
    </row>
    <row r="1066" spans="2:12" s="5" customFormat="1" ht="15.75">
      <c r="B1066" s="368"/>
      <c r="C1066" s="357"/>
      <c r="D1066" s="180">
        <v>8</v>
      </c>
      <c r="E1066" s="129"/>
      <c r="F1066" s="61" t="s">
        <v>135</v>
      </c>
      <c r="G1066" s="61">
        <v>7</v>
      </c>
      <c r="H1066" s="61" t="s">
        <v>1294</v>
      </c>
      <c r="I1066" s="61" t="s">
        <v>162</v>
      </c>
      <c r="J1066" s="61"/>
      <c r="K1066" s="61"/>
      <c r="L1066" s="129"/>
    </row>
    <row r="1067" spans="2:12" s="5" customFormat="1" ht="15.75">
      <c r="B1067" s="368"/>
      <c r="C1067" s="357"/>
      <c r="D1067" s="180">
        <v>9</v>
      </c>
      <c r="E1067" s="180"/>
      <c r="F1067" s="61" t="s">
        <v>1933</v>
      </c>
      <c r="G1067" s="61">
        <v>100</v>
      </c>
      <c r="H1067" s="61"/>
      <c r="I1067" s="61"/>
      <c r="J1067" s="61"/>
      <c r="K1067" s="61"/>
      <c r="L1067" s="180"/>
    </row>
    <row r="1068" spans="2:12" s="5" customFormat="1" ht="15.75">
      <c r="B1068" s="368"/>
      <c r="C1068" s="357"/>
      <c r="D1068" s="180">
        <v>10</v>
      </c>
      <c r="E1068" s="129"/>
      <c r="F1068" s="61" t="s">
        <v>1390</v>
      </c>
      <c r="G1068" s="61" t="s">
        <v>1382</v>
      </c>
      <c r="H1068" s="61" t="s">
        <v>1294</v>
      </c>
      <c r="I1068" s="61"/>
      <c r="J1068" s="61"/>
      <c r="K1068" s="61"/>
      <c r="L1068" s="129"/>
    </row>
    <row r="1069" spans="2:12" s="5" customFormat="1" ht="15.75">
      <c r="B1069" s="368"/>
      <c r="C1069" s="357"/>
      <c r="D1069" s="180">
        <v>11</v>
      </c>
      <c r="E1069" s="129"/>
      <c r="F1069" s="61" t="s">
        <v>1388</v>
      </c>
      <c r="G1069" s="61" t="s">
        <v>1382</v>
      </c>
      <c r="H1069" s="61" t="s">
        <v>1389</v>
      </c>
      <c r="I1069" s="61"/>
      <c r="J1069" s="61"/>
      <c r="K1069" s="61"/>
      <c r="L1069" s="129"/>
    </row>
    <row r="1070" spans="2:12" s="5" customFormat="1" ht="15.75">
      <c r="B1070" s="368"/>
      <c r="C1070" s="357"/>
      <c r="D1070" s="180">
        <v>12</v>
      </c>
      <c r="E1070" s="129"/>
      <c r="F1070" s="61" t="s">
        <v>1383</v>
      </c>
      <c r="G1070" s="61">
        <v>9</v>
      </c>
      <c r="H1070" s="61" t="s">
        <v>1382</v>
      </c>
      <c r="I1070" s="61">
        <v>2</v>
      </c>
      <c r="J1070" s="61"/>
      <c r="K1070" s="61"/>
      <c r="L1070" s="129"/>
    </row>
    <row r="1071" spans="2:12" s="5" customFormat="1" ht="15.75">
      <c r="B1071" s="368"/>
      <c r="C1071" s="357"/>
      <c r="D1071" s="180">
        <v>13</v>
      </c>
      <c r="E1071" s="129"/>
      <c r="F1071" s="61" t="s">
        <v>1390</v>
      </c>
      <c r="G1071" s="61" t="s">
        <v>1382</v>
      </c>
      <c r="H1071" s="61" t="s">
        <v>1294</v>
      </c>
      <c r="I1071" s="61"/>
      <c r="J1071" s="61"/>
      <c r="K1071" s="61"/>
      <c r="L1071" s="129"/>
    </row>
    <row r="1072" spans="2:12" s="5" customFormat="1" ht="15.75">
      <c r="B1072" s="368"/>
      <c r="C1072" s="357"/>
      <c r="D1072" s="180">
        <v>14</v>
      </c>
      <c r="E1072" s="129" t="s">
        <v>166</v>
      </c>
      <c r="F1072" s="61" t="s">
        <v>127</v>
      </c>
      <c r="G1072" s="61" t="s">
        <v>1331</v>
      </c>
      <c r="H1072" s="61" t="s">
        <v>162</v>
      </c>
      <c r="I1072" s="61">
        <v>1</v>
      </c>
      <c r="J1072" s="61"/>
      <c r="K1072" s="61"/>
      <c r="L1072" s="129"/>
    </row>
    <row r="1073" spans="2:12" s="5" customFormat="1" ht="15.75">
      <c r="B1073" s="368"/>
      <c r="C1073" s="357"/>
      <c r="D1073" s="180">
        <v>15</v>
      </c>
      <c r="E1073" s="180"/>
      <c r="F1073" s="61" t="s">
        <v>125</v>
      </c>
      <c r="G1073" s="61">
        <v>100</v>
      </c>
      <c r="H1073" s="61"/>
      <c r="I1073" s="61"/>
      <c r="J1073" s="61"/>
      <c r="K1073" s="61"/>
      <c r="L1073" s="180"/>
    </row>
    <row r="1074" spans="2:12" s="5" customFormat="1" ht="15.75">
      <c r="B1074" s="368"/>
      <c r="C1074" s="357"/>
      <c r="D1074" s="180">
        <v>16</v>
      </c>
      <c r="E1074" s="129" t="s">
        <v>163</v>
      </c>
      <c r="F1074" s="61" t="s">
        <v>164</v>
      </c>
      <c r="G1074" s="61">
        <v>1</v>
      </c>
      <c r="H1074" s="61">
        <v>4</v>
      </c>
      <c r="I1074" s="61" t="s">
        <v>165</v>
      </c>
      <c r="J1074" s="61"/>
      <c r="K1074" s="61"/>
      <c r="L1074" s="129"/>
    </row>
    <row r="1075" spans="2:12" s="5" customFormat="1" ht="15.75">
      <c r="B1075" s="368"/>
      <c r="C1075" s="357"/>
      <c r="D1075" s="180">
        <v>17</v>
      </c>
      <c r="E1075" s="129"/>
      <c r="F1075" s="61" t="s">
        <v>132</v>
      </c>
      <c r="G1075" s="61" t="s">
        <v>1382</v>
      </c>
      <c r="H1075" s="61">
        <v>3</v>
      </c>
      <c r="I1075" s="61"/>
      <c r="J1075" s="61"/>
      <c r="K1075" s="61"/>
      <c r="L1075" s="129"/>
    </row>
    <row r="1076" spans="2:12" s="5" customFormat="1" ht="15.75">
      <c r="B1076" s="368"/>
      <c r="C1076" s="357"/>
      <c r="D1076" s="180">
        <v>18</v>
      </c>
      <c r="E1076" s="129" t="s">
        <v>166</v>
      </c>
      <c r="F1076" s="61" t="s">
        <v>127</v>
      </c>
      <c r="G1076" s="61" t="s">
        <v>1384</v>
      </c>
      <c r="H1076" s="61" t="s">
        <v>1382</v>
      </c>
      <c r="I1076" s="61">
        <v>3</v>
      </c>
      <c r="J1076" s="61"/>
      <c r="K1076" s="61"/>
      <c r="L1076" s="129"/>
    </row>
    <row r="1077" spans="2:12" s="5" customFormat="1" ht="15.75">
      <c r="B1077" s="368"/>
      <c r="C1077" s="357"/>
      <c r="D1077" s="180">
        <v>19</v>
      </c>
      <c r="E1077" s="129" t="s">
        <v>313</v>
      </c>
      <c r="F1077" s="61" t="s">
        <v>125</v>
      </c>
      <c r="G1077" s="61">
        <v>10000</v>
      </c>
      <c r="H1077" s="61"/>
      <c r="I1077" s="61"/>
      <c r="J1077" s="61"/>
      <c r="K1077" s="61"/>
      <c r="L1077" s="129"/>
    </row>
    <row r="1078" spans="2:12" s="5" customFormat="1" ht="15.75">
      <c r="B1078" s="368"/>
      <c r="C1078" s="357"/>
      <c r="D1078" s="180">
        <v>20</v>
      </c>
      <c r="E1078" s="129" t="s">
        <v>146</v>
      </c>
      <c r="F1078" s="61" t="s">
        <v>123</v>
      </c>
      <c r="G1078" s="61"/>
      <c r="H1078" s="61"/>
      <c r="I1078" s="61"/>
      <c r="J1078" s="61"/>
      <c r="K1078" s="61"/>
      <c r="L1078" s="129"/>
    </row>
    <row r="1079" spans="2:12" s="5" customFormat="1" ht="15.75">
      <c r="B1079" s="369"/>
      <c r="C1079" s="358"/>
      <c r="D1079" s="129"/>
      <c r="E1079" s="129"/>
      <c r="F1079" s="61"/>
      <c r="G1079" s="61"/>
      <c r="H1079" s="61"/>
      <c r="I1079" s="61"/>
      <c r="J1079" s="61"/>
      <c r="K1079" s="61"/>
      <c r="L1079" s="129"/>
    </row>
    <row r="1080" spans="2:12" s="5" customFormat="1" ht="15.75">
      <c r="B1080" s="370" t="s">
        <v>1398</v>
      </c>
      <c r="C1080" s="356" t="s">
        <v>1728</v>
      </c>
      <c r="D1080" s="129">
        <v>1</v>
      </c>
      <c r="E1080" s="129" t="s">
        <v>142</v>
      </c>
      <c r="F1080" s="61" t="s">
        <v>122</v>
      </c>
      <c r="G1080" s="61"/>
      <c r="H1080" s="61"/>
      <c r="I1080" s="61"/>
      <c r="J1080" s="61"/>
      <c r="K1080" s="61"/>
      <c r="L1080" s="129"/>
    </row>
    <row r="1081" spans="2:12" s="5" customFormat="1" ht="15.75">
      <c r="B1081" s="368"/>
      <c r="C1081" s="357"/>
      <c r="D1081" s="129">
        <v>2</v>
      </c>
      <c r="E1081" s="129" t="s">
        <v>1641</v>
      </c>
      <c r="F1081" s="61" t="s">
        <v>1399</v>
      </c>
      <c r="G1081" s="61" t="s">
        <v>1642</v>
      </c>
      <c r="H1081" s="61"/>
      <c r="I1081" s="61"/>
      <c r="J1081" s="61"/>
      <c r="K1081" s="61"/>
      <c r="L1081" s="129"/>
    </row>
    <row r="1082" spans="2:12" s="5" customFormat="1" ht="15.75">
      <c r="B1082" s="368"/>
      <c r="C1082" s="357"/>
      <c r="D1082" s="181">
        <v>3</v>
      </c>
      <c r="E1082" s="181"/>
      <c r="F1082" s="61" t="s">
        <v>1935</v>
      </c>
      <c r="G1082" s="61">
        <v>100</v>
      </c>
      <c r="H1082" s="61"/>
      <c r="I1082" s="61"/>
      <c r="J1082" s="61"/>
      <c r="K1082" s="61"/>
      <c r="L1082" s="181"/>
    </row>
    <row r="1083" spans="2:12" s="5" customFormat="1" ht="15.75">
      <c r="B1083" s="368"/>
      <c r="C1083" s="357"/>
      <c r="D1083" s="181">
        <v>4</v>
      </c>
      <c r="E1083" s="129"/>
      <c r="F1083" s="61" t="s">
        <v>135</v>
      </c>
      <c r="G1083" s="61">
        <v>3</v>
      </c>
      <c r="H1083" s="61" t="s">
        <v>1294</v>
      </c>
      <c r="I1083" s="61">
        <v>1</v>
      </c>
      <c r="J1083" s="61"/>
      <c r="K1083" s="61"/>
      <c r="L1083" s="129"/>
    </row>
    <row r="1084" spans="2:12" s="5" customFormat="1" ht="15.75">
      <c r="B1084" s="368"/>
      <c r="C1084" s="357"/>
      <c r="D1084" s="181">
        <v>5</v>
      </c>
      <c r="E1084" s="129" t="s">
        <v>1400</v>
      </c>
      <c r="F1084" s="61" t="s">
        <v>1401</v>
      </c>
      <c r="G1084" s="61" t="s">
        <v>1331</v>
      </c>
      <c r="H1084" s="61" t="s">
        <v>1294</v>
      </c>
      <c r="I1084" s="61">
        <v>1</v>
      </c>
      <c r="J1084" s="61"/>
      <c r="K1084" s="61"/>
      <c r="L1084" s="129"/>
    </row>
    <row r="1085" spans="2:12" s="5" customFormat="1" ht="15.75">
      <c r="B1085" s="368"/>
      <c r="C1085" s="357"/>
      <c r="D1085" s="181">
        <v>6</v>
      </c>
      <c r="E1085" s="129" t="s">
        <v>313</v>
      </c>
      <c r="F1085" s="61" t="s">
        <v>125</v>
      </c>
      <c r="G1085" s="61">
        <v>10000</v>
      </c>
      <c r="H1085" s="61"/>
      <c r="I1085" s="61"/>
      <c r="J1085" s="61"/>
      <c r="K1085" s="61"/>
      <c r="L1085" s="129"/>
    </row>
    <row r="1086" spans="2:12" s="5" customFormat="1" ht="15.75">
      <c r="B1086" s="368"/>
      <c r="C1086" s="357"/>
      <c r="D1086" s="181">
        <v>7</v>
      </c>
      <c r="E1086" s="129" t="s">
        <v>146</v>
      </c>
      <c r="F1086" s="61" t="s">
        <v>123</v>
      </c>
      <c r="G1086" s="61"/>
      <c r="H1086" s="61"/>
      <c r="I1086" s="61"/>
      <c r="J1086" s="61"/>
      <c r="K1086" s="61"/>
      <c r="L1086" s="129"/>
    </row>
    <row r="1087" spans="2:12" s="5" customFormat="1" ht="15.75">
      <c r="B1087" s="369"/>
      <c r="C1087" s="358"/>
      <c r="D1087" s="129"/>
      <c r="E1087" s="129"/>
      <c r="F1087" s="61"/>
      <c r="G1087" s="61"/>
      <c r="H1087" s="61"/>
      <c r="I1087" s="61"/>
      <c r="J1087" s="61"/>
      <c r="K1087" s="61"/>
      <c r="L1087" s="129"/>
    </row>
    <row r="1088" spans="2:12" s="5" customFormat="1" ht="15.75">
      <c r="B1088" s="370" t="s">
        <v>1403</v>
      </c>
      <c r="C1088" s="356" t="s">
        <v>1728</v>
      </c>
      <c r="D1088" s="129">
        <v>1</v>
      </c>
      <c r="E1088" s="129" t="s">
        <v>1641</v>
      </c>
      <c r="F1088" s="61" t="s">
        <v>87</v>
      </c>
      <c r="G1088" s="61" t="s">
        <v>1642</v>
      </c>
      <c r="H1088" s="61"/>
      <c r="I1088" s="61"/>
      <c r="J1088" s="61"/>
      <c r="K1088" s="61"/>
      <c r="L1088" s="129"/>
    </row>
    <row r="1089" spans="2:12" s="5" customFormat="1" ht="15.75">
      <c r="B1089" s="368"/>
      <c r="C1089" s="357"/>
      <c r="D1089" s="129">
        <v>2</v>
      </c>
      <c r="E1089" s="129" t="s">
        <v>142</v>
      </c>
      <c r="F1089" s="61" t="s">
        <v>122</v>
      </c>
      <c r="G1089" s="61"/>
      <c r="H1089" s="61"/>
      <c r="I1089" s="61"/>
      <c r="J1089" s="61"/>
      <c r="K1089" s="61"/>
      <c r="L1089" s="129"/>
    </row>
    <row r="1090" spans="2:12" s="5" customFormat="1" ht="15.75">
      <c r="B1090" s="368"/>
      <c r="C1090" s="357"/>
      <c r="D1090" s="180">
        <v>3</v>
      </c>
      <c r="E1090" s="129"/>
      <c r="F1090" s="61" t="s">
        <v>1390</v>
      </c>
      <c r="G1090" s="61" t="s">
        <v>1382</v>
      </c>
      <c r="H1090" s="61" t="s">
        <v>1294</v>
      </c>
      <c r="I1090" s="61"/>
      <c r="J1090" s="61"/>
      <c r="K1090" s="61"/>
      <c r="L1090" s="129"/>
    </row>
    <row r="1091" spans="2:12" s="5" customFormat="1" ht="15.75">
      <c r="B1091" s="368"/>
      <c r="C1091" s="357"/>
      <c r="D1091" s="180">
        <v>4</v>
      </c>
      <c r="E1091" s="129"/>
      <c r="F1091" s="61" t="s">
        <v>1402</v>
      </c>
      <c r="G1091" s="61" t="s">
        <v>1382</v>
      </c>
      <c r="H1091" s="61">
        <v>2</v>
      </c>
      <c r="I1091" s="61"/>
      <c r="J1091" s="61"/>
      <c r="K1091" s="61"/>
      <c r="L1091" s="129"/>
    </row>
    <row r="1092" spans="2:12" s="5" customFormat="1" ht="15.75">
      <c r="B1092" s="368"/>
      <c r="C1092" s="357"/>
      <c r="D1092" s="180">
        <v>5</v>
      </c>
      <c r="E1092" s="180"/>
      <c r="F1092" s="61" t="s">
        <v>1933</v>
      </c>
      <c r="G1092" s="61">
        <v>100</v>
      </c>
      <c r="H1092" s="61"/>
      <c r="I1092" s="61"/>
      <c r="J1092" s="61"/>
      <c r="K1092" s="61"/>
      <c r="L1092" s="180"/>
    </row>
    <row r="1093" spans="2:12" s="5" customFormat="1" ht="15.75">
      <c r="B1093" s="368"/>
      <c r="C1093" s="357"/>
      <c r="D1093" s="180">
        <v>6</v>
      </c>
      <c r="E1093" s="129"/>
      <c r="F1093" s="61" t="s">
        <v>135</v>
      </c>
      <c r="G1093" s="61">
        <v>5</v>
      </c>
      <c r="H1093" s="61" t="s">
        <v>1294</v>
      </c>
      <c r="I1093" s="61" t="s">
        <v>162</v>
      </c>
      <c r="J1093" s="61"/>
      <c r="K1093" s="61"/>
      <c r="L1093" s="129"/>
    </row>
    <row r="1094" spans="2:12" s="5" customFormat="1" ht="15.75">
      <c r="B1094" s="368"/>
      <c r="C1094" s="357"/>
      <c r="D1094" s="180">
        <v>7</v>
      </c>
      <c r="E1094" s="180" t="s">
        <v>1560</v>
      </c>
      <c r="F1094" s="61" t="s">
        <v>1555</v>
      </c>
      <c r="G1094" s="61" t="s">
        <v>1556</v>
      </c>
      <c r="H1094" s="61">
        <v>3</v>
      </c>
      <c r="I1094" s="61"/>
      <c r="J1094" s="61"/>
      <c r="K1094" s="61"/>
      <c r="L1094" s="144"/>
    </row>
    <row r="1095" spans="2:12" s="5" customFormat="1" ht="15.75">
      <c r="B1095" s="368"/>
      <c r="C1095" s="357"/>
      <c r="D1095" s="180">
        <v>8</v>
      </c>
      <c r="E1095" s="180"/>
      <c r="F1095" s="61" t="s">
        <v>1933</v>
      </c>
      <c r="G1095" s="61">
        <v>20</v>
      </c>
      <c r="H1095" s="61"/>
      <c r="I1095" s="61"/>
      <c r="J1095" s="61"/>
      <c r="K1095" s="61"/>
      <c r="L1095" s="180"/>
    </row>
    <row r="1096" spans="2:12" s="5" customFormat="1" ht="15.75">
      <c r="B1096" s="368"/>
      <c r="C1096" s="357"/>
      <c r="D1096" s="180">
        <v>9</v>
      </c>
      <c r="E1096" s="144"/>
      <c r="F1096" s="61" t="s">
        <v>127</v>
      </c>
      <c r="G1096" s="61" t="s">
        <v>1331</v>
      </c>
      <c r="H1096" s="61" t="s">
        <v>162</v>
      </c>
      <c r="I1096" s="61" t="s">
        <v>1556</v>
      </c>
      <c r="J1096" s="61"/>
      <c r="K1096" s="61"/>
      <c r="L1096" s="144"/>
    </row>
    <row r="1097" spans="2:12" s="5" customFormat="1" ht="15.75">
      <c r="B1097" s="368"/>
      <c r="C1097" s="357"/>
      <c r="D1097" s="180">
        <v>10</v>
      </c>
      <c r="E1097" s="144"/>
      <c r="F1097" s="61" t="s">
        <v>1558</v>
      </c>
      <c r="G1097" s="61" t="s">
        <v>1556</v>
      </c>
      <c r="H1097" s="61">
        <v>4</v>
      </c>
      <c r="I1097" s="61"/>
      <c r="J1097" s="61"/>
      <c r="K1097" s="61"/>
      <c r="L1097" s="144"/>
    </row>
    <row r="1098" spans="2:12" s="5" customFormat="1" ht="15.75">
      <c r="B1098" s="368"/>
      <c r="C1098" s="357"/>
      <c r="D1098" s="180">
        <v>11</v>
      </c>
      <c r="E1098" s="144"/>
      <c r="F1098" s="61" t="s">
        <v>1559</v>
      </c>
      <c r="G1098" s="61">
        <v>8</v>
      </c>
      <c r="H1098" s="61" t="s">
        <v>1556</v>
      </c>
      <c r="I1098" s="61">
        <v>256</v>
      </c>
      <c r="J1098" s="61"/>
      <c r="K1098" s="61"/>
      <c r="L1098" s="144"/>
    </row>
    <row r="1099" spans="2:12" s="5" customFormat="1" ht="15.75">
      <c r="B1099" s="368"/>
      <c r="C1099" s="357"/>
      <c r="D1099" s="180">
        <v>12</v>
      </c>
      <c r="E1099" s="144"/>
      <c r="F1099" s="61" t="s">
        <v>1553</v>
      </c>
      <c r="G1099" s="61">
        <v>100</v>
      </c>
      <c r="H1099" s="61"/>
      <c r="I1099" s="61"/>
      <c r="J1099" s="61"/>
      <c r="K1099" s="61"/>
      <c r="L1099" s="144"/>
    </row>
    <row r="1100" spans="2:12" s="5" customFormat="1" ht="15.75">
      <c r="B1100" s="368"/>
      <c r="C1100" s="357"/>
      <c r="D1100" s="180">
        <v>13</v>
      </c>
      <c r="E1100" s="180" t="s">
        <v>1524</v>
      </c>
      <c r="F1100" s="61" t="s">
        <v>81</v>
      </c>
      <c r="G1100" s="61" t="s">
        <v>1517</v>
      </c>
      <c r="H1100" s="61"/>
      <c r="I1100" s="61"/>
      <c r="J1100" s="61"/>
      <c r="K1100" s="61"/>
      <c r="L1100" s="180"/>
    </row>
    <row r="1101" spans="2:12" s="5" customFormat="1" ht="15.75">
      <c r="B1101" s="368"/>
      <c r="C1101" s="357"/>
      <c r="D1101" s="180">
        <v>14</v>
      </c>
      <c r="E1101" s="180" t="s">
        <v>186</v>
      </c>
      <c r="F1101" s="61" t="s">
        <v>127</v>
      </c>
      <c r="G1101" s="61" t="s">
        <v>1331</v>
      </c>
      <c r="H1101" s="61" t="s">
        <v>162</v>
      </c>
      <c r="I1101" s="61">
        <v>255</v>
      </c>
      <c r="J1101" s="61"/>
      <c r="K1101" s="61"/>
      <c r="L1101" s="180"/>
    </row>
    <row r="1102" spans="2:12" s="5" customFormat="1" ht="15.75">
      <c r="B1102" s="368"/>
      <c r="C1102" s="357"/>
      <c r="D1102" s="180">
        <v>15</v>
      </c>
      <c r="E1102" s="180" t="s">
        <v>194</v>
      </c>
      <c r="F1102" s="61" t="s">
        <v>125</v>
      </c>
      <c r="G1102" s="61" t="s">
        <v>1546</v>
      </c>
      <c r="H1102" s="61"/>
      <c r="I1102" s="61"/>
      <c r="J1102" s="61"/>
      <c r="K1102" s="61"/>
      <c r="L1102" s="180"/>
    </row>
    <row r="1103" spans="2:12" s="5" customFormat="1" ht="15.75">
      <c r="B1103" s="368"/>
      <c r="C1103" s="357"/>
      <c r="D1103" s="180">
        <v>16</v>
      </c>
      <c r="E1103" s="180" t="s">
        <v>1525</v>
      </c>
      <c r="F1103" s="61" t="s">
        <v>81</v>
      </c>
      <c r="G1103" s="61" t="s">
        <v>196</v>
      </c>
      <c r="H1103" s="61" t="s">
        <v>197</v>
      </c>
      <c r="I1103" s="61" t="s">
        <v>197</v>
      </c>
      <c r="J1103" s="61"/>
      <c r="K1103" s="61"/>
      <c r="L1103" s="180"/>
    </row>
    <row r="1104" spans="2:12" s="5" customFormat="1" ht="15.75">
      <c r="B1104" s="368"/>
      <c r="C1104" s="357"/>
      <c r="D1104" s="180">
        <v>17</v>
      </c>
      <c r="E1104" s="180"/>
      <c r="F1104" s="61" t="s">
        <v>81</v>
      </c>
      <c r="G1104" s="61" t="s">
        <v>198</v>
      </c>
      <c r="H1104" s="61" t="s">
        <v>199</v>
      </c>
      <c r="I1104" s="61" t="s">
        <v>197</v>
      </c>
      <c r="J1104" s="61" t="s">
        <v>197</v>
      </c>
      <c r="K1104" s="61">
        <v>1</v>
      </c>
      <c r="L1104" s="180"/>
    </row>
    <row r="1105" spans="2:12" s="5" customFormat="1" ht="15.75">
      <c r="B1105" s="368"/>
      <c r="C1105" s="357"/>
      <c r="D1105" s="180">
        <v>18</v>
      </c>
      <c r="E1105" s="180" t="s">
        <v>1524</v>
      </c>
      <c r="F1105" s="61" t="s">
        <v>81</v>
      </c>
      <c r="G1105" s="61" t="s">
        <v>1517</v>
      </c>
      <c r="H1105" s="61"/>
      <c r="I1105" s="61"/>
      <c r="J1105" s="61"/>
      <c r="K1105" s="61"/>
      <c r="L1105" s="180"/>
    </row>
    <row r="1106" spans="2:12" s="5" customFormat="1" ht="15.75">
      <c r="B1106" s="368"/>
      <c r="C1106" s="357"/>
      <c r="D1106" s="180">
        <v>19</v>
      </c>
      <c r="E1106" s="129" t="s">
        <v>187</v>
      </c>
      <c r="F1106" s="61" t="s">
        <v>127</v>
      </c>
      <c r="G1106" s="61" t="s">
        <v>1331</v>
      </c>
      <c r="H1106" s="61" t="s">
        <v>1382</v>
      </c>
      <c r="I1106" s="61" t="s">
        <v>1409</v>
      </c>
      <c r="J1106" s="61"/>
      <c r="K1106" s="61"/>
      <c r="L1106" s="129"/>
    </row>
    <row r="1107" spans="2:12" s="5" customFormat="1" ht="15.75">
      <c r="B1107" s="368"/>
      <c r="C1107" s="357"/>
      <c r="D1107" s="180">
        <v>20</v>
      </c>
      <c r="E1107" s="180" t="s">
        <v>194</v>
      </c>
      <c r="F1107" s="61" t="s">
        <v>125</v>
      </c>
      <c r="G1107" s="61" t="s">
        <v>1546</v>
      </c>
      <c r="H1107" s="61"/>
      <c r="I1107" s="61"/>
      <c r="J1107" s="61"/>
      <c r="K1107" s="61"/>
      <c r="L1107" s="144"/>
    </row>
    <row r="1108" spans="2:12" s="5" customFormat="1" ht="15.75">
      <c r="B1108" s="368"/>
      <c r="C1108" s="357"/>
      <c r="D1108" s="180">
        <v>21</v>
      </c>
      <c r="E1108" s="180" t="s">
        <v>195</v>
      </c>
      <c r="F1108" s="61" t="s">
        <v>81</v>
      </c>
      <c r="G1108" s="61" t="s">
        <v>196</v>
      </c>
      <c r="H1108" s="61" t="s">
        <v>197</v>
      </c>
      <c r="I1108" s="61" t="s">
        <v>197</v>
      </c>
      <c r="J1108" s="61"/>
      <c r="K1108" s="61"/>
      <c r="L1108" s="180"/>
    </row>
    <row r="1109" spans="2:12" s="5" customFormat="1" ht="15.75">
      <c r="B1109" s="368"/>
      <c r="C1109" s="357"/>
      <c r="D1109" s="180">
        <v>22</v>
      </c>
      <c r="E1109" s="180"/>
      <c r="F1109" s="61" t="s">
        <v>81</v>
      </c>
      <c r="G1109" s="61" t="s">
        <v>198</v>
      </c>
      <c r="H1109" s="61" t="s">
        <v>199</v>
      </c>
      <c r="I1109" s="61" t="s">
        <v>197</v>
      </c>
      <c r="J1109" s="61" t="s">
        <v>1934</v>
      </c>
      <c r="K1109" s="61"/>
      <c r="L1109" s="180"/>
    </row>
    <row r="1110" spans="2:12" s="5" customFormat="1" ht="15.75">
      <c r="B1110" s="368"/>
      <c r="C1110" s="357"/>
      <c r="D1110" s="180">
        <v>23</v>
      </c>
      <c r="E1110" s="180" t="s">
        <v>1524</v>
      </c>
      <c r="F1110" s="61" t="s">
        <v>81</v>
      </c>
      <c r="G1110" s="61" t="s">
        <v>1517</v>
      </c>
      <c r="H1110" s="61"/>
      <c r="I1110" s="61"/>
      <c r="J1110" s="61"/>
      <c r="K1110" s="61"/>
      <c r="L1110" s="180"/>
    </row>
    <row r="1111" spans="2:12" s="5" customFormat="1" ht="15.75">
      <c r="B1111" s="368"/>
      <c r="C1111" s="357"/>
      <c r="D1111" s="180">
        <v>24</v>
      </c>
      <c r="E1111" s="129" t="s">
        <v>1406</v>
      </c>
      <c r="F1111" s="61" t="s">
        <v>127</v>
      </c>
      <c r="G1111" s="61" t="s">
        <v>1331</v>
      </c>
      <c r="H1111" s="61" t="s">
        <v>1382</v>
      </c>
      <c r="I1111" s="61">
        <v>1</v>
      </c>
      <c r="J1111" s="61"/>
      <c r="K1111" s="61"/>
      <c r="L1111" s="129"/>
    </row>
    <row r="1112" spans="2:12" s="5" customFormat="1" ht="15.75">
      <c r="B1112" s="368"/>
      <c r="C1112" s="357"/>
      <c r="D1112" s="180">
        <v>25</v>
      </c>
      <c r="E1112" s="180" t="s">
        <v>194</v>
      </c>
      <c r="F1112" s="61" t="s">
        <v>125</v>
      </c>
      <c r="G1112" s="61" t="s">
        <v>1546</v>
      </c>
      <c r="H1112" s="61"/>
      <c r="I1112" s="61"/>
      <c r="J1112" s="61"/>
      <c r="K1112" s="61"/>
      <c r="L1112" s="144"/>
    </row>
    <row r="1113" spans="2:12" s="5" customFormat="1" ht="15.75">
      <c r="B1113" s="368"/>
      <c r="C1113" s="357"/>
      <c r="D1113" s="180">
        <v>26</v>
      </c>
      <c r="E1113" s="180" t="s">
        <v>195</v>
      </c>
      <c r="F1113" s="61" t="s">
        <v>81</v>
      </c>
      <c r="G1113" s="61" t="s">
        <v>196</v>
      </c>
      <c r="H1113" s="61" t="s">
        <v>197</v>
      </c>
      <c r="I1113" s="61" t="s">
        <v>197</v>
      </c>
      <c r="J1113" s="61"/>
      <c r="K1113" s="61"/>
      <c r="L1113" s="180"/>
    </row>
    <row r="1114" spans="2:12" s="5" customFormat="1" ht="15.75">
      <c r="B1114" s="368"/>
      <c r="C1114" s="357"/>
      <c r="D1114" s="180">
        <v>27</v>
      </c>
      <c r="E1114" s="180"/>
      <c r="F1114" s="61" t="s">
        <v>81</v>
      </c>
      <c r="G1114" s="61" t="s">
        <v>198</v>
      </c>
      <c r="H1114" s="61" t="s">
        <v>199</v>
      </c>
      <c r="I1114" s="61" t="s">
        <v>197</v>
      </c>
      <c r="J1114" s="61" t="s">
        <v>1934</v>
      </c>
      <c r="K1114" s="61"/>
      <c r="L1114" s="180"/>
    </row>
    <row r="1115" spans="2:12" s="5" customFormat="1" ht="15.75">
      <c r="B1115" s="368"/>
      <c r="C1115" s="357"/>
      <c r="D1115" s="180">
        <v>28</v>
      </c>
      <c r="E1115" s="180" t="s">
        <v>1524</v>
      </c>
      <c r="F1115" s="61" t="s">
        <v>81</v>
      </c>
      <c r="G1115" s="61" t="s">
        <v>1517</v>
      </c>
      <c r="H1115" s="61"/>
      <c r="I1115" s="61"/>
      <c r="J1115" s="61"/>
      <c r="K1115" s="61"/>
      <c r="L1115" s="180"/>
    </row>
    <row r="1116" spans="2:12" s="5" customFormat="1" ht="15.75">
      <c r="B1116" s="368"/>
      <c r="C1116" s="357"/>
      <c r="D1116" s="180">
        <v>29</v>
      </c>
      <c r="E1116" s="129" t="s">
        <v>1407</v>
      </c>
      <c r="F1116" s="61" t="s">
        <v>127</v>
      </c>
      <c r="G1116" s="61" t="s">
        <v>1331</v>
      </c>
      <c r="H1116" s="61" t="s">
        <v>1382</v>
      </c>
      <c r="I1116" s="61" t="s">
        <v>1408</v>
      </c>
      <c r="J1116" s="61"/>
      <c r="K1116" s="61"/>
      <c r="L1116" s="129"/>
    </row>
    <row r="1117" spans="2:12" s="5" customFormat="1" ht="15.75">
      <c r="B1117" s="368"/>
      <c r="C1117" s="357"/>
      <c r="D1117" s="180">
        <v>30</v>
      </c>
      <c r="E1117" s="129" t="s">
        <v>194</v>
      </c>
      <c r="F1117" s="61" t="s">
        <v>125</v>
      </c>
      <c r="G1117" s="61" t="s">
        <v>1546</v>
      </c>
      <c r="H1117" s="61"/>
      <c r="I1117" s="61"/>
      <c r="J1117" s="61"/>
      <c r="K1117" s="61"/>
      <c r="L1117" s="129"/>
    </row>
    <row r="1118" spans="2:12" s="5" customFormat="1" ht="15.75">
      <c r="B1118" s="368"/>
      <c r="C1118" s="357"/>
      <c r="D1118" s="180">
        <v>31</v>
      </c>
      <c r="E1118" s="180" t="s">
        <v>195</v>
      </c>
      <c r="F1118" s="61" t="s">
        <v>81</v>
      </c>
      <c r="G1118" s="61" t="s">
        <v>196</v>
      </c>
      <c r="H1118" s="61" t="s">
        <v>197</v>
      </c>
      <c r="I1118" s="61" t="s">
        <v>197</v>
      </c>
      <c r="J1118" s="61"/>
      <c r="K1118" s="61"/>
      <c r="L1118" s="180"/>
    </row>
    <row r="1119" spans="2:12" s="5" customFormat="1" ht="15.75">
      <c r="B1119" s="368"/>
      <c r="C1119" s="357"/>
      <c r="D1119" s="180">
        <v>32</v>
      </c>
      <c r="E1119" s="180"/>
      <c r="F1119" s="61" t="s">
        <v>81</v>
      </c>
      <c r="G1119" s="61" t="s">
        <v>198</v>
      </c>
      <c r="H1119" s="61" t="s">
        <v>199</v>
      </c>
      <c r="I1119" s="61" t="s">
        <v>197</v>
      </c>
      <c r="J1119" s="61" t="s">
        <v>1934</v>
      </c>
      <c r="K1119" s="61"/>
      <c r="L1119" s="180"/>
    </row>
    <row r="1120" spans="2:12" s="5" customFormat="1" ht="15.75">
      <c r="B1120" s="368"/>
      <c r="C1120" s="357"/>
      <c r="D1120" s="180">
        <v>33</v>
      </c>
      <c r="E1120" s="129" t="s">
        <v>146</v>
      </c>
      <c r="F1120" s="61" t="s">
        <v>123</v>
      </c>
      <c r="G1120" s="61"/>
      <c r="H1120" s="61"/>
      <c r="I1120" s="61"/>
      <c r="J1120" s="61"/>
      <c r="K1120" s="61"/>
      <c r="L1120" s="129"/>
    </row>
    <row r="1121" spans="2:12" s="5" customFormat="1" ht="15.75">
      <c r="B1121" s="369"/>
      <c r="C1121" s="358"/>
      <c r="D1121" s="129"/>
      <c r="E1121" s="129"/>
      <c r="F1121" s="61"/>
      <c r="G1121" s="61"/>
      <c r="H1121" s="61"/>
      <c r="I1121" s="61"/>
      <c r="J1121" s="61"/>
      <c r="K1121" s="61"/>
      <c r="L1121" s="129"/>
    </row>
    <row r="1122" spans="2:12" s="5" customFormat="1" ht="15.75">
      <c r="B1122" s="370" t="s">
        <v>1404</v>
      </c>
      <c r="C1122" s="356" t="s">
        <v>1728</v>
      </c>
      <c r="D1122" s="129">
        <v>1</v>
      </c>
      <c r="E1122" s="129" t="s">
        <v>1641</v>
      </c>
      <c r="F1122" s="61" t="s">
        <v>87</v>
      </c>
      <c r="G1122" s="61" t="s">
        <v>1642</v>
      </c>
      <c r="H1122" s="61"/>
      <c r="I1122" s="61"/>
      <c r="J1122" s="61"/>
      <c r="K1122" s="61"/>
      <c r="L1122" s="129"/>
    </row>
    <row r="1123" spans="2:12" s="5" customFormat="1" ht="15.75">
      <c r="B1123" s="368"/>
      <c r="C1123" s="357"/>
      <c r="D1123" s="129">
        <v>2</v>
      </c>
      <c r="E1123" s="129" t="s">
        <v>142</v>
      </c>
      <c r="F1123" s="61" t="s">
        <v>122</v>
      </c>
      <c r="G1123" s="61"/>
      <c r="H1123" s="61"/>
      <c r="I1123" s="61"/>
      <c r="J1123" s="61"/>
      <c r="K1123" s="61"/>
      <c r="L1123" s="129"/>
    </row>
    <row r="1124" spans="2:12" s="5" customFormat="1" ht="15.75">
      <c r="B1124" s="368"/>
      <c r="C1124" s="357"/>
      <c r="D1124" s="129">
        <v>3</v>
      </c>
      <c r="E1124" s="129"/>
      <c r="F1124" s="61" t="s">
        <v>1390</v>
      </c>
      <c r="G1124" s="61" t="s">
        <v>1382</v>
      </c>
      <c r="H1124" s="61" t="s">
        <v>1294</v>
      </c>
      <c r="I1124" s="61"/>
      <c r="J1124" s="61"/>
      <c r="K1124" s="61"/>
      <c r="L1124" s="129"/>
    </row>
    <row r="1125" spans="2:12" s="5" customFormat="1" ht="15.75">
      <c r="B1125" s="368"/>
      <c r="C1125" s="357"/>
      <c r="D1125" s="129">
        <v>4</v>
      </c>
      <c r="E1125" s="129"/>
      <c r="F1125" s="61" t="s">
        <v>1402</v>
      </c>
      <c r="G1125" s="61" t="s">
        <v>1382</v>
      </c>
      <c r="H1125" s="61">
        <v>2</v>
      </c>
      <c r="I1125" s="61"/>
      <c r="J1125" s="61"/>
      <c r="K1125" s="61"/>
      <c r="L1125" s="129"/>
    </row>
    <row r="1126" spans="2:12" s="5" customFormat="1" ht="15.75">
      <c r="B1126" s="368"/>
      <c r="C1126" s="357"/>
      <c r="D1126" s="180">
        <v>5</v>
      </c>
      <c r="E1126" s="180"/>
      <c r="F1126" s="61" t="s">
        <v>1933</v>
      </c>
      <c r="G1126" s="61">
        <v>100</v>
      </c>
      <c r="H1126" s="61"/>
      <c r="I1126" s="61"/>
      <c r="J1126" s="61"/>
      <c r="K1126" s="61"/>
      <c r="L1126" s="180"/>
    </row>
    <row r="1127" spans="2:12" s="5" customFormat="1" ht="15.75">
      <c r="B1127" s="368"/>
      <c r="C1127" s="357"/>
      <c r="D1127" s="180">
        <v>6</v>
      </c>
      <c r="E1127" s="129"/>
      <c r="F1127" s="61" t="s">
        <v>135</v>
      </c>
      <c r="G1127" s="61">
        <v>5</v>
      </c>
      <c r="H1127" s="61" t="s">
        <v>1294</v>
      </c>
      <c r="I1127" s="61" t="s">
        <v>162</v>
      </c>
      <c r="J1127" s="61"/>
      <c r="K1127" s="61"/>
      <c r="L1127" s="129"/>
    </row>
    <row r="1128" spans="2:12" s="5" customFormat="1" ht="15.75">
      <c r="B1128" s="368"/>
      <c r="C1128" s="357"/>
      <c r="D1128" s="180">
        <v>7</v>
      </c>
      <c r="E1128" s="144" t="s">
        <v>1560</v>
      </c>
      <c r="F1128" s="61" t="s">
        <v>1555</v>
      </c>
      <c r="G1128" s="61" t="s">
        <v>1556</v>
      </c>
      <c r="H1128" s="61">
        <v>3</v>
      </c>
      <c r="I1128" s="61"/>
      <c r="J1128" s="61"/>
      <c r="K1128" s="61">
        <v>1</v>
      </c>
      <c r="L1128" s="129"/>
    </row>
    <row r="1129" spans="2:12" s="5" customFormat="1" ht="15.75">
      <c r="B1129" s="368"/>
      <c r="C1129" s="357"/>
      <c r="D1129" s="180">
        <v>8</v>
      </c>
      <c r="E1129" s="144"/>
      <c r="F1129" s="61" t="s">
        <v>1553</v>
      </c>
      <c r="G1129" s="61">
        <v>20</v>
      </c>
      <c r="H1129" s="61"/>
      <c r="I1129" s="61"/>
      <c r="J1129" s="61"/>
      <c r="K1129" s="61"/>
      <c r="L1129" s="144"/>
    </row>
    <row r="1130" spans="2:12" s="5" customFormat="1" ht="15.75">
      <c r="B1130" s="368"/>
      <c r="C1130" s="357"/>
      <c r="D1130" s="180">
        <v>9</v>
      </c>
      <c r="E1130" s="144"/>
      <c r="F1130" s="61" t="s">
        <v>127</v>
      </c>
      <c r="G1130" s="61" t="s">
        <v>1331</v>
      </c>
      <c r="H1130" s="61" t="s">
        <v>162</v>
      </c>
      <c r="I1130" s="61" t="s">
        <v>1556</v>
      </c>
      <c r="J1130" s="61"/>
      <c r="K1130" s="61"/>
      <c r="L1130" s="144"/>
    </row>
    <row r="1131" spans="2:12" s="5" customFormat="1" ht="15.75">
      <c r="B1131" s="368"/>
      <c r="C1131" s="357"/>
      <c r="D1131" s="180">
        <v>10</v>
      </c>
      <c r="E1131" s="144"/>
      <c r="F1131" s="61" t="s">
        <v>1558</v>
      </c>
      <c r="G1131" s="61" t="s">
        <v>1556</v>
      </c>
      <c r="H1131" s="61">
        <v>4</v>
      </c>
      <c r="I1131" s="61"/>
      <c r="J1131" s="61"/>
      <c r="K1131" s="61"/>
      <c r="L1131" s="144"/>
    </row>
    <row r="1132" spans="2:12" s="5" customFormat="1" ht="15.75">
      <c r="B1132" s="368"/>
      <c r="C1132" s="357"/>
      <c r="D1132" s="180">
        <v>11</v>
      </c>
      <c r="E1132" s="144"/>
      <c r="F1132" s="61" t="s">
        <v>1559</v>
      </c>
      <c r="G1132" s="61">
        <v>8</v>
      </c>
      <c r="H1132" s="61" t="s">
        <v>1556</v>
      </c>
      <c r="I1132" s="61">
        <v>256</v>
      </c>
      <c r="J1132" s="61"/>
      <c r="K1132" s="61"/>
      <c r="L1132" s="144"/>
    </row>
    <row r="1133" spans="2:12" s="5" customFormat="1" ht="15.75">
      <c r="B1133" s="368"/>
      <c r="C1133" s="357"/>
      <c r="D1133" s="180">
        <v>12</v>
      </c>
      <c r="E1133" s="180"/>
      <c r="F1133" s="61" t="s">
        <v>125</v>
      </c>
      <c r="G1133" s="61">
        <v>100</v>
      </c>
      <c r="H1133" s="61"/>
      <c r="I1133" s="61"/>
      <c r="J1133" s="61"/>
      <c r="K1133" s="61"/>
      <c r="L1133" s="180"/>
    </row>
    <row r="1134" spans="2:12" s="5" customFormat="1" ht="15.75">
      <c r="B1134" s="368"/>
      <c r="C1134" s="357"/>
      <c r="D1134" s="180">
        <v>13</v>
      </c>
      <c r="E1134" s="180" t="s">
        <v>186</v>
      </c>
      <c r="F1134" s="61" t="s">
        <v>127</v>
      </c>
      <c r="G1134" s="61" t="s">
        <v>1331</v>
      </c>
      <c r="H1134" s="61" t="s">
        <v>162</v>
      </c>
      <c r="I1134" s="61">
        <v>255</v>
      </c>
      <c r="J1134" s="61"/>
      <c r="K1134" s="61"/>
      <c r="L1134" s="180"/>
    </row>
    <row r="1135" spans="2:12" s="5" customFormat="1" ht="15.75">
      <c r="B1135" s="368"/>
      <c r="C1135" s="357"/>
      <c r="D1135" s="180">
        <v>14</v>
      </c>
      <c r="E1135" s="144"/>
      <c r="F1135" s="61" t="s">
        <v>1553</v>
      </c>
      <c r="G1135" s="61">
        <v>10000</v>
      </c>
      <c r="H1135" s="61"/>
      <c r="I1135" s="61"/>
      <c r="J1135" s="61"/>
      <c r="K1135" s="61"/>
      <c r="L1135" s="144"/>
    </row>
    <row r="1136" spans="2:12" s="5" customFormat="1" ht="15.75">
      <c r="B1136" s="368"/>
      <c r="C1136" s="357"/>
      <c r="D1136" s="180">
        <v>15</v>
      </c>
      <c r="E1136" s="129" t="s">
        <v>1405</v>
      </c>
      <c r="F1136" s="61" t="s">
        <v>127</v>
      </c>
      <c r="G1136" s="61" t="s">
        <v>1331</v>
      </c>
      <c r="H1136" s="61" t="s">
        <v>1382</v>
      </c>
      <c r="I1136" s="61" t="s">
        <v>1409</v>
      </c>
      <c r="J1136" s="61"/>
      <c r="K1136" s="61"/>
      <c r="L1136" s="129"/>
    </row>
    <row r="1137" spans="2:12" s="5" customFormat="1" ht="15.75">
      <c r="B1137" s="368"/>
      <c r="C1137" s="357"/>
      <c r="D1137" s="180">
        <v>16</v>
      </c>
      <c r="E1137" s="129"/>
      <c r="F1137" s="61" t="s">
        <v>125</v>
      </c>
      <c r="G1137" s="61">
        <v>10000</v>
      </c>
      <c r="H1137" s="61"/>
      <c r="I1137" s="61"/>
      <c r="J1137" s="61"/>
      <c r="K1137" s="61"/>
      <c r="L1137" s="129"/>
    </row>
    <row r="1138" spans="2:12" s="5" customFormat="1" ht="15.75">
      <c r="B1138" s="368"/>
      <c r="C1138" s="357"/>
      <c r="D1138" s="180">
        <v>17</v>
      </c>
      <c r="E1138" s="129" t="s">
        <v>1406</v>
      </c>
      <c r="F1138" s="61" t="s">
        <v>127</v>
      </c>
      <c r="G1138" s="61" t="s">
        <v>1331</v>
      </c>
      <c r="H1138" s="61" t="s">
        <v>1382</v>
      </c>
      <c r="I1138" s="61">
        <v>1</v>
      </c>
      <c r="J1138" s="61"/>
      <c r="K1138" s="61"/>
      <c r="L1138" s="129"/>
    </row>
    <row r="1139" spans="2:12" s="5" customFormat="1" ht="15.75">
      <c r="B1139" s="368"/>
      <c r="C1139" s="357"/>
      <c r="D1139" s="180">
        <v>18</v>
      </c>
      <c r="E1139" s="129"/>
      <c r="F1139" s="61" t="s">
        <v>125</v>
      </c>
      <c r="G1139" s="61">
        <v>10000</v>
      </c>
      <c r="H1139" s="61"/>
      <c r="I1139" s="61"/>
      <c r="J1139" s="61"/>
      <c r="K1139" s="61"/>
      <c r="L1139" s="129"/>
    </row>
    <row r="1140" spans="2:12" s="5" customFormat="1" ht="15.75">
      <c r="B1140" s="368"/>
      <c r="C1140" s="357"/>
      <c r="D1140" s="180">
        <v>19</v>
      </c>
      <c r="E1140" s="129" t="s">
        <v>1407</v>
      </c>
      <c r="F1140" s="61" t="s">
        <v>127</v>
      </c>
      <c r="G1140" s="61" t="s">
        <v>1331</v>
      </c>
      <c r="H1140" s="61" t="s">
        <v>1382</v>
      </c>
      <c r="I1140" s="61" t="s">
        <v>1408</v>
      </c>
      <c r="J1140" s="61"/>
      <c r="K1140" s="61"/>
      <c r="L1140" s="129"/>
    </row>
    <row r="1141" spans="2:12" s="5" customFormat="1" ht="15.75">
      <c r="B1141" s="368"/>
      <c r="C1141" s="357"/>
      <c r="D1141" s="180">
        <v>20</v>
      </c>
      <c r="E1141" s="129"/>
      <c r="F1141" s="61" t="s">
        <v>125</v>
      </c>
      <c r="G1141" s="61">
        <v>100</v>
      </c>
      <c r="H1141" s="61"/>
      <c r="I1141" s="61"/>
      <c r="J1141" s="61"/>
      <c r="K1141" s="61"/>
      <c r="L1141" s="129"/>
    </row>
    <row r="1142" spans="2:12" s="5" customFormat="1" ht="15.75">
      <c r="B1142" s="368"/>
      <c r="C1142" s="357"/>
      <c r="D1142" s="180">
        <v>21</v>
      </c>
      <c r="E1142" s="129" t="s">
        <v>146</v>
      </c>
      <c r="F1142" s="61" t="s">
        <v>123</v>
      </c>
      <c r="G1142" s="61"/>
      <c r="H1142" s="61"/>
      <c r="I1142" s="61"/>
      <c r="J1142" s="61"/>
      <c r="K1142" s="61"/>
      <c r="L1142" s="129"/>
    </row>
    <row r="1143" spans="2:12" s="5" customFormat="1" ht="15.75">
      <c r="B1143" s="369"/>
      <c r="C1143" s="358"/>
      <c r="D1143" s="129"/>
      <c r="E1143" s="129"/>
      <c r="F1143" s="61"/>
      <c r="G1143" s="61"/>
      <c r="H1143" s="61"/>
      <c r="I1143" s="61"/>
      <c r="J1143" s="61"/>
      <c r="K1143" s="61"/>
      <c r="L1143" s="129"/>
    </row>
    <row r="1144" spans="2:12" s="5" customFormat="1" ht="15.75">
      <c r="B1144" s="370" t="s">
        <v>1410</v>
      </c>
      <c r="C1144" s="356" t="s">
        <v>1728</v>
      </c>
      <c r="D1144" s="129">
        <v>1</v>
      </c>
      <c r="E1144" s="129" t="s">
        <v>1641</v>
      </c>
      <c r="F1144" s="61" t="s">
        <v>87</v>
      </c>
      <c r="G1144" s="61" t="s">
        <v>1640</v>
      </c>
      <c r="H1144" s="61"/>
      <c r="I1144" s="61"/>
      <c r="J1144" s="61"/>
      <c r="K1144" s="61"/>
      <c r="L1144" s="129"/>
    </row>
    <row r="1145" spans="2:12" s="5" customFormat="1" ht="15.75">
      <c r="B1145" s="368"/>
      <c r="C1145" s="357"/>
      <c r="D1145" s="129">
        <v>2</v>
      </c>
      <c r="E1145" s="129" t="s">
        <v>142</v>
      </c>
      <c r="F1145" s="61" t="s">
        <v>122</v>
      </c>
      <c r="G1145" s="61"/>
      <c r="H1145" s="61"/>
      <c r="I1145" s="61"/>
      <c r="J1145" s="61"/>
      <c r="K1145" s="61"/>
      <c r="L1145" s="129"/>
    </row>
    <row r="1146" spans="2:12" s="5" customFormat="1" ht="15.75">
      <c r="B1146" s="368"/>
      <c r="C1146" s="357"/>
      <c r="D1146" s="180">
        <v>3</v>
      </c>
      <c r="E1146" s="129"/>
      <c r="F1146" s="61" t="s">
        <v>1399</v>
      </c>
      <c r="G1146" s="61" t="s">
        <v>1647</v>
      </c>
      <c r="H1146" s="61"/>
      <c r="I1146" s="61"/>
      <c r="J1146" s="61"/>
      <c r="K1146" s="61"/>
      <c r="L1146" s="129"/>
    </row>
    <row r="1147" spans="2:12" s="5" customFormat="1" ht="15.75">
      <c r="B1147" s="368"/>
      <c r="C1147" s="357"/>
      <c r="D1147" s="180">
        <v>4</v>
      </c>
      <c r="E1147" s="180"/>
      <c r="F1147" s="61" t="s">
        <v>1933</v>
      </c>
      <c r="G1147" s="61">
        <v>1000</v>
      </c>
      <c r="H1147" s="61"/>
      <c r="I1147" s="61"/>
      <c r="J1147" s="61"/>
      <c r="K1147" s="61"/>
      <c r="L1147" s="180"/>
    </row>
    <row r="1148" spans="2:12" s="5" customFormat="1" ht="15.75">
      <c r="B1148" s="368"/>
      <c r="C1148" s="357"/>
      <c r="D1148" s="180">
        <v>5</v>
      </c>
      <c r="E1148" s="129"/>
      <c r="F1148" s="61" t="s">
        <v>135</v>
      </c>
      <c r="G1148" s="61">
        <v>4</v>
      </c>
      <c r="H1148" s="61" t="s">
        <v>1294</v>
      </c>
      <c r="I1148" s="61" t="s">
        <v>1411</v>
      </c>
      <c r="J1148" s="61"/>
      <c r="K1148" s="61"/>
      <c r="L1148" s="129"/>
    </row>
    <row r="1149" spans="2:12" s="5" customFormat="1" ht="15.75">
      <c r="B1149" s="368"/>
      <c r="C1149" s="357"/>
      <c r="D1149" s="180">
        <v>6</v>
      </c>
      <c r="E1149" s="180"/>
      <c r="F1149" s="61" t="s">
        <v>125</v>
      </c>
      <c r="G1149" s="61">
        <v>100</v>
      </c>
      <c r="H1149" s="61"/>
      <c r="I1149" s="61"/>
      <c r="J1149" s="61"/>
      <c r="K1149" s="61"/>
      <c r="L1149" s="180"/>
    </row>
    <row r="1150" spans="2:12" s="5" customFormat="1" ht="15.75">
      <c r="B1150" s="368"/>
      <c r="C1150" s="357"/>
      <c r="D1150" s="180">
        <v>7</v>
      </c>
      <c r="E1150" s="180" t="s">
        <v>1524</v>
      </c>
      <c r="F1150" s="61" t="s">
        <v>81</v>
      </c>
      <c r="G1150" s="61" t="s">
        <v>1517</v>
      </c>
      <c r="H1150" s="61"/>
      <c r="I1150" s="61"/>
      <c r="J1150" s="61"/>
      <c r="K1150" s="61"/>
      <c r="L1150" s="180"/>
    </row>
    <row r="1151" spans="2:12" s="5" customFormat="1" ht="15.75">
      <c r="B1151" s="368"/>
      <c r="C1151" s="357"/>
      <c r="D1151" s="180">
        <v>8</v>
      </c>
      <c r="E1151" s="129" t="s">
        <v>163</v>
      </c>
      <c r="F1151" s="61" t="s">
        <v>164</v>
      </c>
      <c r="G1151" s="61">
        <v>1</v>
      </c>
      <c r="H1151" s="61">
        <v>4</v>
      </c>
      <c r="I1151" s="61" t="s">
        <v>165</v>
      </c>
      <c r="J1151" s="61"/>
      <c r="K1151" s="61"/>
      <c r="L1151" s="129"/>
    </row>
    <row r="1152" spans="2:12" s="5" customFormat="1" ht="15.75">
      <c r="B1152" s="368"/>
      <c r="C1152" s="357"/>
      <c r="D1152" s="180">
        <v>9</v>
      </c>
      <c r="E1152" s="129" t="s">
        <v>186</v>
      </c>
      <c r="F1152" s="61" t="s">
        <v>127</v>
      </c>
      <c r="G1152" s="61" t="s">
        <v>1384</v>
      </c>
      <c r="H1152" s="61" t="s">
        <v>192</v>
      </c>
      <c r="I1152" s="61" t="s">
        <v>193</v>
      </c>
      <c r="J1152" s="61"/>
      <c r="K1152" s="61"/>
      <c r="L1152" s="129"/>
    </row>
    <row r="1153" spans="2:12" s="5" customFormat="1" ht="15.75">
      <c r="B1153" s="368"/>
      <c r="C1153" s="357"/>
      <c r="D1153" s="180">
        <v>10</v>
      </c>
      <c r="E1153" s="129" t="s">
        <v>194</v>
      </c>
      <c r="F1153" s="61" t="s">
        <v>125</v>
      </c>
      <c r="G1153" s="61" t="s">
        <v>1546</v>
      </c>
      <c r="H1153" s="61"/>
      <c r="I1153" s="61"/>
      <c r="J1153" s="61"/>
      <c r="K1153" s="61"/>
      <c r="L1153" s="129"/>
    </row>
    <row r="1154" spans="2:12" s="5" customFormat="1" ht="15.75">
      <c r="B1154" s="368"/>
      <c r="C1154" s="357"/>
      <c r="D1154" s="180">
        <v>11</v>
      </c>
      <c r="E1154" s="180" t="s">
        <v>1525</v>
      </c>
      <c r="F1154" s="61" t="s">
        <v>81</v>
      </c>
      <c r="G1154" s="61" t="s">
        <v>196</v>
      </c>
      <c r="H1154" s="61" t="s">
        <v>197</v>
      </c>
      <c r="I1154" s="61" t="s">
        <v>197</v>
      </c>
      <c r="J1154" s="61"/>
      <c r="K1154" s="61"/>
      <c r="L1154" s="180"/>
    </row>
    <row r="1155" spans="2:12" s="5" customFormat="1" ht="15.75">
      <c r="B1155" s="368"/>
      <c r="C1155" s="357"/>
      <c r="D1155" s="180">
        <v>12</v>
      </c>
      <c r="E1155" s="180"/>
      <c r="F1155" s="61" t="s">
        <v>81</v>
      </c>
      <c r="G1155" s="61" t="s">
        <v>198</v>
      </c>
      <c r="H1155" s="61" t="s">
        <v>199</v>
      </c>
      <c r="I1155" s="61" t="s">
        <v>197</v>
      </c>
      <c r="J1155" s="61" t="s">
        <v>197</v>
      </c>
      <c r="K1155" s="61">
        <v>1</v>
      </c>
      <c r="L1155" s="180"/>
    </row>
    <row r="1156" spans="2:12" s="5" customFormat="1" ht="15.75">
      <c r="B1156" s="368"/>
      <c r="C1156" s="357"/>
      <c r="D1156" s="180">
        <v>13</v>
      </c>
      <c r="E1156" s="129" t="s">
        <v>146</v>
      </c>
      <c r="F1156" s="61" t="s">
        <v>123</v>
      </c>
      <c r="G1156" s="61"/>
      <c r="H1156" s="61"/>
      <c r="I1156" s="61"/>
      <c r="J1156" s="61"/>
      <c r="K1156" s="61"/>
      <c r="L1156" s="129"/>
    </row>
    <row r="1157" spans="2:12" s="5" customFormat="1" ht="15.75">
      <c r="B1157" s="369"/>
      <c r="C1157" s="358"/>
      <c r="D1157" s="129"/>
      <c r="E1157" s="129"/>
      <c r="F1157" s="61"/>
      <c r="G1157" s="61"/>
      <c r="H1157" s="61"/>
      <c r="I1157" s="61"/>
      <c r="J1157" s="61"/>
      <c r="K1157" s="61"/>
      <c r="L1157" s="129"/>
    </row>
    <row r="1158" spans="2:12" s="5" customFormat="1" ht="15.75">
      <c r="B1158" s="370" t="s">
        <v>1412</v>
      </c>
      <c r="C1158" s="356" t="s">
        <v>1728</v>
      </c>
      <c r="D1158" s="129">
        <v>1</v>
      </c>
      <c r="E1158" s="129" t="s">
        <v>1639</v>
      </c>
      <c r="F1158" s="61" t="s">
        <v>87</v>
      </c>
      <c r="G1158" s="61" t="s">
        <v>1640</v>
      </c>
      <c r="H1158" s="61"/>
      <c r="I1158" s="61"/>
      <c r="J1158" s="61"/>
      <c r="K1158" s="61"/>
      <c r="L1158" s="129"/>
    </row>
    <row r="1159" spans="2:12" s="5" customFormat="1" ht="15.75">
      <c r="B1159" s="368"/>
      <c r="C1159" s="357"/>
      <c r="D1159" s="129">
        <v>2</v>
      </c>
      <c r="E1159" s="129" t="s">
        <v>142</v>
      </c>
      <c r="F1159" s="61" t="s">
        <v>122</v>
      </c>
      <c r="G1159" s="61"/>
      <c r="H1159" s="61"/>
      <c r="I1159" s="61"/>
      <c r="J1159" s="61"/>
      <c r="K1159" s="61"/>
      <c r="L1159" s="129"/>
    </row>
    <row r="1160" spans="2:12" s="5" customFormat="1" ht="15.75">
      <c r="B1160" s="368"/>
      <c r="C1160" s="357"/>
      <c r="D1160" s="180">
        <v>3</v>
      </c>
      <c r="E1160" s="129"/>
      <c r="F1160" s="61" t="s">
        <v>1399</v>
      </c>
      <c r="G1160" s="61" t="s">
        <v>1647</v>
      </c>
      <c r="H1160" s="61"/>
      <c r="I1160" s="61"/>
      <c r="J1160" s="61"/>
      <c r="K1160" s="61"/>
      <c r="L1160" s="129"/>
    </row>
    <row r="1161" spans="2:12" s="5" customFormat="1" ht="15.75">
      <c r="B1161" s="368"/>
      <c r="C1161" s="357"/>
      <c r="D1161" s="180">
        <v>4</v>
      </c>
      <c r="E1161" s="180"/>
      <c r="F1161" s="61" t="s">
        <v>1933</v>
      </c>
      <c r="G1161" s="61">
        <v>1000</v>
      </c>
      <c r="H1161" s="61"/>
      <c r="I1161" s="61"/>
      <c r="J1161" s="61"/>
      <c r="K1161" s="61"/>
      <c r="L1161" s="180"/>
    </row>
    <row r="1162" spans="2:12" s="5" customFormat="1" ht="15.75">
      <c r="B1162" s="368"/>
      <c r="C1162" s="357"/>
      <c r="D1162" s="180">
        <v>5</v>
      </c>
      <c r="E1162" s="129"/>
      <c r="F1162" s="61" t="s">
        <v>135</v>
      </c>
      <c r="G1162" s="61">
        <v>4</v>
      </c>
      <c r="H1162" s="61" t="s">
        <v>1294</v>
      </c>
      <c r="I1162" s="61" t="s">
        <v>1411</v>
      </c>
      <c r="J1162" s="61"/>
      <c r="K1162" s="61"/>
      <c r="L1162" s="129"/>
    </row>
    <row r="1163" spans="2:12" s="5" customFormat="1" ht="15.75">
      <c r="B1163" s="368"/>
      <c r="C1163" s="357"/>
      <c r="D1163" s="180">
        <v>6</v>
      </c>
      <c r="E1163" s="180"/>
      <c r="F1163" s="61" t="s">
        <v>125</v>
      </c>
      <c r="G1163" s="61">
        <v>100</v>
      </c>
      <c r="H1163" s="61"/>
      <c r="I1163" s="61"/>
      <c r="J1163" s="61"/>
      <c r="K1163" s="61"/>
      <c r="L1163" s="180"/>
    </row>
    <row r="1164" spans="2:12" s="5" customFormat="1" ht="15.75">
      <c r="B1164" s="368"/>
      <c r="C1164" s="357"/>
      <c r="D1164" s="180">
        <v>7</v>
      </c>
      <c r="E1164" s="129" t="s">
        <v>163</v>
      </c>
      <c r="F1164" s="61" t="s">
        <v>164</v>
      </c>
      <c r="G1164" s="61">
        <v>1</v>
      </c>
      <c r="H1164" s="61">
        <v>4</v>
      </c>
      <c r="I1164" s="61" t="s">
        <v>165</v>
      </c>
      <c r="J1164" s="61"/>
      <c r="K1164" s="61"/>
      <c r="L1164" s="129"/>
    </row>
    <row r="1165" spans="2:12" s="5" customFormat="1" ht="15.75">
      <c r="B1165" s="368"/>
      <c r="C1165" s="357"/>
      <c r="D1165" s="180">
        <v>8</v>
      </c>
      <c r="E1165" s="129" t="s">
        <v>186</v>
      </c>
      <c r="F1165" s="61" t="s">
        <v>127</v>
      </c>
      <c r="G1165" s="61" t="s">
        <v>1384</v>
      </c>
      <c r="H1165" s="61" t="s">
        <v>192</v>
      </c>
      <c r="I1165" s="61" t="s">
        <v>193</v>
      </c>
      <c r="J1165" s="61"/>
      <c r="K1165" s="61"/>
      <c r="L1165" s="129"/>
    </row>
    <row r="1166" spans="2:12" s="5" customFormat="1" ht="15.75">
      <c r="B1166" s="368"/>
      <c r="C1166" s="357"/>
      <c r="D1166" s="180">
        <v>9</v>
      </c>
      <c r="E1166" s="129"/>
      <c r="F1166" s="61" t="s">
        <v>125</v>
      </c>
      <c r="G1166" s="61">
        <v>1000</v>
      </c>
      <c r="H1166" s="61"/>
      <c r="I1166" s="61"/>
      <c r="J1166" s="61"/>
      <c r="K1166" s="61"/>
      <c r="L1166" s="129"/>
    </row>
    <row r="1167" spans="2:12" s="5" customFormat="1" ht="15.75">
      <c r="B1167" s="368"/>
      <c r="C1167" s="357"/>
      <c r="D1167" s="180">
        <v>10</v>
      </c>
      <c r="E1167" s="129" t="s">
        <v>146</v>
      </c>
      <c r="F1167" s="61" t="s">
        <v>123</v>
      </c>
      <c r="G1167" s="61"/>
      <c r="H1167" s="61"/>
      <c r="I1167" s="61"/>
      <c r="J1167" s="61"/>
      <c r="K1167" s="61"/>
      <c r="L1167" s="129"/>
    </row>
    <row r="1168" spans="2:12" s="5" customFormat="1" ht="15.75">
      <c r="B1168" s="369"/>
      <c r="C1168" s="358"/>
      <c r="D1168" s="129"/>
      <c r="E1168" s="129"/>
      <c r="F1168" s="61"/>
      <c r="G1168" s="61"/>
      <c r="H1168" s="61"/>
      <c r="I1168" s="61"/>
      <c r="J1168" s="61"/>
      <c r="K1168" s="61"/>
      <c r="L1168" s="129"/>
    </row>
    <row r="1169" spans="2:12" s="5" customFormat="1" ht="15.75">
      <c r="B1169" s="370" t="s">
        <v>1413</v>
      </c>
      <c r="C1169" s="356" t="s">
        <v>1728</v>
      </c>
      <c r="D1169" s="129">
        <v>1</v>
      </c>
      <c r="E1169" s="129" t="s">
        <v>1639</v>
      </c>
      <c r="F1169" s="61" t="s">
        <v>87</v>
      </c>
      <c r="G1169" s="61" t="s">
        <v>1640</v>
      </c>
      <c r="H1169" s="61"/>
      <c r="I1169" s="61"/>
      <c r="J1169" s="61"/>
      <c r="K1169" s="61"/>
      <c r="L1169" s="129"/>
    </row>
    <row r="1170" spans="2:12" s="5" customFormat="1" ht="15.75">
      <c r="B1170" s="368"/>
      <c r="C1170" s="357"/>
      <c r="D1170" s="129">
        <v>2</v>
      </c>
      <c r="E1170" s="129" t="s">
        <v>142</v>
      </c>
      <c r="F1170" s="61" t="s">
        <v>122</v>
      </c>
      <c r="G1170" s="61"/>
      <c r="H1170" s="61"/>
      <c r="I1170" s="61"/>
      <c r="J1170" s="61"/>
      <c r="K1170" s="61"/>
      <c r="L1170" s="129"/>
    </row>
    <row r="1171" spans="2:12" s="5" customFormat="1" ht="15.75">
      <c r="B1171" s="368"/>
      <c r="C1171" s="357"/>
      <c r="D1171" s="180">
        <v>3</v>
      </c>
      <c r="E1171" s="129"/>
      <c r="F1171" s="61" t="s">
        <v>1399</v>
      </c>
      <c r="G1171" s="61" t="s">
        <v>1647</v>
      </c>
      <c r="H1171" s="61"/>
      <c r="I1171" s="61"/>
      <c r="J1171" s="61"/>
      <c r="K1171" s="61"/>
      <c r="L1171" s="129"/>
    </row>
    <row r="1172" spans="2:12" s="5" customFormat="1" ht="15.75">
      <c r="B1172" s="368"/>
      <c r="C1172" s="357"/>
      <c r="D1172" s="180">
        <v>4</v>
      </c>
      <c r="E1172" s="180"/>
      <c r="F1172" s="61" t="s">
        <v>1933</v>
      </c>
      <c r="G1172" s="61">
        <v>1000</v>
      </c>
      <c r="H1172" s="61"/>
      <c r="I1172" s="61"/>
      <c r="J1172" s="61"/>
      <c r="K1172" s="61"/>
      <c r="L1172" s="180"/>
    </row>
    <row r="1173" spans="2:12" s="5" customFormat="1" ht="15.75">
      <c r="B1173" s="368"/>
      <c r="C1173" s="357"/>
      <c r="D1173" s="180">
        <v>5</v>
      </c>
      <c r="E1173" s="129"/>
      <c r="F1173" s="61" t="s">
        <v>135</v>
      </c>
      <c r="G1173" s="61">
        <v>4</v>
      </c>
      <c r="H1173" s="61" t="s">
        <v>1294</v>
      </c>
      <c r="I1173" s="61" t="s">
        <v>1411</v>
      </c>
      <c r="J1173" s="61"/>
      <c r="K1173" s="61"/>
      <c r="L1173" s="129"/>
    </row>
    <row r="1174" spans="2:12" s="5" customFormat="1" ht="15.75">
      <c r="B1174" s="368"/>
      <c r="C1174" s="357"/>
      <c r="D1174" s="180">
        <v>6</v>
      </c>
      <c r="E1174" s="180"/>
      <c r="F1174" s="61" t="s">
        <v>125</v>
      </c>
      <c r="G1174" s="61">
        <v>100</v>
      </c>
      <c r="H1174" s="61"/>
      <c r="I1174" s="61"/>
      <c r="J1174" s="61"/>
      <c r="K1174" s="61"/>
      <c r="L1174" s="180"/>
    </row>
    <row r="1175" spans="2:12" s="5" customFormat="1" ht="15.75">
      <c r="B1175" s="368"/>
      <c r="C1175" s="357"/>
      <c r="D1175" s="180">
        <v>7</v>
      </c>
      <c r="E1175" s="180" t="s">
        <v>1524</v>
      </c>
      <c r="F1175" s="61" t="s">
        <v>81</v>
      </c>
      <c r="G1175" s="61" t="s">
        <v>1517</v>
      </c>
      <c r="H1175" s="61"/>
      <c r="I1175" s="61"/>
      <c r="J1175" s="61"/>
      <c r="K1175" s="61"/>
      <c r="L1175" s="180"/>
    </row>
    <row r="1176" spans="2:12" s="5" customFormat="1" ht="15.75">
      <c r="B1176" s="368"/>
      <c r="C1176" s="357"/>
      <c r="D1176" s="180">
        <v>8</v>
      </c>
      <c r="E1176" s="129" t="s">
        <v>163</v>
      </c>
      <c r="F1176" s="61" t="s">
        <v>164</v>
      </c>
      <c r="G1176" s="61">
        <v>1</v>
      </c>
      <c r="H1176" s="61">
        <v>4</v>
      </c>
      <c r="I1176" s="61" t="s">
        <v>165</v>
      </c>
      <c r="J1176" s="61"/>
      <c r="K1176" s="61"/>
      <c r="L1176" s="129"/>
    </row>
    <row r="1177" spans="2:12" s="5" customFormat="1" ht="15.75">
      <c r="B1177" s="368"/>
      <c r="C1177" s="357"/>
      <c r="D1177" s="180">
        <v>9</v>
      </c>
      <c r="E1177" s="129" t="s">
        <v>187</v>
      </c>
      <c r="F1177" s="61" t="s">
        <v>127</v>
      </c>
      <c r="G1177" s="61" t="s">
        <v>1384</v>
      </c>
      <c r="H1177" s="61" t="s">
        <v>192</v>
      </c>
      <c r="I1177" s="61" t="s">
        <v>188</v>
      </c>
      <c r="J1177" s="61"/>
      <c r="K1177" s="61"/>
      <c r="L1177" s="129"/>
    </row>
    <row r="1178" spans="2:12" s="5" customFormat="1" ht="15.75">
      <c r="B1178" s="368"/>
      <c r="C1178" s="357"/>
      <c r="D1178" s="180">
        <v>10</v>
      </c>
      <c r="E1178" s="129" t="s">
        <v>194</v>
      </c>
      <c r="F1178" s="61" t="s">
        <v>125</v>
      </c>
      <c r="G1178" s="61" t="s">
        <v>1546</v>
      </c>
      <c r="H1178" s="61"/>
      <c r="I1178" s="61"/>
      <c r="J1178" s="61"/>
      <c r="K1178" s="61"/>
      <c r="L1178" s="129"/>
    </row>
    <row r="1179" spans="2:12" s="5" customFormat="1" ht="15.75">
      <c r="B1179" s="368"/>
      <c r="C1179" s="357"/>
      <c r="D1179" s="180">
        <v>11</v>
      </c>
      <c r="E1179" s="180" t="s">
        <v>195</v>
      </c>
      <c r="F1179" s="61" t="s">
        <v>81</v>
      </c>
      <c r="G1179" s="61" t="s">
        <v>196</v>
      </c>
      <c r="H1179" s="61" t="s">
        <v>197</v>
      </c>
      <c r="I1179" s="61" t="s">
        <v>197</v>
      </c>
      <c r="J1179" s="61"/>
      <c r="K1179" s="61"/>
      <c r="L1179" s="180"/>
    </row>
    <row r="1180" spans="2:12" s="5" customFormat="1" ht="15.75">
      <c r="B1180" s="368"/>
      <c r="C1180" s="357"/>
      <c r="D1180" s="180">
        <v>12</v>
      </c>
      <c r="E1180" s="180"/>
      <c r="F1180" s="61" t="s">
        <v>81</v>
      </c>
      <c r="G1180" s="61" t="s">
        <v>198</v>
      </c>
      <c r="H1180" s="61" t="s">
        <v>199</v>
      </c>
      <c r="I1180" s="61" t="s">
        <v>197</v>
      </c>
      <c r="J1180" s="61" t="s">
        <v>197</v>
      </c>
      <c r="K1180" s="61"/>
      <c r="L1180" s="180"/>
    </row>
    <row r="1181" spans="2:12" s="5" customFormat="1" ht="15.75">
      <c r="B1181" s="368"/>
      <c r="C1181" s="357"/>
      <c r="D1181" s="180">
        <v>13</v>
      </c>
      <c r="E1181" s="129" t="s">
        <v>146</v>
      </c>
      <c r="F1181" s="61" t="s">
        <v>123</v>
      </c>
      <c r="G1181" s="61"/>
      <c r="H1181" s="61"/>
      <c r="I1181" s="61"/>
      <c r="J1181" s="61"/>
      <c r="K1181" s="61"/>
      <c r="L1181" s="129"/>
    </row>
    <row r="1182" spans="2:12" s="5" customFormat="1" ht="15.75">
      <c r="B1182" s="369"/>
      <c r="C1182" s="358"/>
      <c r="D1182" s="129"/>
      <c r="E1182" s="129"/>
      <c r="F1182" s="61"/>
      <c r="G1182" s="61"/>
      <c r="H1182" s="61"/>
      <c r="I1182" s="61"/>
      <c r="J1182" s="61"/>
      <c r="K1182" s="61"/>
      <c r="L1182" s="129"/>
    </row>
    <row r="1183" spans="2:12" s="5" customFormat="1" ht="15.75">
      <c r="B1183" s="370" t="s">
        <v>1414</v>
      </c>
      <c r="C1183" s="356" t="s">
        <v>1728</v>
      </c>
      <c r="D1183" s="129">
        <v>1</v>
      </c>
      <c r="E1183" s="129" t="s">
        <v>1639</v>
      </c>
      <c r="F1183" s="61" t="s">
        <v>87</v>
      </c>
      <c r="G1183" s="61" t="s">
        <v>1640</v>
      </c>
      <c r="H1183" s="61"/>
      <c r="I1183" s="61"/>
      <c r="J1183" s="61"/>
      <c r="K1183" s="61"/>
      <c r="L1183" s="129"/>
    </row>
    <row r="1184" spans="2:12" s="5" customFormat="1" ht="15.75">
      <c r="B1184" s="368"/>
      <c r="C1184" s="357"/>
      <c r="D1184" s="129">
        <v>2</v>
      </c>
      <c r="E1184" s="129" t="s">
        <v>142</v>
      </c>
      <c r="F1184" s="61" t="s">
        <v>122</v>
      </c>
      <c r="G1184" s="61"/>
      <c r="H1184" s="61"/>
      <c r="I1184" s="61"/>
      <c r="J1184" s="61"/>
      <c r="K1184" s="61"/>
      <c r="L1184" s="129"/>
    </row>
    <row r="1185" spans="2:12" s="5" customFormat="1" ht="15.75">
      <c r="B1185" s="368"/>
      <c r="C1185" s="357"/>
      <c r="D1185" s="180">
        <v>3</v>
      </c>
      <c r="E1185" s="129"/>
      <c r="F1185" s="61" t="s">
        <v>1399</v>
      </c>
      <c r="G1185" s="61" t="s">
        <v>1647</v>
      </c>
      <c r="H1185" s="61"/>
      <c r="I1185" s="61"/>
      <c r="J1185" s="61"/>
      <c r="K1185" s="61"/>
      <c r="L1185" s="129"/>
    </row>
    <row r="1186" spans="2:12" s="5" customFormat="1" ht="15.75">
      <c r="B1186" s="368"/>
      <c r="C1186" s="357"/>
      <c r="D1186" s="180">
        <v>4</v>
      </c>
      <c r="E1186" s="180"/>
      <c r="F1186" s="61" t="s">
        <v>1933</v>
      </c>
      <c r="G1186" s="61">
        <v>1000</v>
      </c>
      <c r="H1186" s="61"/>
      <c r="I1186" s="61"/>
      <c r="J1186" s="61"/>
      <c r="K1186" s="61"/>
      <c r="L1186" s="180"/>
    </row>
    <row r="1187" spans="2:12" s="5" customFormat="1" ht="15.75">
      <c r="B1187" s="368"/>
      <c r="C1187" s="357"/>
      <c r="D1187" s="180">
        <v>5</v>
      </c>
      <c r="E1187" s="129"/>
      <c r="F1187" s="61" t="s">
        <v>135</v>
      </c>
      <c r="G1187" s="61">
        <v>4</v>
      </c>
      <c r="H1187" s="61" t="s">
        <v>1294</v>
      </c>
      <c r="I1187" s="61" t="s">
        <v>1411</v>
      </c>
      <c r="J1187" s="61"/>
      <c r="K1187" s="61"/>
      <c r="L1187" s="129"/>
    </row>
    <row r="1188" spans="2:12" s="5" customFormat="1" ht="15.75">
      <c r="B1188" s="368"/>
      <c r="C1188" s="357"/>
      <c r="D1188" s="180">
        <v>6</v>
      </c>
      <c r="E1188" s="180"/>
      <c r="F1188" s="61" t="s">
        <v>125</v>
      </c>
      <c r="G1188" s="61">
        <v>100</v>
      </c>
      <c r="H1188" s="61"/>
      <c r="I1188" s="61"/>
      <c r="J1188" s="61"/>
      <c r="K1188" s="61"/>
      <c r="L1188" s="180"/>
    </row>
    <row r="1189" spans="2:12" s="5" customFormat="1" ht="15.75">
      <c r="B1189" s="368"/>
      <c r="C1189" s="357"/>
      <c r="D1189" s="180">
        <v>7</v>
      </c>
      <c r="E1189" s="129" t="s">
        <v>163</v>
      </c>
      <c r="F1189" s="61" t="s">
        <v>164</v>
      </c>
      <c r="G1189" s="61">
        <v>1</v>
      </c>
      <c r="H1189" s="61">
        <v>4</v>
      </c>
      <c r="I1189" s="61" t="s">
        <v>165</v>
      </c>
      <c r="J1189" s="61"/>
      <c r="K1189" s="61"/>
      <c r="L1189" s="129"/>
    </row>
    <row r="1190" spans="2:12" s="5" customFormat="1" ht="15.75">
      <c r="B1190" s="368"/>
      <c r="C1190" s="357"/>
      <c r="D1190" s="180">
        <v>8</v>
      </c>
      <c r="E1190" s="129" t="s">
        <v>187</v>
      </c>
      <c r="F1190" s="61" t="s">
        <v>127</v>
      </c>
      <c r="G1190" s="61" t="s">
        <v>1384</v>
      </c>
      <c r="H1190" s="61" t="s">
        <v>192</v>
      </c>
      <c r="I1190" s="61" t="s">
        <v>188</v>
      </c>
      <c r="J1190" s="61"/>
      <c r="K1190" s="61"/>
      <c r="L1190" s="129"/>
    </row>
    <row r="1191" spans="2:12" s="5" customFormat="1" ht="15.75">
      <c r="B1191" s="368"/>
      <c r="C1191" s="357"/>
      <c r="D1191" s="180">
        <v>9</v>
      </c>
      <c r="E1191" s="129"/>
      <c r="F1191" s="61" t="s">
        <v>125</v>
      </c>
      <c r="G1191" s="61">
        <v>1000</v>
      </c>
      <c r="H1191" s="61"/>
      <c r="I1191" s="61"/>
      <c r="J1191" s="61"/>
      <c r="K1191" s="61"/>
      <c r="L1191" s="129"/>
    </row>
    <row r="1192" spans="2:12" s="5" customFormat="1" ht="15.75">
      <c r="B1192" s="368"/>
      <c r="C1192" s="357"/>
      <c r="D1192" s="180">
        <v>10</v>
      </c>
      <c r="E1192" s="129" t="s">
        <v>146</v>
      </c>
      <c r="F1192" s="61" t="s">
        <v>123</v>
      </c>
      <c r="G1192" s="61"/>
      <c r="H1192" s="61"/>
      <c r="I1192" s="61"/>
      <c r="J1192" s="61"/>
      <c r="K1192" s="61"/>
      <c r="L1192" s="129"/>
    </row>
    <row r="1193" spans="2:12" s="5" customFormat="1" ht="15.75">
      <c r="B1193" s="369"/>
      <c r="C1193" s="358"/>
      <c r="D1193" s="129"/>
      <c r="E1193" s="129"/>
      <c r="F1193" s="61"/>
      <c r="G1193" s="61"/>
      <c r="H1193" s="61"/>
      <c r="I1193" s="61"/>
      <c r="J1193" s="61"/>
      <c r="K1193" s="61"/>
      <c r="L1193" s="129"/>
    </row>
    <row r="1194" spans="2:12" s="5" customFormat="1" ht="15.75">
      <c r="B1194" s="370" t="s">
        <v>1415</v>
      </c>
      <c r="C1194" s="356" t="s">
        <v>1728</v>
      </c>
      <c r="D1194" s="129">
        <v>1</v>
      </c>
      <c r="E1194" s="129" t="s">
        <v>1639</v>
      </c>
      <c r="F1194" s="61" t="s">
        <v>87</v>
      </c>
      <c r="G1194" s="61" t="s">
        <v>1640</v>
      </c>
      <c r="H1194" s="61"/>
      <c r="I1194" s="61"/>
      <c r="J1194" s="61"/>
      <c r="K1194" s="61"/>
      <c r="L1194" s="129"/>
    </row>
    <row r="1195" spans="2:12" s="5" customFormat="1" ht="15.75">
      <c r="B1195" s="368"/>
      <c r="C1195" s="357"/>
      <c r="D1195" s="129">
        <v>2</v>
      </c>
      <c r="E1195" s="129" t="s">
        <v>142</v>
      </c>
      <c r="F1195" s="61" t="s">
        <v>122</v>
      </c>
      <c r="G1195" s="61"/>
      <c r="H1195" s="61"/>
      <c r="I1195" s="61"/>
      <c r="J1195" s="61"/>
      <c r="K1195" s="61"/>
      <c r="L1195" s="129"/>
    </row>
    <row r="1196" spans="2:12" s="5" customFormat="1" ht="15.75">
      <c r="B1196" s="368"/>
      <c r="C1196" s="357"/>
      <c r="D1196" s="180">
        <v>3</v>
      </c>
      <c r="E1196" s="129"/>
      <c r="F1196" s="61" t="s">
        <v>1399</v>
      </c>
      <c r="G1196" s="61" t="s">
        <v>1647</v>
      </c>
      <c r="H1196" s="61"/>
      <c r="I1196" s="61"/>
      <c r="J1196" s="61"/>
      <c r="K1196" s="61"/>
      <c r="L1196" s="129"/>
    </row>
    <row r="1197" spans="2:12" s="5" customFormat="1" ht="15.75">
      <c r="B1197" s="368"/>
      <c r="C1197" s="357"/>
      <c r="D1197" s="180">
        <v>4</v>
      </c>
      <c r="E1197" s="180"/>
      <c r="F1197" s="61" t="s">
        <v>1933</v>
      </c>
      <c r="G1197" s="61">
        <v>1000</v>
      </c>
      <c r="H1197" s="61"/>
      <c r="I1197" s="61"/>
      <c r="J1197" s="61"/>
      <c r="K1197" s="61"/>
      <c r="L1197" s="180"/>
    </row>
    <row r="1198" spans="2:12" s="5" customFormat="1" ht="15.75">
      <c r="B1198" s="368"/>
      <c r="C1198" s="357"/>
      <c r="D1198" s="180">
        <v>5</v>
      </c>
      <c r="E1198" s="129"/>
      <c r="F1198" s="61" t="s">
        <v>135</v>
      </c>
      <c r="G1198" s="61">
        <v>4</v>
      </c>
      <c r="H1198" s="61" t="s">
        <v>1294</v>
      </c>
      <c r="I1198" s="61" t="s">
        <v>1411</v>
      </c>
      <c r="J1198" s="61"/>
      <c r="K1198" s="61"/>
      <c r="L1198" s="129"/>
    </row>
    <row r="1199" spans="2:12" s="5" customFormat="1" ht="15.75">
      <c r="B1199" s="368"/>
      <c r="C1199" s="357"/>
      <c r="D1199" s="180">
        <v>6</v>
      </c>
      <c r="E1199" s="180"/>
      <c r="F1199" s="61" t="s">
        <v>125</v>
      </c>
      <c r="G1199" s="61">
        <v>100</v>
      </c>
      <c r="H1199" s="61"/>
      <c r="I1199" s="61"/>
      <c r="J1199" s="61"/>
      <c r="K1199" s="61"/>
      <c r="L1199" s="180"/>
    </row>
    <row r="1200" spans="2:12" s="5" customFormat="1" ht="15.75">
      <c r="B1200" s="368"/>
      <c r="C1200" s="357"/>
      <c r="D1200" s="180">
        <v>7</v>
      </c>
      <c r="E1200" s="180" t="s">
        <v>1524</v>
      </c>
      <c r="F1200" s="61" t="s">
        <v>81</v>
      </c>
      <c r="G1200" s="61" t="s">
        <v>1517</v>
      </c>
      <c r="H1200" s="61"/>
      <c r="I1200" s="61"/>
      <c r="J1200" s="61"/>
      <c r="K1200" s="61"/>
      <c r="L1200" s="180"/>
    </row>
    <row r="1201" spans="2:12" s="5" customFormat="1" ht="15.75">
      <c r="B1201" s="368"/>
      <c r="C1201" s="357"/>
      <c r="D1201" s="180">
        <v>8</v>
      </c>
      <c r="E1201" s="129" t="s">
        <v>163</v>
      </c>
      <c r="F1201" s="61" t="s">
        <v>164</v>
      </c>
      <c r="G1201" s="61">
        <v>1</v>
      </c>
      <c r="H1201" s="61">
        <v>4</v>
      </c>
      <c r="I1201" s="61" t="s">
        <v>165</v>
      </c>
      <c r="J1201" s="61"/>
      <c r="K1201" s="61"/>
      <c r="L1201" s="129"/>
    </row>
    <row r="1202" spans="2:12" s="5" customFormat="1" ht="15.75">
      <c r="B1202" s="368"/>
      <c r="C1202" s="357"/>
      <c r="D1202" s="180">
        <v>9</v>
      </c>
      <c r="E1202" s="129" t="s">
        <v>189</v>
      </c>
      <c r="F1202" s="61" t="s">
        <v>127</v>
      </c>
      <c r="G1202" s="61" t="s">
        <v>1384</v>
      </c>
      <c r="H1202" s="61" t="s">
        <v>192</v>
      </c>
      <c r="I1202" s="61">
        <v>1</v>
      </c>
      <c r="J1202" s="61"/>
      <c r="K1202" s="61"/>
      <c r="L1202" s="129"/>
    </row>
    <row r="1203" spans="2:12" s="5" customFormat="1" ht="15.75">
      <c r="B1203" s="368"/>
      <c r="C1203" s="357"/>
      <c r="D1203" s="180">
        <v>10</v>
      </c>
      <c r="E1203" s="129" t="s">
        <v>194</v>
      </c>
      <c r="F1203" s="61" t="s">
        <v>125</v>
      </c>
      <c r="G1203" s="61" t="s">
        <v>1546</v>
      </c>
      <c r="H1203" s="61"/>
      <c r="I1203" s="61"/>
      <c r="J1203" s="61"/>
      <c r="K1203" s="61"/>
      <c r="L1203" s="129"/>
    </row>
    <row r="1204" spans="2:12" s="5" customFormat="1" ht="15.75">
      <c r="B1204" s="368"/>
      <c r="C1204" s="357"/>
      <c r="D1204" s="180">
        <v>11</v>
      </c>
      <c r="E1204" s="180" t="s">
        <v>195</v>
      </c>
      <c r="F1204" s="61" t="s">
        <v>81</v>
      </c>
      <c r="G1204" s="61" t="s">
        <v>196</v>
      </c>
      <c r="H1204" s="61" t="s">
        <v>197</v>
      </c>
      <c r="I1204" s="61" t="s">
        <v>197</v>
      </c>
      <c r="J1204" s="61"/>
      <c r="K1204" s="61"/>
      <c r="L1204" s="180"/>
    </row>
    <row r="1205" spans="2:12" s="5" customFormat="1" ht="15.75">
      <c r="B1205" s="368"/>
      <c r="C1205" s="357"/>
      <c r="D1205" s="180">
        <v>12</v>
      </c>
      <c r="E1205" s="180"/>
      <c r="F1205" s="61" t="s">
        <v>81</v>
      </c>
      <c r="G1205" s="61" t="s">
        <v>198</v>
      </c>
      <c r="H1205" s="61" t="s">
        <v>199</v>
      </c>
      <c r="I1205" s="61" t="s">
        <v>197</v>
      </c>
      <c r="J1205" s="61" t="s">
        <v>197</v>
      </c>
      <c r="K1205" s="61"/>
      <c r="L1205" s="180"/>
    </row>
    <row r="1206" spans="2:12" s="5" customFormat="1" ht="15.75">
      <c r="B1206" s="368"/>
      <c r="C1206" s="357"/>
      <c r="D1206" s="180">
        <v>13</v>
      </c>
      <c r="E1206" s="129" t="s">
        <v>146</v>
      </c>
      <c r="F1206" s="61" t="s">
        <v>123</v>
      </c>
      <c r="G1206" s="61"/>
      <c r="H1206" s="61"/>
      <c r="I1206" s="61"/>
      <c r="J1206" s="61"/>
      <c r="K1206" s="61"/>
      <c r="L1206" s="129"/>
    </row>
    <row r="1207" spans="2:12" s="5" customFormat="1" ht="15.75">
      <c r="B1207" s="369"/>
      <c r="C1207" s="358"/>
      <c r="D1207" s="129"/>
      <c r="E1207" s="129"/>
      <c r="F1207" s="61"/>
      <c r="G1207" s="61"/>
      <c r="H1207" s="61"/>
      <c r="I1207" s="61"/>
      <c r="J1207" s="61"/>
      <c r="K1207" s="61"/>
      <c r="L1207" s="129"/>
    </row>
    <row r="1208" spans="2:12" s="5" customFormat="1" ht="15.75">
      <c r="B1208" s="370" t="s">
        <v>1416</v>
      </c>
      <c r="C1208" s="356" t="s">
        <v>1728</v>
      </c>
      <c r="D1208" s="129">
        <v>1</v>
      </c>
      <c r="E1208" s="129" t="s">
        <v>1639</v>
      </c>
      <c r="F1208" s="61" t="s">
        <v>87</v>
      </c>
      <c r="G1208" s="61" t="s">
        <v>1640</v>
      </c>
      <c r="H1208" s="61"/>
      <c r="I1208" s="61"/>
      <c r="J1208" s="61"/>
      <c r="K1208" s="61"/>
      <c r="L1208" s="129"/>
    </row>
    <row r="1209" spans="2:12" s="5" customFormat="1" ht="15.75">
      <c r="B1209" s="368"/>
      <c r="C1209" s="357"/>
      <c r="D1209" s="129">
        <v>2</v>
      </c>
      <c r="E1209" s="129" t="s">
        <v>142</v>
      </c>
      <c r="F1209" s="61" t="s">
        <v>122</v>
      </c>
      <c r="G1209" s="61"/>
      <c r="H1209" s="61"/>
      <c r="I1209" s="61"/>
      <c r="J1209" s="61"/>
      <c r="K1209" s="61"/>
      <c r="L1209" s="129"/>
    </row>
    <row r="1210" spans="2:12" s="5" customFormat="1" ht="15.75">
      <c r="B1210" s="368"/>
      <c r="C1210" s="357"/>
      <c r="D1210" s="180">
        <v>3</v>
      </c>
      <c r="E1210" s="129"/>
      <c r="F1210" s="61" t="s">
        <v>1399</v>
      </c>
      <c r="G1210" s="61" t="s">
        <v>1647</v>
      </c>
      <c r="H1210" s="61"/>
      <c r="I1210" s="61"/>
      <c r="J1210" s="61"/>
      <c r="K1210" s="61"/>
      <c r="L1210" s="129"/>
    </row>
    <row r="1211" spans="2:12" s="5" customFormat="1" ht="15.75">
      <c r="B1211" s="368"/>
      <c r="C1211" s="357"/>
      <c r="D1211" s="180">
        <v>4</v>
      </c>
      <c r="E1211" s="180"/>
      <c r="F1211" s="61" t="s">
        <v>1933</v>
      </c>
      <c r="G1211" s="61">
        <v>1000</v>
      </c>
      <c r="H1211" s="61"/>
      <c r="I1211" s="61"/>
      <c r="J1211" s="61"/>
      <c r="K1211" s="61"/>
      <c r="L1211" s="180"/>
    </row>
    <row r="1212" spans="2:12" s="5" customFormat="1" ht="15.75">
      <c r="B1212" s="368"/>
      <c r="C1212" s="357"/>
      <c r="D1212" s="180">
        <v>5</v>
      </c>
      <c r="E1212" s="129"/>
      <c r="F1212" s="61" t="s">
        <v>135</v>
      </c>
      <c r="G1212" s="61">
        <v>4</v>
      </c>
      <c r="H1212" s="61" t="s">
        <v>1294</v>
      </c>
      <c r="I1212" s="61" t="s">
        <v>1411</v>
      </c>
      <c r="J1212" s="61"/>
      <c r="K1212" s="61"/>
      <c r="L1212" s="129"/>
    </row>
    <row r="1213" spans="2:12" s="5" customFormat="1" ht="15.75">
      <c r="B1213" s="368"/>
      <c r="C1213" s="357"/>
      <c r="D1213" s="180">
        <v>6</v>
      </c>
      <c r="E1213" s="180"/>
      <c r="F1213" s="61" t="s">
        <v>125</v>
      </c>
      <c r="G1213" s="61"/>
      <c r="H1213" s="61"/>
      <c r="I1213" s="61"/>
      <c r="J1213" s="61"/>
      <c r="K1213" s="61"/>
      <c r="L1213" s="180"/>
    </row>
    <row r="1214" spans="2:12" s="5" customFormat="1" ht="15.75">
      <c r="B1214" s="368"/>
      <c r="C1214" s="357"/>
      <c r="D1214" s="180">
        <v>7</v>
      </c>
      <c r="E1214" s="129" t="s">
        <v>163</v>
      </c>
      <c r="F1214" s="61" t="s">
        <v>164</v>
      </c>
      <c r="G1214" s="61">
        <v>1</v>
      </c>
      <c r="H1214" s="61">
        <v>4</v>
      </c>
      <c r="I1214" s="61" t="s">
        <v>165</v>
      </c>
      <c r="J1214" s="61"/>
      <c r="K1214" s="61"/>
      <c r="L1214" s="129"/>
    </row>
    <row r="1215" spans="2:12" s="5" customFormat="1" ht="15.75">
      <c r="B1215" s="368"/>
      <c r="C1215" s="357"/>
      <c r="D1215" s="180">
        <v>8</v>
      </c>
      <c r="E1215" s="129" t="s">
        <v>189</v>
      </c>
      <c r="F1215" s="61" t="s">
        <v>127</v>
      </c>
      <c r="G1215" s="61" t="s">
        <v>1384</v>
      </c>
      <c r="H1215" s="61" t="s">
        <v>192</v>
      </c>
      <c r="I1215" s="61">
        <v>1</v>
      </c>
      <c r="J1215" s="61"/>
      <c r="K1215" s="61"/>
      <c r="L1215" s="129"/>
    </row>
    <row r="1216" spans="2:12" s="5" customFormat="1" ht="15.75">
      <c r="B1216" s="368"/>
      <c r="C1216" s="357"/>
      <c r="D1216" s="180">
        <v>9</v>
      </c>
      <c r="E1216" s="129"/>
      <c r="F1216" s="61" t="s">
        <v>125</v>
      </c>
      <c r="G1216" s="61">
        <v>1000</v>
      </c>
      <c r="H1216" s="61"/>
      <c r="I1216" s="61"/>
      <c r="J1216" s="61"/>
      <c r="K1216" s="61"/>
      <c r="L1216" s="129"/>
    </row>
    <row r="1217" spans="2:12" s="5" customFormat="1" ht="15.75">
      <c r="B1217" s="368"/>
      <c r="C1217" s="357"/>
      <c r="D1217" s="180">
        <v>10</v>
      </c>
      <c r="E1217" s="129" t="s">
        <v>146</v>
      </c>
      <c r="F1217" s="61" t="s">
        <v>123</v>
      </c>
      <c r="G1217" s="61"/>
      <c r="H1217" s="61"/>
      <c r="I1217" s="61"/>
      <c r="J1217" s="61"/>
      <c r="K1217" s="61"/>
      <c r="L1217" s="129"/>
    </row>
    <row r="1218" spans="2:12" s="5" customFormat="1" ht="15.75">
      <c r="B1218" s="369"/>
      <c r="C1218" s="358"/>
      <c r="D1218" s="129"/>
      <c r="E1218" s="129"/>
      <c r="F1218" s="61"/>
      <c r="G1218" s="61"/>
      <c r="H1218" s="61"/>
      <c r="I1218" s="61"/>
      <c r="J1218" s="61"/>
      <c r="K1218" s="61"/>
      <c r="L1218" s="129"/>
    </row>
    <row r="1219" spans="2:12" s="5" customFormat="1" ht="15.75">
      <c r="B1219" s="370" t="s">
        <v>1417</v>
      </c>
      <c r="C1219" s="356" t="s">
        <v>1728</v>
      </c>
      <c r="D1219" s="129">
        <v>1</v>
      </c>
      <c r="E1219" s="129" t="s">
        <v>1639</v>
      </c>
      <c r="F1219" s="61" t="s">
        <v>87</v>
      </c>
      <c r="G1219" s="61" t="s">
        <v>1640</v>
      </c>
      <c r="H1219" s="61"/>
      <c r="I1219" s="61"/>
      <c r="J1219" s="61"/>
      <c r="K1219" s="61"/>
      <c r="L1219" s="129"/>
    </row>
    <row r="1220" spans="2:12" s="5" customFormat="1" ht="15.75">
      <c r="B1220" s="368"/>
      <c r="C1220" s="357"/>
      <c r="D1220" s="129">
        <v>2</v>
      </c>
      <c r="E1220" s="129" t="s">
        <v>142</v>
      </c>
      <c r="F1220" s="61" t="s">
        <v>122</v>
      </c>
      <c r="G1220" s="61"/>
      <c r="H1220" s="61"/>
      <c r="I1220" s="61"/>
      <c r="J1220" s="61"/>
      <c r="K1220" s="61"/>
      <c r="L1220" s="129"/>
    </row>
    <row r="1221" spans="2:12" s="5" customFormat="1" ht="15.75">
      <c r="B1221" s="368"/>
      <c r="C1221" s="357"/>
      <c r="D1221" s="180">
        <v>3</v>
      </c>
      <c r="E1221" s="129"/>
      <c r="F1221" s="61" t="s">
        <v>1399</v>
      </c>
      <c r="G1221" s="61" t="s">
        <v>1647</v>
      </c>
      <c r="H1221" s="61"/>
      <c r="I1221" s="61"/>
      <c r="J1221" s="61"/>
      <c r="K1221" s="61"/>
      <c r="L1221" s="129"/>
    </row>
    <row r="1222" spans="2:12" s="5" customFormat="1" ht="15.75">
      <c r="B1222" s="368"/>
      <c r="C1222" s="357"/>
      <c r="D1222" s="180">
        <v>4</v>
      </c>
      <c r="E1222" s="180"/>
      <c r="F1222" s="61" t="s">
        <v>1933</v>
      </c>
      <c r="G1222" s="61">
        <v>1000</v>
      </c>
      <c r="H1222" s="61"/>
      <c r="I1222" s="61"/>
      <c r="J1222" s="61"/>
      <c r="K1222" s="61"/>
      <c r="L1222" s="180"/>
    </row>
    <row r="1223" spans="2:12" s="5" customFormat="1" ht="15.75">
      <c r="B1223" s="368"/>
      <c r="C1223" s="357"/>
      <c r="D1223" s="180">
        <v>5</v>
      </c>
      <c r="E1223" s="129"/>
      <c r="F1223" s="61" t="s">
        <v>135</v>
      </c>
      <c r="G1223" s="61">
        <v>4</v>
      </c>
      <c r="H1223" s="61" t="s">
        <v>1294</v>
      </c>
      <c r="I1223" s="61" t="s">
        <v>1411</v>
      </c>
      <c r="J1223" s="61"/>
      <c r="K1223" s="61"/>
      <c r="L1223" s="129"/>
    </row>
    <row r="1224" spans="2:12" s="5" customFormat="1" ht="15.75">
      <c r="B1224" s="368"/>
      <c r="C1224" s="357"/>
      <c r="D1224" s="180">
        <v>6</v>
      </c>
      <c r="E1224" s="180"/>
      <c r="F1224" s="61" t="s">
        <v>125</v>
      </c>
      <c r="G1224" s="61">
        <v>100</v>
      </c>
      <c r="H1224" s="61"/>
      <c r="I1224" s="61"/>
      <c r="J1224" s="61"/>
      <c r="K1224" s="61"/>
      <c r="L1224" s="180"/>
    </row>
    <row r="1225" spans="2:12" s="5" customFormat="1" ht="15.75">
      <c r="B1225" s="368"/>
      <c r="C1225" s="357"/>
      <c r="D1225" s="180">
        <v>7</v>
      </c>
      <c r="E1225" s="180" t="s">
        <v>1524</v>
      </c>
      <c r="F1225" s="61" t="s">
        <v>81</v>
      </c>
      <c r="G1225" s="61" t="s">
        <v>1517</v>
      </c>
      <c r="H1225" s="61"/>
      <c r="I1225" s="61"/>
      <c r="J1225" s="61"/>
      <c r="K1225" s="61"/>
      <c r="L1225" s="180"/>
    </row>
    <row r="1226" spans="2:12" s="5" customFormat="1" ht="15.75">
      <c r="B1226" s="368"/>
      <c r="C1226" s="357"/>
      <c r="D1226" s="180">
        <v>8</v>
      </c>
      <c r="E1226" s="129" t="s">
        <v>163</v>
      </c>
      <c r="F1226" s="61" t="s">
        <v>164</v>
      </c>
      <c r="G1226" s="61">
        <v>1</v>
      </c>
      <c r="H1226" s="61">
        <v>4</v>
      </c>
      <c r="I1226" s="61" t="s">
        <v>165</v>
      </c>
      <c r="J1226" s="61"/>
      <c r="K1226" s="61"/>
      <c r="L1226" s="129"/>
    </row>
    <row r="1227" spans="2:12" s="5" customFormat="1" ht="15.75">
      <c r="B1227" s="368"/>
      <c r="C1227" s="357"/>
      <c r="D1227" s="180">
        <v>9</v>
      </c>
      <c r="E1227" s="129" t="s">
        <v>1362</v>
      </c>
      <c r="F1227" s="61" t="s">
        <v>127</v>
      </c>
      <c r="G1227" s="61" t="s">
        <v>1384</v>
      </c>
      <c r="H1227" s="61" t="s">
        <v>192</v>
      </c>
      <c r="I1227" s="61" t="s">
        <v>1408</v>
      </c>
      <c r="J1227" s="61"/>
      <c r="K1227" s="61"/>
      <c r="L1227" s="129"/>
    </row>
    <row r="1228" spans="2:12" s="5" customFormat="1" ht="15.75">
      <c r="B1228" s="368"/>
      <c r="C1228" s="357"/>
      <c r="D1228" s="180">
        <v>10</v>
      </c>
      <c r="E1228" s="129" t="s">
        <v>194</v>
      </c>
      <c r="F1228" s="61" t="s">
        <v>125</v>
      </c>
      <c r="G1228" s="61" t="s">
        <v>1546</v>
      </c>
      <c r="H1228" s="61"/>
      <c r="I1228" s="61"/>
      <c r="J1228" s="61"/>
      <c r="K1228" s="61"/>
      <c r="L1228" s="129"/>
    </row>
    <row r="1229" spans="2:12" s="5" customFormat="1" ht="15.75">
      <c r="B1229" s="368"/>
      <c r="C1229" s="357"/>
      <c r="D1229" s="180">
        <v>11</v>
      </c>
      <c r="E1229" s="180" t="s">
        <v>195</v>
      </c>
      <c r="F1229" s="61" t="s">
        <v>81</v>
      </c>
      <c r="G1229" s="61" t="s">
        <v>196</v>
      </c>
      <c r="H1229" s="61" t="s">
        <v>197</v>
      </c>
      <c r="I1229" s="61" t="s">
        <v>197</v>
      </c>
      <c r="J1229" s="61"/>
      <c r="K1229" s="61"/>
      <c r="L1229" s="180"/>
    </row>
    <row r="1230" spans="2:12" s="5" customFormat="1" ht="15.75">
      <c r="B1230" s="368"/>
      <c r="C1230" s="357"/>
      <c r="D1230" s="180">
        <v>12</v>
      </c>
      <c r="E1230" s="180"/>
      <c r="F1230" s="61" t="s">
        <v>81</v>
      </c>
      <c r="G1230" s="61" t="s">
        <v>198</v>
      </c>
      <c r="H1230" s="61" t="s">
        <v>199</v>
      </c>
      <c r="I1230" s="61" t="s">
        <v>197</v>
      </c>
      <c r="J1230" s="61" t="s">
        <v>197</v>
      </c>
      <c r="K1230" s="61"/>
      <c r="L1230" s="180"/>
    </row>
    <row r="1231" spans="2:12" s="5" customFormat="1" ht="15.75">
      <c r="B1231" s="368"/>
      <c r="C1231" s="357"/>
      <c r="D1231" s="180">
        <v>13</v>
      </c>
      <c r="E1231" s="129" t="s">
        <v>146</v>
      </c>
      <c r="F1231" s="61" t="s">
        <v>123</v>
      </c>
      <c r="G1231" s="61"/>
      <c r="H1231" s="61"/>
      <c r="I1231" s="61"/>
      <c r="J1231" s="61"/>
      <c r="K1231" s="61"/>
      <c r="L1231" s="129"/>
    </row>
    <row r="1232" spans="2:12" s="5" customFormat="1" ht="15.75">
      <c r="B1232" s="369"/>
      <c r="C1232" s="358"/>
      <c r="D1232" s="129"/>
      <c r="E1232" s="129"/>
      <c r="F1232" s="61"/>
      <c r="G1232" s="61"/>
      <c r="H1232" s="61"/>
      <c r="I1232" s="61"/>
      <c r="J1232" s="61"/>
      <c r="K1232" s="61"/>
      <c r="L1232" s="129"/>
    </row>
    <row r="1233" spans="2:12" s="5" customFormat="1" ht="15.75">
      <c r="B1233" s="370" t="s">
        <v>1418</v>
      </c>
      <c r="C1233" s="356" t="s">
        <v>1728</v>
      </c>
      <c r="D1233" s="129">
        <v>1</v>
      </c>
      <c r="E1233" s="129" t="s">
        <v>1639</v>
      </c>
      <c r="F1233" s="61" t="s">
        <v>87</v>
      </c>
      <c r="G1233" s="61" t="s">
        <v>1640</v>
      </c>
      <c r="H1233" s="61"/>
      <c r="I1233" s="61"/>
      <c r="J1233" s="61"/>
      <c r="K1233" s="61"/>
      <c r="L1233" s="129"/>
    </row>
    <row r="1234" spans="2:12" s="5" customFormat="1" ht="15.75">
      <c r="B1234" s="368"/>
      <c r="C1234" s="357"/>
      <c r="D1234" s="129">
        <v>2</v>
      </c>
      <c r="E1234" s="129" t="s">
        <v>142</v>
      </c>
      <c r="F1234" s="61" t="s">
        <v>122</v>
      </c>
      <c r="G1234" s="61"/>
      <c r="H1234" s="61"/>
      <c r="I1234" s="61"/>
      <c r="J1234" s="61"/>
      <c r="K1234" s="61"/>
      <c r="L1234" s="129"/>
    </row>
    <row r="1235" spans="2:12" s="5" customFormat="1" ht="15.75">
      <c r="B1235" s="368"/>
      <c r="C1235" s="357"/>
      <c r="D1235" s="180">
        <v>3</v>
      </c>
      <c r="E1235" s="129"/>
      <c r="F1235" s="61" t="s">
        <v>1399</v>
      </c>
      <c r="G1235" s="61" t="s">
        <v>1647</v>
      </c>
      <c r="H1235" s="61"/>
      <c r="I1235" s="61"/>
      <c r="J1235" s="61"/>
      <c r="K1235" s="61"/>
      <c r="L1235" s="129"/>
    </row>
    <row r="1236" spans="2:12" s="5" customFormat="1" ht="15.75">
      <c r="B1236" s="368"/>
      <c r="C1236" s="357"/>
      <c r="D1236" s="180">
        <v>4</v>
      </c>
      <c r="E1236" s="180"/>
      <c r="F1236" s="61" t="s">
        <v>1933</v>
      </c>
      <c r="G1236" s="61">
        <v>1000</v>
      </c>
      <c r="H1236" s="61"/>
      <c r="I1236" s="61"/>
      <c r="J1236" s="61"/>
      <c r="K1236" s="61"/>
      <c r="L1236" s="180"/>
    </row>
    <row r="1237" spans="2:12" s="5" customFormat="1" ht="15.75">
      <c r="B1237" s="368"/>
      <c r="C1237" s="357"/>
      <c r="D1237" s="180">
        <v>5</v>
      </c>
      <c r="E1237" s="129"/>
      <c r="F1237" s="61" t="s">
        <v>135</v>
      </c>
      <c r="G1237" s="61">
        <v>4</v>
      </c>
      <c r="H1237" s="61" t="s">
        <v>1294</v>
      </c>
      <c r="I1237" s="61" t="s">
        <v>1411</v>
      </c>
      <c r="J1237" s="61"/>
      <c r="K1237" s="61"/>
      <c r="L1237" s="129"/>
    </row>
    <row r="1238" spans="2:12" s="5" customFormat="1" ht="15.75">
      <c r="B1238" s="368"/>
      <c r="C1238" s="357"/>
      <c r="D1238" s="180">
        <v>6</v>
      </c>
      <c r="E1238" s="180"/>
      <c r="F1238" s="61" t="s">
        <v>125</v>
      </c>
      <c r="G1238" s="61">
        <v>100</v>
      </c>
      <c r="H1238" s="61"/>
      <c r="I1238" s="61"/>
      <c r="J1238" s="61"/>
      <c r="K1238" s="61"/>
      <c r="L1238" s="180"/>
    </row>
    <row r="1239" spans="2:12" s="5" customFormat="1" ht="15.75">
      <c r="B1239" s="368"/>
      <c r="C1239" s="357"/>
      <c r="D1239" s="180">
        <v>7</v>
      </c>
      <c r="E1239" s="129" t="s">
        <v>163</v>
      </c>
      <c r="F1239" s="61" t="s">
        <v>164</v>
      </c>
      <c r="G1239" s="61">
        <v>1</v>
      </c>
      <c r="H1239" s="61">
        <v>4</v>
      </c>
      <c r="I1239" s="61" t="s">
        <v>165</v>
      </c>
      <c r="J1239" s="61"/>
      <c r="K1239" s="61"/>
      <c r="L1239" s="129"/>
    </row>
    <row r="1240" spans="2:12" s="5" customFormat="1" ht="15.75">
      <c r="B1240" s="368"/>
      <c r="C1240" s="357"/>
      <c r="D1240" s="180">
        <v>8</v>
      </c>
      <c r="E1240" s="129" t="s">
        <v>1362</v>
      </c>
      <c r="F1240" s="61" t="s">
        <v>127</v>
      </c>
      <c r="G1240" s="61" t="s">
        <v>1384</v>
      </c>
      <c r="H1240" s="61" t="s">
        <v>192</v>
      </c>
      <c r="I1240" s="61" t="s">
        <v>1408</v>
      </c>
      <c r="J1240" s="61"/>
      <c r="K1240" s="61"/>
      <c r="L1240" s="129"/>
    </row>
    <row r="1241" spans="2:12" s="5" customFormat="1" ht="15.75">
      <c r="B1241" s="368"/>
      <c r="C1241" s="357"/>
      <c r="D1241" s="180">
        <v>9</v>
      </c>
      <c r="E1241" s="129"/>
      <c r="F1241" s="61" t="s">
        <v>125</v>
      </c>
      <c r="G1241" s="61">
        <v>1000</v>
      </c>
      <c r="H1241" s="61"/>
      <c r="I1241" s="61"/>
      <c r="J1241" s="61"/>
      <c r="K1241" s="61"/>
      <c r="L1241" s="129"/>
    </row>
    <row r="1242" spans="2:12" s="5" customFormat="1" ht="15.75">
      <c r="B1242" s="368"/>
      <c r="C1242" s="357"/>
      <c r="D1242" s="180">
        <v>10</v>
      </c>
      <c r="E1242" s="129" t="s">
        <v>146</v>
      </c>
      <c r="F1242" s="61" t="s">
        <v>123</v>
      </c>
      <c r="G1242" s="61"/>
      <c r="H1242" s="61"/>
      <c r="I1242" s="61"/>
      <c r="J1242" s="61"/>
      <c r="K1242" s="61"/>
      <c r="L1242" s="129"/>
    </row>
    <row r="1243" spans="2:12" s="5" customFormat="1" ht="15.75">
      <c r="B1243" s="369"/>
      <c r="C1243" s="358"/>
      <c r="D1243" s="129"/>
      <c r="E1243" s="129"/>
      <c r="F1243" s="61"/>
      <c r="G1243" s="61"/>
      <c r="H1243" s="61"/>
      <c r="I1243" s="61"/>
      <c r="J1243" s="61"/>
      <c r="K1243" s="61"/>
      <c r="L1243" s="129"/>
    </row>
    <row r="1244" spans="2:12" s="5" customFormat="1" ht="15.75">
      <c r="B1244" s="367" t="s">
        <v>1541</v>
      </c>
      <c r="C1244" s="356" t="s">
        <v>1728</v>
      </c>
      <c r="D1244" s="136">
        <v>1</v>
      </c>
      <c r="E1244" s="136" t="s">
        <v>1639</v>
      </c>
      <c r="F1244" s="61" t="s">
        <v>87</v>
      </c>
      <c r="G1244" s="61" t="s">
        <v>1640</v>
      </c>
      <c r="H1244" s="61"/>
      <c r="I1244" s="61"/>
      <c r="J1244" s="61"/>
      <c r="K1244" s="61"/>
      <c r="L1244" s="136"/>
    </row>
    <row r="1245" spans="2:12" s="5" customFormat="1" ht="15.75">
      <c r="B1245" s="368"/>
      <c r="C1245" s="357"/>
      <c r="D1245" s="178">
        <v>2</v>
      </c>
      <c r="E1245" s="136" t="s">
        <v>142</v>
      </c>
      <c r="F1245" s="61" t="s">
        <v>122</v>
      </c>
      <c r="G1245" s="61"/>
      <c r="H1245" s="61"/>
      <c r="I1245" s="61"/>
      <c r="J1245" s="61"/>
      <c r="K1245" s="61"/>
      <c r="L1245" s="136"/>
    </row>
    <row r="1246" spans="2:12" s="5" customFormat="1" ht="15.75">
      <c r="B1246" s="368"/>
      <c r="C1246" s="357"/>
      <c r="D1246" s="178">
        <v>3</v>
      </c>
      <c r="E1246" s="178"/>
      <c r="F1246" s="61" t="s">
        <v>1800</v>
      </c>
      <c r="G1246" s="61">
        <v>1000</v>
      </c>
      <c r="H1246" s="61"/>
      <c r="I1246" s="61"/>
      <c r="J1246" s="61"/>
      <c r="K1246" s="61"/>
      <c r="L1246" s="178"/>
    </row>
    <row r="1247" spans="2:12" s="5" customFormat="1" ht="15.75">
      <c r="B1247" s="368"/>
      <c r="C1247" s="357"/>
      <c r="D1247" s="178">
        <v>4</v>
      </c>
      <c r="E1247" s="137" t="s">
        <v>172</v>
      </c>
      <c r="F1247" s="61" t="s">
        <v>173</v>
      </c>
      <c r="G1247" s="61">
        <v>0</v>
      </c>
      <c r="H1247" s="61" t="s">
        <v>174</v>
      </c>
      <c r="I1247" s="61"/>
      <c r="J1247" s="61"/>
      <c r="K1247" s="61"/>
      <c r="L1247" s="137"/>
    </row>
    <row r="1248" spans="2:12" s="5" customFormat="1" ht="15.75">
      <c r="B1248" s="368"/>
      <c r="C1248" s="357"/>
      <c r="D1248" s="178">
        <v>5</v>
      </c>
      <c r="E1248" s="137" t="s">
        <v>293</v>
      </c>
      <c r="F1248" s="61" t="s">
        <v>127</v>
      </c>
      <c r="G1248" s="61" t="s">
        <v>1331</v>
      </c>
      <c r="H1248" s="61" t="s">
        <v>1294</v>
      </c>
      <c r="I1248" s="61">
        <v>1</v>
      </c>
      <c r="J1248" s="61"/>
      <c r="K1248" s="61"/>
      <c r="L1248" s="137"/>
    </row>
    <row r="1249" spans="2:12" s="5" customFormat="1" ht="15.75">
      <c r="B1249" s="368"/>
      <c r="C1249" s="357"/>
      <c r="D1249" s="178">
        <v>6</v>
      </c>
      <c r="E1249" s="137" t="s">
        <v>194</v>
      </c>
      <c r="F1249" s="61" t="s">
        <v>125</v>
      </c>
      <c r="G1249" s="61" t="s">
        <v>1546</v>
      </c>
      <c r="H1249" s="61"/>
      <c r="I1249" s="61"/>
      <c r="J1249" s="61"/>
      <c r="K1249" s="61"/>
      <c r="L1249" s="137"/>
    </row>
    <row r="1250" spans="2:12" s="5" customFormat="1" ht="15.75">
      <c r="B1250" s="368"/>
      <c r="C1250" s="357"/>
      <c r="D1250" s="178">
        <v>7</v>
      </c>
      <c r="E1250" s="137" t="s">
        <v>1543</v>
      </c>
      <c r="F1250" s="61" t="s">
        <v>81</v>
      </c>
      <c r="G1250" s="61" t="s">
        <v>200</v>
      </c>
      <c r="H1250" s="61">
        <v>1</v>
      </c>
      <c r="I1250" s="61">
        <v>1</v>
      </c>
      <c r="J1250" s="61"/>
      <c r="K1250" s="61"/>
      <c r="L1250" s="137"/>
    </row>
    <row r="1251" spans="2:12" s="5" customFormat="1" ht="15.75">
      <c r="B1251" s="368"/>
      <c r="C1251" s="357"/>
      <c r="D1251" s="178">
        <v>8</v>
      </c>
      <c r="E1251" s="178"/>
      <c r="F1251" s="61" t="s">
        <v>1800</v>
      </c>
      <c r="G1251" s="61">
        <v>1000</v>
      </c>
      <c r="H1251" s="61"/>
      <c r="I1251" s="61"/>
      <c r="J1251" s="61"/>
      <c r="K1251" s="61"/>
      <c r="L1251" s="178"/>
    </row>
    <row r="1252" spans="2:12" s="5" customFormat="1" ht="15.75">
      <c r="B1252" s="368"/>
      <c r="C1252" s="357"/>
      <c r="D1252" s="178">
        <v>9</v>
      </c>
      <c r="E1252" s="178"/>
      <c r="F1252" s="61" t="s">
        <v>1801</v>
      </c>
      <c r="G1252" s="61" t="s">
        <v>1807</v>
      </c>
      <c r="H1252" s="61" t="s">
        <v>1294</v>
      </c>
      <c r="I1252" s="61"/>
      <c r="J1252" s="61"/>
      <c r="K1252" s="61"/>
      <c r="L1252" s="178"/>
    </row>
    <row r="1253" spans="2:12" s="5" customFormat="1" ht="15.75">
      <c r="B1253" s="368"/>
      <c r="C1253" s="357"/>
      <c r="D1253" s="178">
        <v>10</v>
      </c>
      <c r="E1253" s="178" t="s">
        <v>166</v>
      </c>
      <c r="F1253" s="61" t="s">
        <v>127</v>
      </c>
      <c r="G1253" s="61" t="s">
        <v>1331</v>
      </c>
      <c r="H1253" s="61" t="s">
        <v>1807</v>
      </c>
      <c r="I1253" s="61">
        <v>1</v>
      </c>
      <c r="J1253" s="61"/>
      <c r="K1253" s="61"/>
      <c r="L1253" s="178"/>
    </row>
    <row r="1254" spans="2:12" s="5" customFormat="1" ht="15.75">
      <c r="B1254" s="368"/>
      <c r="C1254" s="357"/>
      <c r="D1254" s="178">
        <v>11</v>
      </c>
      <c r="E1254" s="178"/>
      <c r="F1254" s="61" t="s">
        <v>1801</v>
      </c>
      <c r="G1254" s="61" t="s">
        <v>1806</v>
      </c>
      <c r="H1254" s="61">
        <v>0</v>
      </c>
      <c r="I1254" s="61"/>
      <c r="J1254" s="61"/>
      <c r="K1254" s="61"/>
      <c r="L1254" s="178"/>
    </row>
    <row r="1255" spans="2:12" s="5" customFormat="1" ht="15.75">
      <c r="B1255" s="368"/>
      <c r="C1255" s="357"/>
      <c r="D1255" s="178">
        <v>12</v>
      </c>
      <c r="E1255" s="137" t="s">
        <v>172</v>
      </c>
      <c r="F1255" s="61" t="s">
        <v>173</v>
      </c>
      <c r="G1255" s="61">
        <v>0</v>
      </c>
      <c r="H1255" s="61" t="s">
        <v>174</v>
      </c>
      <c r="I1255" s="61"/>
      <c r="J1255" s="61"/>
      <c r="K1255" s="61"/>
      <c r="L1255" s="137"/>
    </row>
    <row r="1256" spans="2:12" s="5" customFormat="1" ht="15.75">
      <c r="B1256" s="368"/>
      <c r="C1256" s="357"/>
      <c r="D1256" s="178">
        <v>13</v>
      </c>
      <c r="E1256" s="137" t="s">
        <v>1809</v>
      </c>
      <c r="F1256" s="61" t="s">
        <v>127</v>
      </c>
      <c r="G1256" s="61" t="s">
        <v>1331</v>
      </c>
      <c r="H1256" s="61" t="s">
        <v>1557</v>
      </c>
      <c r="I1256" s="61">
        <v>2</v>
      </c>
      <c r="J1256" s="61"/>
      <c r="K1256" s="61"/>
      <c r="L1256" s="137"/>
    </row>
    <row r="1257" spans="2:12" s="5" customFormat="1" ht="15.75">
      <c r="B1257" s="368"/>
      <c r="C1257" s="357"/>
      <c r="D1257" s="178">
        <v>14</v>
      </c>
      <c r="E1257" s="178"/>
      <c r="F1257" s="61" t="s">
        <v>1802</v>
      </c>
      <c r="G1257" s="61" t="s">
        <v>1806</v>
      </c>
      <c r="H1257" s="61">
        <v>1</v>
      </c>
      <c r="I1257" s="61"/>
      <c r="J1257" s="61"/>
      <c r="K1257" s="61"/>
      <c r="L1257" s="178"/>
    </row>
    <row r="1258" spans="2:12" s="5" customFormat="1" ht="15.75">
      <c r="B1258" s="368"/>
      <c r="C1258" s="357"/>
      <c r="D1258" s="178">
        <v>15</v>
      </c>
      <c r="E1258" s="144"/>
      <c r="F1258" s="61" t="s">
        <v>1553</v>
      </c>
      <c r="G1258" s="61">
        <v>20</v>
      </c>
      <c r="H1258" s="61"/>
      <c r="I1258" s="61"/>
      <c r="J1258" s="61"/>
      <c r="K1258" s="61"/>
      <c r="L1258" s="144"/>
    </row>
    <row r="1259" spans="2:12" s="5" customFormat="1" ht="15.75">
      <c r="B1259" s="368"/>
      <c r="C1259" s="357"/>
      <c r="D1259" s="178">
        <v>16</v>
      </c>
      <c r="E1259" s="178"/>
      <c r="F1259" s="61" t="s">
        <v>1808</v>
      </c>
      <c r="G1259" s="61">
        <v>12</v>
      </c>
      <c r="H1259" s="61" t="s">
        <v>1806</v>
      </c>
      <c r="I1259" s="61">
        <v>2</v>
      </c>
      <c r="J1259" s="61"/>
      <c r="K1259" s="61"/>
      <c r="L1259" s="178"/>
    </row>
    <row r="1260" spans="2:12" s="5" customFormat="1" ht="15.75">
      <c r="B1260" s="368"/>
      <c r="C1260" s="357"/>
      <c r="D1260" s="178">
        <v>17</v>
      </c>
      <c r="E1260" s="137" t="s">
        <v>166</v>
      </c>
      <c r="F1260" s="61" t="s">
        <v>127</v>
      </c>
      <c r="G1260" s="61" t="s">
        <v>1331</v>
      </c>
      <c r="H1260" s="61" t="s">
        <v>1378</v>
      </c>
      <c r="I1260" s="61">
        <v>2</v>
      </c>
      <c r="J1260" s="61"/>
      <c r="K1260" s="61"/>
      <c r="L1260" s="137"/>
    </row>
    <row r="1261" spans="2:12" s="5" customFormat="1" ht="15.75">
      <c r="B1261" s="368"/>
      <c r="C1261" s="357"/>
      <c r="D1261" s="178">
        <v>18</v>
      </c>
      <c r="E1261" s="178"/>
      <c r="F1261" s="61" t="s">
        <v>1800</v>
      </c>
      <c r="G1261" s="61">
        <v>20</v>
      </c>
      <c r="H1261" s="61"/>
      <c r="I1261" s="61"/>
      <c r="J1261" s="61"/>
      <c r="K1261" s="61"/>
      <c r="L1261" s="178"/>
    </row>
    <row r="1262" spans="2:12" s="5" customFormat="1" ht="15.75">
      <c r="B1262" s="368"/>
      <c r="C1262" s="357"/>
      <c r="D1262" s="178">
        <v>19</v>
      </c>
      <c r="E1262" s="178"/>
      <c r="F1262" s="61" t="s">
        <v>1801</v>
      </c>
      <c r="G1262" s="61" t="s">
        <v>1806</v>
      </c>
      <c r="H1262" s="61">
        <v>0</v>
      </c>
      <c r="I1262" s="61"/>
      <c r="J1262" s="61"/>
      <c r="K1262" s="61"/>
      <c r="L1262" s="178"/>
    </row>
    <row r="1263" spans="2:12" s="5" customFormat="1" ht="15.75">
      <c r="B1263" s="368"/>
      <c r="C1263" s="357"/>
      <c r="D1263" s="178">
        <v>20</v>
      </c>
      <c r="E1263" s="136" t="s">
        <v>172</v>
      </c>
      <c r="F1263" s="61" t="s">
        <v>173</v>
      </c>
      <c r="G1263" s="61">
        <v>0</v>
      </c>
      <c r="H1263" s="61" t="s">
        <v>174</v>
      </c>
      <c r="I1263" s="61"/>
      <c r="J1263" s="61"/>
      <c r="K1263" s="61"/>
      <c r="L1263" s="136"/>
    </row>
    <row r="1264" spans="2:12" s="5" customFormat="1" ht="15.75">
      <c r="B1264" s="368"/>
      <c r="C1264" s="357"/>
      <c r="D1264" s="178">
        <v>21</v>
      </c>
      <c r="E1264" s="136" t="s">
        <v>1810</v>
      </c>
      <c r="F1264" s="61" t="s">
        <v>127</v>
      </c>
      <c r="G1264" s="61" t="s">
        <v>1331</v>
      </c>
      <c r="H1264" s="61" t="s">
        <v>1557</v>
      </c>
      <c r="I1264" s="61">
        <v>3</v>
      </c>
      <c r="J1264" s="61"/>
      <c r="K1264" s="61"/>
      <c r="L1264" s="136"/>
    </row>
    <row r="1265" spans="2:12" s="5" customFormat="1" ht="15.75">
      <c r="B1265" s="368"/>
      <c r="C1265" s="357"/>
      <c r="D1265" s="178">
        <v>22</v>
      </c>
      <c r="E1265" s="178"/>
      <c r="F1265" s="61" t="s">
        <v>1800</v>
      </c>
      <c r="G1265" s="61">
        <v>20</v>
      </c>
      <c r="H1265" s="61"/>
      <c r="I1265" s="61"/>
      <c r="J1265" s="61"/>
      <c r="K1265" s="61"/>
      <c r="L1265" s="178"/>
    </row>
    <row r="1266" spans="2:12" s="5" customFormat="1" ht="15.75">
      <c r="B1266" s="368"/>
      <c r="C1266" s="357"/>
      <c r="D1266" s="178">
        <v>23</v>
      </c>
      <c r="E1266" s="136"/>
      <c r="F1266" s="61" t="s">
        <v>131</v>
      </c>
      <c r="G1266" s="61" t="s">
        <v>1301</v>
      </c>
      <c r="H1266" s="61">
        <v>1</v>
      </c>
      <c r="I1266" s="61"/>
      <c r="J1266" s="61"/>
      <c r="K1266" s="61"/>
      <c r="L1266" s="136"/>
    </row>
    <row r="1267" spans="2:12" s="5" customFormat="1" ht="15.75">
      <c r="B1267" s="368"/>
      <c r="C1267" s="357"/>
      <c r="D1267" s="178">
        <v>24</v>
      </c>
      <c r="E1267" s="136"/>
      <c r="F1267" s="61" t="s">
        <v>135</v>
      </c>
      <c r="G1267" s="61">
        <v>20</v>
      </c>
      <c r="H1267" s="61" t="s">
        <v>162</v>
      </c>
      <c r="I1267" s="61">
        <v>3</v>
      </c>
      <c r="J1267" s="61"/>
      <c r="K1267" s="61"/>
      <c r="L1267" s="136"/>
    </row>
    <row r="1268" spans="2:12" s="5" customFormat="1" ht="15.75">
      <c r="B1268" s="368"/>
      <c r="C1268" s="357"/>
      <c r="D1268" s="178">
        <v>25</v>
      </c>
      <c r="E1268" s="136" t="s">
        <v>194</v>
      </c>
      <c r="F1268" s="61" t="s">
        <v>125</v>
      </c>
      <c r="G1268" s="61" t="s">
        <v>1546</v>
      </c>
      <c r="H1268" s="61"/>
      <c r="I1268" s="61"/>
      <c r="J1268" s="61"/>
      <c r="K1268" s="61"/>
      <c r="L1268" s="136"/>
    </row>
    <row r="1269" spans="2:12" s="5" customFormat="1" ht="15.75">
      <c r="B1269" s="368"/>
      <c r="C1269" s="357"/>
      <c r="D1269" s="178">
        <v>26</v>
      </c>
      <c r="E1269" s="136" t="s">
        <v>1554</v>
      </c>
      <c r="F1269" s="61" t="s">
        <v>81</v>
      </c>
      <c r="G1269" s="61" t="s">
        <v>200</v>
      </c>
      <c r="H1269" s="61">
        <v>1</v>
      </c>
      <c r="I1269" s="61">
        <v>3</v>
      </c>
      <c r="J1269" s="61"/>
      <c r="K1269" s="61"/>
      <c r="L1269" s="136"/>
    </row>
    <row r="1270" spans="2:12" s="5" customFormat="1" ht="15.75">
      <c r="B1270" s="368"/>
      <c r="C1270" s="357"/>
      <c r="D1270" s="178">
        <v>27</v>
      </c>
      <c r="E1270" s="136"/>
      <c r="F1270" s="61" t="s">
        <v>125</v>
      </c>
      <c r="G1270" s="61">
        <v>1000</v>
      </c>
      <c r="H1270" s="61"/>
      <c r="I1270" s="61"/>
      <c r="J1270" s="61"/>
      <c r="K1270" s="61"/>
      <c r="L1270" s="136"/>
    </row>
    <row r="1271" spans="2:12" s="5" customFormat="1" ht="15.75">
      <c r="B1271" s="368"/>
      <c r="C1271" s="357"/>
      <c r="D1271" s="178">
        <v>28</v>
      </c>
      <c r="E1271" s="178" t="s">
        <v>172</v>
      </c>
      <c r="F1271" s="61" t="s">
        <v>173</v>
      </c>
      <c r="G1271" s="61">
        <v>0</v>
      </c>
      <c r="H1271" s="61" t="s">
        <v>174</v>
      </c>
      <c r="I1271" s="61"/>
      <c r="J1271" s="61"/>
      <c r="K1271" s="61"/>
      <c r="L1271" s="178"/>
    </row>
    <row r="1272" spans="2:12" s="5" customFormat="1" ht="15.75">
      <c r="B1272" s="368"/>
      <c r="C1272" s="357"/>
      <c r="D1272" s="178">
        <v>29</v>
      </c>
      <c r="E1272" s="178" t="s">
        <v>293</v>
      </c>
      <c r="F1272" s="61" t="s">
        <v>127</v>
      </c>
      <c r="G1272" s="61" t="s">
        <v>1331</v>
      </c>
      <c r="H1272" s="61" t="s">
        <v>1294</v>
      </c>
      <c r="I1272" s="61">
        <v>1</v>
      </c>
      <c r="J1272" s="61"/>
      <c r="K1272" s="61"/>
      <c r="L1272" s="178"/>
    </row>
    <row r="1273" spans="2:12" s="5" customFormat="1" ht="15.75">
      <c r="B1273" s="368"/>
      <c r="C1273" s="357"/>
      <c r="D1273" s="178">
        <v>30</v>
      </c>
      <c r="E1273" s="178" t="s">
        <v>194</v>
      </c>
      <c r="F1273" s="61" t="s">
        <v>125</v>
      </c>
      <c r="G1273" s="61" t="s">
        <v>1546</v>
      </c>
      <c r="H1273" s="61"/>
      <c r="I1273" s="61"/>
      <c r="J1273" s="61"/>
      <c r="K1273" s="61"/>
      <c r="L1273" s="178"/>
    </row>
    <row r="1274" spans="2:12" s="5" customFormat="1" ht="15.75">
      <c r="B1274" s="368"/>
      <c r="C1274" s="357"/>
      <c r="D1274" s="178">
        <v>31</v>
      </c>
      <c r="E1274" s="136" t="s">
        <v>1543</v>
      </c>
      <c r="F1274" s="61" t="s">
        <v>81</v>
      </c>
      <c r="G1274" s="61" t="s">
        <v>200</v>
      </c>
      <c r="H1274" s="61">
        <v>1</v>
      </c>
      <c r="I1274" s="61">
        <v>1</v>
      </c>
      <c r="J1274" s="61"/>
      <c r="K1274" s="61"/>
      <c r="L1274" s="136"/>
    </row>
    <row r="1275" spans="2:12" s="5" customFormat="1" ht="15.75">
      <c r="B1275" s="368"/>
      <c r="C1275" s="357"/>
      <c r="D1275" s="178">
        <v>32</v>
      </c>
      <c r="E1275" s="136" t="s">
        <v>146</v>
      </c>
      <c r="F1275" s="61" t="s">
        <v>123</v>
      </c>
      <c r="G1275" s="61"/>
      <c r="H1275" s="61"/>
      <c r="I1275" s="61"/>
      <c r="J1275" s="61"/>
      <c r="K1275" s="61"/>
      <c r="L1275" s="136"/>
    </row>
    <row r="1276" spans="2:12" s="5" customFormat="1" ht="15.75">
      <c r="B1276" s="369"/>
      <c r="C1276" s="358"/>
      <c r="D1276" s="136"/>
      <c r="E1276" s="136"/>
      <c r="F1276" s="61"/>
      <c r="G1276" s="61"/>
      <c r="H1276" s="61"/>
      <c r="I1276" s="61"/>
      <c r="J1276" s="61"/>
      <c r="K1276" s="61"/>
      <c r="L1276" s="136"/>
    </row>
    <row r="1277" spans="2:12" s="5" customFormat="1" ht="15.75">
      <c r="B1277" s="367" t="s">
        <v>1542</v>
      </c>
      <c r="C1277" s="356" t="s">
        <v>1728</v>
      </c>
      <c r="D1277" s="136">
        <v>1</v>
      </c>
      <c r="E1277" s="136" t="s">
        <v>1639</v>
      </c>
      <c r="F1277" s="61" t="s">
        <v>87</v>
      </c>
      <c r="G1277" s="61" t="s">
        <v>1640</v>
      </c>
      <c r="H1277" s="61"/>
      <c r="I1277" s="61"/>
      <c r="J1277" s="61"/>
      <c r="K1277" s="61"/>
      <c r="L1277" s="136"/>
    </row>
    <row r="1278" spans="2:12" s="5" customFormat="1" ht="15.75">
      <c r="B1278" s="368"/>
      <c r="C1278" s="357"/>
      <c r="D1278" s="145">
        <v>2</v>
      </c>
      <c r="E1278" s="136" t="s">
        <v>142</v>
      </c>
      <c r="F1278" s="61" t="s">
        <v>122</v>
      </c>
      <c r="G1278" s="61"/>
      <c r="H1278" s="61"/>
      <c r="I1278" s="61"/>
      <c r="J1278" s="61"/>
      <c r="K1278" s="61"/>
      <c r="L1278" s="136"/>
    </row>
    <row r="1279" spans="2:12" s="5" customFormat="1" ht="15.75">
      <c r="B1279" s="368"/>
      <c r="C1279" s="357"/>
      <c r="D1279" s="178">
        <v>3</v>
      </c>
      <c r="E1279" s="178"/>
      <c r="F1279" s="61" t="s">
        <v>1800</v>
      </c>
      <c r="G1279" s="61">
        <v>1000</v>
      </c>
      <c r="H1279" s="61"/>
      <c r="I1279" s="61"/>
      <c r="J1279" s="61"/>
      <c r="K1279" s="61"/>
      <c r="L1279" s="178"/>
    </row>
    <row r="1280" spans="2:12" s="5" customFormat="1" ht="15.75">
      <c r="B1280" s="368"/>
      <c r="C1280" s="357"/>
      <c r="D1280" s="178">
        <v>4</v>
      </c>
      <c r="E1280" s="136" t="s">
        <v>1524</v>
      </c>
      <c r="F1280" s="61" t="s">
        <v>1516</v>
      </c>
      <c r="G1280" s="61" t="s">
        <v>1517</v>
      </c>
      <c r="H1280" s="61"/>
      <c r="I1280" s="61"/>
      <c r="J1280" s="61"/>
      <c r="K1280" s="61"/>
      <c r="L1280" s="136"/>
    </row>
    <row r="1281" spans="2:12" s="5" customFormat="1" ht="15.75">
      <c r="B1281" s="368"/>
      <c r="C1281" s="357"/>
      <c r="D1281" s="178">
        <v>5</v>
      </c>
      <c r="E1281" s="178" t="s">
        <v>172</v>
      </c>
      <c r="F1281" s="61" t="s">
        <v>173</v>
      </c>
      <c r="G1281" s="61">
        <v>0</v>
      </c>
      <c r="H1281" s="61" t="s">
        <v>174</v>
      </c>
      <c r="I1281" s="61"/>
      <c r="J1281" s="61"/>
      <c r="K1281" s="61"/>
      <c r="L1281" s="178"/>
    </row>
    <row r="1282" spans="2:12" s="5" customFormat="1" ht="15.75">
      <c r="B1282" s="368"/>
      <c r="C1282" s="357"/>
      <c r="D1282" s="178">
        <v>6</v>
      </c>
      <c r="E1282" s="178" t="s">
        <v>293</v>
      </c>
      <c r="F1282" s="61" t="s">
        <v>127</v>
      </c>
      <c r="G1282" s="61" t="s">
        <v>1331</v>
      </c>
      <c r="H1282" s="61" t="s">
        <v>1294</v>
      </c>
      <c r="I1282" s="61">
        <v>1</v>
      </c>
      <c r="J1282" s="61"/>
      <c r="K1282" s="61"/>
      <c r="L1282" s="178"/>
    </row>
    <row r="1283" spans="2:12" s="5" customFormat="1" ht="15.75">
      <c r="B1283" s="368"/>
      <c r="C1283" s="357"/>
      <c r="D1283" s="178">
        <v>7</v>
      </c>
      <c r="E1283" s="136" t="s">
        <v>194</v>
      </c>
      <c r="F1283" s="61" t="s">
        <v>125</v>
      </c>
      <c r="G1283" s="61" t="s">
        <v>1546</v>
      </c>
      <c r="H1283" s="61"/>
      <c r="I1283" s="61"/>
      <c r="J1283" s="61"/>
      <c r="K1283" s="61"/>
      <c r="L1283" s="136"/>
    </row>
    <row r="1284" spans="2:12" s="5" customFormat="1" ht="15.75">
      <c r="B1284" s="368"/>
      <c r="C1284" s="357"/>
      <c r="D1284" s="178">
        <v>8</v>
      </c>
      <c r="E1284" s="136" t="s">
        <v>195</v>
      </c>
      <c r="F1284" s="61" t="s">
        <v>81</v>
      </c>
      <c r="G1284" s="61" t="s">
        <v>196</v>
      </c>
      <c r="H1284" s="61" t="s">
        <v>197</v>
      </c>
      <c r="I1284" s="61" t="s">
        <v>197</v>
      </c>
      <c r="J1284" s="61"/>
      <c r="K1284" s="61"/>
      <c r="L1284" s="136"/>
    </row>
    <row r="1285" spans="2:12" s="5" customFormat="1" ht="15.75">
      <c r="B1285" s="368"/>
      <c r="C1285" s="357"/>
      <c r="D1285" s="178">
        <v>9</v>
      </c>
      <c r="E1285" s="136"/>
      <c r="F1285" s="61" t="s">
        <v>81</v>
      </c>
      <c r="G1285" s="61" t="s">
        <v>198</v>
      </c>
      <c r="H1285" s="61" t="s">
        <v>199</v>
      </c>
      <c r="I1285" s="61" t="s">
        <v>197</v>
      </c>
      <c r="J1285" s="61" t="s">
        <v>197</v>
      </c>
      <c r="K1285" s="61"/>
      <c r="L1285" s="136"/>
    </row>
    <row r="1286" spans="2:12" s="5" customFormat="1" ht="15.75">
      <c r="B1286" s="368"/>
      <c r="C1286" s="357"/>
      <c r="D1286" s="178">
        <v>10</v>
      </c>
      <c r="E1286" s="136" t="s">
        <v>1524</v>
      </c>
      <c r="F1286" s="61" t="s">
        <v>1516</v>
      </c>
      <c r="G1286" s="61" t="s">
        <v>1517</v>
      </c>
      <c r="H1286" s="61"/>
      <c r="I1286" s="61"/>
      <c r="J1286" s="61"/>
      <c r="K1286" s="61"/>
      <c r="L1286" s="136"/>
    </row>
    <row r="1287" spans="2:12" s="5" customFormat="1" ht="15.75">
      <c r="B1287" s="368"/>
      <c r="C1287" s="357"/>
      <c r="D1287" s="178">
        <v>11</v>
      </c>
      <c r="E1287" s="178" t="s">
        <v>172</v>
      </c>
      <c r="F1287" s="61" t="s">
        <v>173</v>
      </c>
      <c r="G1287" s="61">
        <v>0</v>
      </c>
      <c r="H1287" s="61" t="s">
        <v>174</v>
      </c>
      <c r="I1287" s="61"/>
      <c r="J1287" s="61"/>
      <c r="K1287" s="61"/>
      <c r="L1287" s="178"/>
    </row>
    <row r="1288" spans="2:12" s="5" customFormat="1" ht="15.75">
      <c r="B1288" s="368"/>
      <c r="C1288" s="357"/>
      <c r="D1288" s="178">
        <v>12</v>
      </c>
      <c r="E1288" s="178" t="s">
        <v>293</v>
      </c>
      <c r="F1288" s="61" t="s">
        <v>127</v>
      </c>
      <c r="G1288" s="61" t="s">
        <v>1331</v>
      </c>
      <c r="H1288" s="61" t="s">
        <v>1294</v>
      </c>
      <c r="I1288" s="61">
        <v>1</v>
      </c>
      <c r="J1288" s="61"/>
      <c r="K1288" s="61"/>
      <c r="L1288" s="178"/>
    </row>
    <row r="1289" spans="2:12" s="5" customFormat="1" ht="15.75">
      <c r="B1289" s="368"/>
      <c r="C1289" s="357"/>
      <c r="D1289" s="178">
        <v>13</v>
      </c>
      <c r="E1289" s="145" t="s">
        <v>194</v>
      </c>
      <c r="F1289" s="61" t="s">
        <v>125</v>
      </c>
      <c r="G1289" s="61" t="s">
        <v>1546</v>
      </c>
      <c r="H1289" s="61"/>
      <c r="I1289" s="61"/>
      <c r="J1289" s="61"/>
      <c r="K1289" s="61"/>
      <c r="L1289" s="136"/>
    </row>
    <row r="1290" spans="2:12" s="5" customFormat="1" ht="15.75">
      <c r="B1290" s="368"/>
      <c r="C1290" s="357"/>
      <c r="D1290" s="178">
        <v>14</v>
      </c>
      <c r="E1290" s="136" t="s">
        <v>195</v>
      </c>
      <c r="F1290" s="61" t="s">
        <v>81</v>
      </c>
      <c r="G1290" s="61" t="s">
        <v>196</v>
      </c>
      <c r="H1290" s="61" t="s">
        <v>197</v>
      </c>
      <c r="I1290" s="61" t="s">
        <v>197</v>
      </c>
      <c r="J1290" s="61"/>
      <c r="K1290" s="61"/>
      <c r="L1290" s="136"/>
    </row>
    <row r="1291" spans="2:12" s="5" customFormat="1" ht="15.75">
      <c r="B1291" s="368"/>
      <c r="C1291" s="357"/>
      <c r="D1291" s="178">
        <v>15</v>
      </c>
      <c r="E1291" s="136"/>
      <c r="F1291" s="61" t="s">
        <v>81</v>
      </c>
      <c r="G1291" s="61" t="s">
        <v>198</v>
      </c>
      <c r="H1291" s="61" t="s">
        <v>199</v>
      </c>
      <c r="I1291" s="61" t="s">
        <v>197</v>
      </c>
      <c r="J1291" s="61" t="s">
        <v>197</v>
      </c>
      <c r="K1291" s="61"/>
      <c r="L1291" s="136"/>
    </row>
    <row r="1292" spans="2:12" s="5" customFormat="1" ht="15.75">
      <c r="B1292" s="368"/>
      <c r="C1292" s="357"/>
      <c r="D1292" s="178">
        <v>16</v>
      </c>
      <c r="E1292" s="145" t="s">
        <v>1524</v>
      </c>
      <c r="F1292" s="61" t="s">
        <v>81</v>
      </c>
      <c r="G1292" s="61" t="s">
        <v>1517</v>
      </c>
      <c r="H1292" s="61"/>
      <c r="I1292" s="61"/>
      <c r="J1292" s="61"/>
      <c r="K1292" s="61"/>
      <c r="L1292" s="145"/>
    </row>
    <row r="1293" spans="2:12" s="5" customFormat="1" ht="15.75">
      <c r="B1293" s="368"/>
      <c r="C1293" s="357"/>
      <c r="D1293" s="178">
        <v>17</v>
      </c>
      <c r="E1293" s="146" t="s">
        <v>194</v>
      </c>
      <c r="F1293" s="61" t="s">
        <v>125</v>
      </c>
      <c r="G1293" s="61" t="s">
        <v>1546</v>
      </c>
      <c r="H1293" s="61"/>
      <c r="I1293" s="61"/>
      <c r="J1293" s="61"/>
      <c r="K1293" s="61"/>
      <c r="L1293" s="146"/>
    </row>
    <row r="1294" spans="2:12" s="5" customFormat="1" ht="15.75">
      <c r="B1294" s="368"/>
      <c r="C1294" s="357"/>
      <c r="D1294" s="178">
        <v>18</v>
      </c>
      <c r="E1294" s="145" t="s">
        <v>1525</v>
      </c>
      <c r="F1294" s="61" t="s">
        <v>81</v>
      </c>
      <c r="G1294" s="61" t="s">
        <v>196</v>
      </c>
      <c r="H1294" s="61" t="s">
        <v>197</v>
      </c>
      <c r="I1294" s="61" t="s">
        <v>197</v>
      </c>
      <c r="J1294" s="61"/>
      <c r="K1294" s="61"/>
      <c r="L1294" s="145"/>
    </row>
    <row r="1295" spans="2:12" s="5" customFormat="1" ht="15.75">
      <c r="B1295" s="368"/>
      <c r="C1295" s="357"/>
      <c r="D1295" s="178">
        <v>19</v>
      </c>
      <c r="E1295" s="145"/>
      <c r="F1295" s="61" t="s">
        <v>81</v>
      </c>
      <c r="G1295" s="61" t="s">
        <v>198</v>
      </c>
      <c r="H1295" s="61" t="s">
        <v>199</v>
      </c>
      <c r="I1295" s="61" t="s">
        <v>197</v>
      </c>
      <c r="J1295" s="61" t="s">
        <v>197</v>
      </c>
      <c r="K1295" s="61">
        <v>1</v>
      </c>
      <c r="L1295" s="145"/>
    </row>
    <row r="1296" spans="2:12" s="5" customFormat="1" ht="15.75">
      <c r="B1296" s="368"/>
      <c r="C1296" s="357"/>
      <c r="D1296" s="178">
        <v>20</v>
      </c>
      <c r="E1296" s="178"/>
      <c r="F1296" s="61" t="s">
        <v>1800</v>
      </c>
      <c r="G1296" s="61">
        <v>1000</v>
      </c>
      <c r="H1296" s="61"/>
      <c r="I1296" s="61"/>
      <c r="J1296" s="61"/>
      <c r="K1296" s="61"/>
      <c r="L1296" s="178"/>
    </row>
    <row r="1297" spans="2:12" s="5" customFormat="1" ht="15.75">
      <c r="B1297" s="368"/>
      <c r="C1297" s="357"/>
      <c r="D1297" s="178">
        <v>21</v>
      </c>
      <c r="E1297" s="178" t="s">
        <v>1524</v>
      </c>
      <c r="F1297" s="61" t="s">
        <v>81</v>
      </c>
      <c r="G1297" s="61" t="s">
        <v>1517</v>
      </c>
      <c r="H1297" s="61"/>
      <c r="I1297" s="61"/>
      <c r="J1297" s="61"/>
      <c r="K1297" s="61"/>
      <c r="L1297" s="178"/>
    </row>
    <row r="1298" spans="2:12" s="5" customFormat="1" ht="15.75">
      <c r="B1298" s="368"/>
      <c r="C1298" s="357"/>
      <c r="D1298" s="178">
        <v>22</v>
      </c>
      <c r="E1298" s="178" t="s">
        <v>172</v>
      </c>
      <c r="F1298" s="61" t="s">
        <v>173</v>
      </c>
      <c r="G1298" s="61">
        <v>0</v>
      </c>
      <c r="H1298" s="61" t="s">
        <v>174</v>
      </c>
      <c r="I1298" s="61"/>
      <c r="J1298" s="61"/>
      <c r="K1298" s="61"/>
      <c r="L1298" s="178"/>
    </row>
    <row r="1299" spans="2:12" s="5" customFormat="1" ht="15.75">
      <c r="B1299" s="368"/>
      <c r="C1299" s="357"/>
      <c r="D1299" s="178">
        <v>23</v>
      </c>
      <c r="E1299" s="178" t="s">
        <v>293</v>
      </c>
      <c r="F1299" s="61" t="s">
        <v>127</v>
      </c>
      <c r="G1299" s="61" t="s">
        <v>1331</v>
      </c>
      <c r="H1299" s="61" t="s">
        <v>1294</v>
      </c>
      <c r="I1299" s="61">
        <v>1</v>
      </c>
      <c r="J1299" s="61"/>
      <c r="K1299" s="61"/>
      <c r="L1299" s="178"/>
    </row>
    <row r="1300" spans="2:12" s="5" customFormat="1" ht="15.75">
      <c r="B1300" s="368"/>
      <c r="C1300" s="357"/>
      <c r="D1300" s="178">
        <v>24</v>
      </c>
      <c r="E1300" s="178" t="s">
        <v>194</v>
      </c>
      <c r="F1300" s="61" t="s">
        <v>125</v>
      </c>
      <c r="G1300" s="61" t="s">
        <v>1546</v>
      </c>
      <c r="H1300" s="61"/>
      <c r="I1300" s="61"/>
      <c r="J1300" s="61"/>
      <c r="K1300" s="61"/>
      <c r="L1300" s="178"/>
    </row>
    <row r="1301" spans="2:12" s="5" customFormat="1" ht="15.75">
      <c r="B1301" s="368"/>
      <c r="C1301" s="357"/>
      <c r="D1301" s="178">
        <v>25</v>
      </c>
      <c r="E1301" s="145" t="s">
        <v>1552</v>
      </c>
      <c r="F1301" s="61" t="s">
        <v>87</v>
      </c>
      <c r="G1301" s="61" t="s">
        <v>1551</v>
      </c>
      <c r="H1301" s="61"/>
      <c r="I1301" s="61"/>
      <c r="J1301" s="61"/>
      <c r="K1301" s="61"/>
      <c r="L1301" s="145"/>
    </row>
    <row r="1302" spans="2:12" s="5" customFormat="1" ht="15.75">
      <c r="B1302" s="368"/>
      <c r="C1302" s="357"/>
      <c r="D1302" s="178">
        <v>26</v>
      </c>
      <c r="E1302" s="178" t="s">
        <v>166</v>
      </c>
      <c r="F1302" s="61" t="s">
        <v>127</v>
      </c>
      <c r="G1302" s="61" t="s">
        <v>1331</v>
      </c>
      <c r="H1302" s="61" t="s">
        <v>1294</v>
      </c>
      <c r="I1302" s="61">
        <v>1</v>
      </c>
      <c r="J1302" s="61"/>
      <c r="K1302" s="61"/>
      <c r="L1302" s="178"/>
    </row>
    <row r="1303" spans="2:12" s="5" customFormat="1" ht="15.75">
      <c r="B1303" s="368"/>
      <c r="C1303" s="357"/>
      <c r="D1303" s="178">
        <v>27</v>
      </c>
      <c r="E1303" s="146"/>
      <c r="F1303" s="61" t="s">
        <v>125</v>
      </c>
      <c r="G1303" s="61">
        <v>1000</v>
      </c>
      <c r="H1303" s="61"/>
      <c r="I1303" s="61"/>
      <c r="J1303" s="61"/>
      <c r="K1303" s="61"/>
      <c r="L1303" s="145"/>
    </row>
    <row r="1304" spans="2:12" s="5" customFormat="1" ht="15.75">
      <c r="B1304" s="368"/>
      <c r="C1304" s="357"/>
      <c r="D1304" s="178">
        <v>28</v>
      </c>
      <c r="E1304" s="136" t="s">
        <v>201</v>
      </c>
      <c r="F1304" s="61" t="s">
        <v>81</v>
      </c>
      <c r="G1304" s="61" t="s">
        <v>196</v>
      </c>
      <c r="H1304" s="61" t="s">
        <v>197</v>
      </c>
      <c r="I1304" s="61" t="s">
        <v>202</v>
      </c>
      <c r="J1304" s="61"/>
      <c r="K1304" s="61"/>
      <c r="L1304" s="136"/>
    </row>
    <row r="1305" spans="2:12" s="5" customFormat="1" ht="15.75">
      <c r="B1305" s="368"/>
      <c r="C1305" s="357"/>
      <c r="D1305" s="178">
        <v>29</v>
      </c>
      <c r="E1305" s="136"/>
      <c r="F1305" s="61" t="s">
        <v>81</v>
      </c>
      <c r="G1305" s="61" t="s">
        <v>198</v>
      </c>
      <c r="H1305" s="61" t="s">
        <v>199</v>
      </c>
      <c r="I1305" s="61" t="s">
        <v>202</v>
      </c>
      <c r="J1305" s="61" t="s">
        <v>202</v>
      </c>
      <c r="K1305" s="61"/>
      <c r="L1305" s="136"/>
    </row>
    <row r="1306" spans="2:12" s="5" customFormat="1" ht="15.75">
      <c r="B1306" s="368"/>
      <c r="C1306" s="357"/>
      <c r="D1306" s="178">
        <v>30</v>
      </c>
      <c r="E1306" s="136" t="s">
        <v>146</v>
      </c>
      <c r="F1306" s="61" t="s">
        <v>123</v>
      </c>
      <c r="G1306" s="61"/>
      <c r="H1306" s="61"/>
      <c r="I1306" s="61"/>
      <c r="J1306" s="61"/>
      <c r="K1306" s="61"/>
      <c r="L1306" s="136"/>
    </row>
    <row r="1307" spans="2:12" s="5" customFormat="1" ht="15.75">
      <c r="B1307" s="369"/>
      <c r="C1307" s="358"/>
      <c r="D1307" s="136"/>
      <c r="E1307" s="136"/>
      <c r="F1307" s="61"/>
      <c r="G1307" s="61"/>
      <c r="H1307" s="61"/>
      <c r="I1307" s="61"/>
      <c r="J1307" s="61"/>
      <c r="K1307" s="61"/>
      <c r="L1307" s="136"/>
    </row>
    <row r="1308" spans="2:12" ht="15.75">
      <c r="F1308" s="133" t="s">
        <v>1465</v>
      </c>
      <c r="G1308" s="134"/>
      <c r="H1308" s="134"/>
      <c r="I1308" s="134"/>
      <c r="J1308" s="134"/>
      <c r="K1308" s="134"/>
    </row>
  </sheetData>
  <mergeCells count="141">
    <mergeCell ref="C1244:C1276"/>
    <mergeCell ref="C1277:C1307"/>
    <mergeCell ref="C1014:C1034"/>
    <mergeCell ref="C1035:C1058"/>
    <mergeCell ref="C1059:C1079"/>
    <mergeCell ref="C1080:C1087"/>
    <mergeCell ref="C1088:C1121"/>
    <mergeCell ref="C900:C923"/>
    <mergeCell ref="C924:C944"/>
    <mergeCell ref="C945:C968"/>
    <mergeCell ref="C969:C989"/>
    <mergeCell ref="C990:C1013"/>
    <mergeCell ref="C1194:C1207"/>
    <mergeCell ref="C1208:C1218"/>
    <mergeCell ref="C1219:C1232"/>
    <mergeCell ref="C1233:C1243"/>
    <mergeCell ref="C1122:C1143"/>
    <mergeCell ref="C1144:C1157"/>
    <mergeCell ref="C1158:C1168"/>
    <mergeCell ref="C1169:C1182"/>
    <mergeCell ref="C1183:C1193"/>
    <mergeCell ref="C857:C879"/>
    <mergeCell ref="C880:C899"/>
    <mergeCell ref="C767:C775"/>
    <mergeCell ref="C776:C784"/>
    <mergeCell ref="C785:C794"/>
    <mergeCell ref="C795:C811"/>
    <mergeCell ref="C631:C657"/>
    <mergeCell ref="C419:C440"/>
    <mergeCell ref="C441:C465"/>
    <mergeCell ref="C466:C487"/>
    <mergeCell ref="C488:C513"/>
    <mergeCell ref="C514:C536"/>
    <mergeCell ref="C716:C729"/>
    <mergeCell ref="C730:C743"/>
    <mergeCell ref="C744:C757"/>
    <mergeCell ref="C758:C766"/>
    <mergeCell ref="C658:C681"/>
    <mergeCell ref="C682:C689"/>
    <mergeCell ref="C690:C697"/>
    <mergeCell ref="C698:C706"/>
    <mergeCell ref="C707:C715"/>
    <mergeCell ref="C812:C825"/>
    <mergeCell ref="C826:C842"/>
    <mergeCell ref="C843:C856"/>
    <mergeCell ref="B1088:B1121"/>
    <mergeCell ref="B1122:B1143"/>
    <mergeCell ref="B1144:B1157"/>
    <mergeCell ref="C131:C152"/>
    <mergeCell ref="C153:C177"/>
    <mergeCell ref="C5:C6"/>
    <mergeCell ref="C7:C23"/>
    <mergeCell ref="C24:C37"/>
    <mergeCell ref="C38:C54"/>
    <mergeCell ref="C55:C68"/>
    <mergeCell ref="C296:C320"/>
    <mergeCell ref="C321:C342"/>
    <mergeCell ref="C343:C369"/>
    <mergeCell ref="C370:C393"/>
    <mergeCell ref="C394:C418"/>
    <mergeCell ref="C178:C199"/>
    <mergeCell ref="C200:C225"/>
    <mergeCell ref="C226:C248"/>
    <mergeCell ref="C249:C273"/>
    <mergeCell ref="C274:C295"/>
    <mergeCell ref="C537:C561"/>
    <mergeCell ref="C562:C583"/>
    <mergeCell ref="C584:C608"/>
    <mergeCell ref="C609:C630"/>
    <mergeCell ref="B537:B561"/>
    <mergeCell ref="B562:B583"/>
    <mergeCell ref="B584:B608"/>
    <mergeCell ref="B609:B630"/>
    <mergeCell ref="B631:B657"/>
    <mergeCell ref="B969:B989"/>
    <mergeCell ref="B990:B1013"/>
    <mergeCell ref="B1244:B1276"/>
    <mergeCell ref="B1277:B1307"/>
    <mergeCell ref="B1014:B1034"/>
    <mergeCell ref="B1035:B1058"/>
    <mergeCell ref="B1059:B1079"/>
    <mergeCell ref="B880:B899"/>
    <mergeCell ref="B900:B923"/>
    <mergeCell ref="B924:B944"/>
    <mergeCell ref="B945:B968"/>
    <mergeCell ref="B1219:B1232"/>
    <mergeCell ref="B1233:B1243"/>
    <mergeCell ref="B1158:B1168"/>
    <mergeCell ref="B1169:B1182"/>
    <mergeCell ref="B1183:B1193"/>
    <mergeCell ref="B1194:B1207"/>
    <mergeCell ref="B1208:B1218"/>
    <mergeCell ref="B1080:B1087"/>
    <mergeCell ref="L5:L6"/>
    <mergeCell ref="B7:B23"/>
    <mergeCell ref="B24:B37"/>
    <mergeCell ref="B394:B418"/>
    <mergeCell ref="B419:B440"/>
    <mergeCell ref="B131:B152"/>
    <mergeCell ref="B153:B177"/>
    <mergeCell ref="B5:B6"/>
    <mergeCell ref="D5:E5"/>
    <mergeCell ref="F5:K5"/>
    <mergeCell ref="B38:B54"/>
    <mergeCell ref="B55:B68"/>
    <mergeCell ref="B69:B88"/>
    <mergeCell ref="B89:B105"/>
    <mergeCell ref="B106:B130"/>
    <mergeCell ref="B321:B342"/>
    <mergeCell ref="B343:B369"/>
    <mergeCell ref="B370:B393"/>
    <mergeCell ref="B178:B199"/>
    <mergeCell ref="B200:B225"/>
    <mergeCell ref="B226:B248"/>
    <mergeCell ref="C69:C88"/>
    <mergeCell ref="C89:C105"/>
    <mergeCell ref="C106:C130"/>
    <mergeCell ref="B249:B273"/>
    <mergeCell ref="B274:B295"/>
    <mergeCell ref="B296:B320"/>
    <mergeCell ref="B698:B706"/>
    <mergeCell ref="B707:B715"/>
    <mergeCell ref="B857:B879"/>
    <mergeCell ref="B716:B729"/>
    <mergeCell ref="B730:B743"/>
    <mergeCell ref="B744:B757"/>
    <mergeCell ref="B795:B811"/>
    <mergeCell ref="B812:B825"/>
    <mergeCell ref="B826:B842"/>
    <mergeCell ref="B843:B856"/>
    <mergeCell ref="B758:B766"/>
    <mergeCell ref="B767:B775"/>
    <mergeCell ref="B776:B784"/>
    <mergeCell ref="B785:B794"/>
    <mergeCell ref="B658:B681"/>
    <mergeCell ref="B682:B689"/>
    <mergeCell ref="B690:B697"/>
    <mergeCell ref="B441:B465"/>
    <mergeCell ref="B466:B487"/>
    <mergeCell ref="B488:B513"/>
    <mergeCell ref="B514:B536"/>
  </mergeCells>
  <phoneticPr fontId="1"/>
  <pageMargins left="0.70866141732283472" right="0.70866141732283472" top="0.74803149606299213" bottom="0.74803149606299213" header="0.31496062992125984" footer="0.31496062992125984"/>
  <pageSetup paperSize="9" scale="48" orientation="landscape" r:id="rId1"/>
  <headerFooter>
    <oddHeader>&amp;Lメッセージ認証機能評価 単体機能評価仕様書
&amp;A&amp;R【CONFIDENTIAL】
T0100000015687</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2:L22"/>
  <sheetViews>
    <sheetView view="pageBreakPreview" zoomScaleNormal="100" zoomScaleSheetLayoutView="100" workbookViewId="0">
      <selection activeCell="F2" sqref="F2"/>
    </sheetView>
  </sheetViews>
  <sheetFormatPr defaultColWidth="9" defaultRowHeight="15.75"/>
  <cols>
    <col min="1" max="1" width="4" style="5" customWidth="1"/>
    <col min="2" max="2" width="9.28515625" style="5" bestFit="1" customWidth="1"/>
    <col min="3" max="3" width="9.28515625" style="5" customWidth="1"/>
    <col min="4" max="4" width="8.28515625" style="5" bestFit="1" customWidth="1"/>
    <col min="5" max="5" width="51.7109375" style="5" bestFit="1" customWidth="1"/>
    <col min="6" max="6" width="17.42578125" style="5" bestFit="1" customWidth="1"/>
    <col min="7" max="7" width="46.28515625" style="5" bestFit="1" customWidth="1"/>
    <col min="8" max="11" width="16.7109375" style="5" customWidth="1"/>
    <col min="12" max="12" width="5.42578125" style="5" bestFit="1" customWidth="1"/>
    <col min="13" max="16384" width="9" style="5"/>
  </cols>
  <sheetData>
    <row r="2" spans="1:12" ht="16.5">
      <c r="A2" s="12" t="s">
        <v>159</v>
      </c>
    </row>
    <row r="3" spans="1:12" ht="16.5">
      <c r="A3" s="12"/>
      <c r="B3" s="5" t="s">
        <v>1629</v>
      </c>
    </row>
    <row r="5" spans="1:12">
      <c r="B5" s="362" t="s">
        <v>161</v>
      </c>
      <c r="C5" s="360" t="s">
        <v>1477</v>
      </c>
      <c r="D5" s="363" t="s">
        <v>34</v>
      </c>
      <c r="E5" s="363"/>
      <c r="F5" s="364" t="s">
        <v>69</v>
      </c>
      <c r="G5" s="364"/>
      <c r="H5" s="364"/>
      <c r="I5" s="364"/>
      <c r="J5" s="364"/>
      <c r="K5" s="364"/>
      <c r="L5" s="363" t="s">
        <v>5</v>
      </c>
    </row>
    <row r="6" spans="1:12">
      <c r="B6" s="363"/>
      <c r="C6" s="361"/>
      <c r="D6" s="131" t="s">
        <v>57</v>
      </c>
      <c r="E6" s="131" t="s">
        <v>35</v>
      </c>
      <c r="F6" s="132" t="s">
        <v>75</v>
      </c>
      <c r="G6" s="132" t="s">
        <v>76</v>
      </c>
      <c r="H6" s="132" t="s">
        <v>77</v>
      </c>
      <c r="I6" s="132" t="s">
        <v>78</v>
      </c>
      <c r="J6" s="132" t="s">
        <v>79</v>
      </c>
      <c r="K6" s="132" t="s">
        <v>84</v>
      </c>
      <c r="L6" s="363"/>
    </row>
    <row r="7" spans="1:12">
      <c r="B7" s="367" t="s">
        <v>1468</v>
      </c>
      <c r="C7" s="356" t="s">
        <v>1476</v>
      </c>
      <c r="D7" s="130">
        <v>1</v>
      </c>
      <c r="E7" s="130" t="s">
        <v>1602</v>
      </c>
      <c r="F7" s="61" t="s">
        <v>1581</v>
      </c>
      <c r="G7" s="61"/>
      <c r="H7" s="61"/>
      <c r="I7" s="61"/>
      <c r="J7" s="61"/>
      <c r="K7" s="61"/>
      <c r="L7" s="130"/>
    </row>
    <row r="8" spans="1:12">
      <c r="B8" s="368"/>
      <c r="C8" s="357"/>
      <c r="D8" s="130">
        <v>2</v>
      </c>
      <c r="E8" s="130" t="s">
        <v>1630</v>
      </c>
      <c r="F8" s="61" t="s">
        <v>87</v>
      </c>
      <c r="G8" s="61" t="s">
        <v>1648</v>
      </c>
      <c r="H8" s="61"/>
      <c r="I8" s="61"/>
      <c r="J8" s="61"/>
      <c r="K8" s="61"/>
      <c r="L8" s="130"/>
    </row>
    <row r="9" spans="1:12">
      <c r="B9" s="368"/>
      <c r="C9" s="357"/>
      <c r="D9" s="130">
        <v>3</v>
      </c>
      <c r="E9" s="130" t="s">
        <v>142</v>
      </c>
      <c r="F9" s="61" t="s">
        <v>122</v>
      </c>
      <c r="G9" s="61"/>
      <c r="H9" s="61"/>
      <c r="I9" s="61"/>
      <c r="J9" s="61"/>
      <c r="K9" s="61"/>
      <c r="L9" s="130"/>
    </row>
    <row r="10" spans="1:12">
      <c r="B10" s="368"/>
      <c r="C10" s="357"/>
      <c r="D10" s="130">
        <v>4</v>
      </c>
      <c r="E10" s="130" t="s">
        <v>289</v>
      </c>
      <c r="F10" s="61" t="s">
        <v>87</v>
      </c>
      <c r="G10" s="61" t="s">
        <v>820</v>
      </c>
      <c r="H10" s="61"/>
      <c r="I10" s="61"/>
      <c r="J10" s="61"/>
      <c r="K10" s="61"/>
      <c r="L10" s="130"/>
    </row>
    <row r="11" spans="1:12">
      <c r="B11" s="368"/>
      <c r="C11" s="357"/>
      <c r="D11" s="130">
        <v>5</v>
      </c>
      <c r="E11" s="130" t="s">
        <v>1101</v>
      </c>
      <c r="F11" s="61" t="s">
        <v>81</v>
      </c>
      <c r="G11" s="61" t="s">
        <v>196</v>
      </c>
      <c r="H11" s="61" t="s">
        <v>197</v>
      </c>
      <c r="I11" s="61" t="s">
        <v>202</v>
      </c>
      <c r="J11" s="61"/>
      <c r="K11" s="61"/>
      <c r="L11" s="130"/>
    </row>
    <row r="12" spans="1:12">
      <c r="B12" s="368"/>
      <c r="C12" s="357"/>
      <c r="D12" s="130">
        <v>6</v>
      </c>
      <c r="E12" s="130"/>
      <c r="F12" s="61" t="s">
        <v>81</v>
      </c>
      <c r="G12" s="61" t="s">
        <v>198</v>
      </c>
      <c r="H12" s="61" t="s">
        <v>291</v>
      </c>
      <c r="I12" s="61" t="s">
        <v>202</v>
      </c>
      <c r="J12" s="61" t="s">
        <v>202</v>
      </c>
      <c r="K12" s="61">
        <v>1</v>
      </c>
      <c r="L12" s="130"/>
    </row>
    <row r="13" spans="1:12">
      <c r="B13" s="368"/>
      <c r="C13" s="357"/>
      <c r="D13" s="130">
        <v>7</v>
      </c>
      <c r="E13" s="130" t="s">
        <v>146</v>
      </c>
      <c r="F13" s="61" t="s">
        <v>123</v>
      </c>
      <c r="G13" s="61"/>
      <c r="H13" s="61"/>
      <c r="I13" s="61"/>
      <c r="J13" s="61"/>
      <c r="K13" s="61"/>
      <c r="L13" s="130"/>
    </row>
    <row r="14" spans="1:12">
      <c r="B14" s="369"/>
      <c r="C14" s="358"/>
      <c r="D14" s="130"/>
      <c r="E14" s="130"/>
      <c r="F14" s="61"/>
      <c r="G14" s="61"/>
      <c r="H14" s="61"/>
      <c r="I14" s="61"/>
      <c r="J14" s="61"/>
      <c r="K14" s="61"/>
      <c r="L14" s="130"/>
    </row>
    <row r="15" spans="1:12">
      <c r="B15" s="367" t="s">
        <v>1469</v>
      </c>
      <c r="C15" s="356" t="s">
        <v>1729</v>
      </c>
      <c r="D15" s="130">
        <v>1</v>
      </c>
      <c r="E15" s="130" t="s">
        <v>1639</v>
      </c>
      <c r="F15" s="61" t="s">
        <v>87</v>
      </c>
      <c r="G15" s="61" t="s">
        <v>1640</v>
      </c>
      <c r="H15" s="61"/>
      <c r="I15" s="61"/>
      <c r="J15" s="61"/>
      <c r="K15" s="61"/>
      <c r="L15" s="130"/>
    </row>
    <row r="16" spans="1:12">
      <c r="B16" s="368"/>
      <c r="C16" s="357"/>
      <c r="D16" s="130">
        <v>2</v>
      </c>
      <c r="E16" s="130" t="s">
        <v>142</v>
      </c>
      <c r="F16" s="61" t="s">
        <v>122</v>
      </c>
      <c r="G16" s="61"/>
      <c r="H16" s="61"/>
      <c r="I16" s="61"/>
      <c r="J16" s="61"/>
      <c r="K16" s="61"/>
      <c r="L16" s="130"/>
    </row>
    <row r="17" spans="2:12">
      <c r="B17" s="368"/>
      <c r="C17" s="357"/>
      <c r="D17" s="130">
        <v>3</v>
      </c>
      <c r="E17" s="130" t="s">
        <v>289</v>
      </c>
      <c r="F17" s="61" t="s">
        <v>87</v>
      </c>
      <c r="G17" s="61" t="s">
        <v>820</v>
      </c>
      <c r="H17" s="61"/>
      <c r="I17" s="61"/>
      <c r="J17" s="61"/>
      <c r="K17" s="61"/>
      <c r="L17" s="130"/>
    </row>
    <row r="18" spans="2:12">
      <c r="B18" s="368"/>
      <c r="C18" s="357"/>
      <c r="D18" s="130">
        <v>4</v>
      </c>
      <c r="E18" s="130" t="s">
        <v>1101</v>
      </c>
      <c r="F18" s="61" t="s">
        <v>81</v>
      </c>
      <c r="G18" s="61" t="s">
        <v>196</v>
      </c>
      <c r="H18" s="61" t="s">
        <v>197</v>
      </c>
      <c r="I18" s="61" t="s">
        <v>202</v>
      </c>
      <c r="J18" s="61"/>
      <c r="K18" s="61"/>
      <c r="L18" s="130"/>
    </row>
    <row r="19" spans="2:12">
      <c r="B19" s="368"/>
      <c r="C19" s="357"/>
      <c r="D19" s="130">
        <v>5</v>
      </c>
      <c r="E19" s="130"/>
      <c r="F19" s="61" t="s">
        <v>81</v>
      </c>
      <c r="G19" s="61" t="s">
        <v>198</v>
      </c>
      <c r="H19" s="61" t="s">
        <v>291</v>
      </c>
      <c r="I19" s="61" t="s">
        <v>202</v>
      </c>
      <c r="J19" s="61" t="s">
        <v>202</v>
      </c>
      <c r="K19" s="61">
        <v>1</v>
      </c>
      <c r="L19" s="130"/>
    </row>
    <row r="20" spans="2:12">
      <c r="B20" s="368"/>
      <c r="C20" s="357"/>
      <c r="D20" s="130">
        <v>6</v>
      </c>
      <c r="E20" s="130" t="s">
        <v>146</v>
      </c>
      <c r="F20" s="61" t="s">
        <v>123</v>
      </c>
      <c r="G20" s="61"/>
      <c r="H20" s="61"/>
      <c r="I20" s="61"/>
      <c r="J20" s="61"/>
      <c r="K20" s="61"/>
      <c r="L20" s="130"/>
    </row>
    <row r="21" spans="2:12">
      <c r="B21" s="369"/>
      <c r="C21" s="358"/>
      <c r="D21" s="130"/>
      <c r="E21" s="130"/>
      <c r="F21" s="61"/>
      <c r="G21" s="61"/>
      <c r="H21" s="61"/>
      <c r="I21" s="61"/>
      <c r="J21" s="61"/>
      <c r="K21" s="61"/>
      <c r="L21" s="130"/>
    </row>
    <row r="22" spans="2:12">
      <c r="F22" s="365" t="s">
        <v>72</v>
      </c>
      <c r="G22" s="365"/>
      <c r="H22" s="365"/>
      <c r="I22" s="365"/>
      <c r="J22" s="365"/>
      <c r="K22" s="365"/>
    </row>
  </sheetData>
  <mergeCells count="10">
    <mergeCell ref="L5:L6"/>
    <mergeCell ref="F22:K22"/>
    <mergeCell ref="B7:B14"/>
    <mergeCell ref="B15:B21"/>
    <mergeCell ref="B5:B6"/>
    <mergeCell ref="D5:E5"/>
    <mergeCell ref="F5:K5"/>
    <mergeCell ref="C5:C6"/>
    <mergeCell ref="C7:C14"/>
    <mergeCell ref="C15:C21"/>
  </mergeCells>
  <phoneticPr fontId="1"/>
  <pageMargins left="0.70866141732283472" right="0.70866141732283472" top="0.74803149606299213" bottom="0.74803149606299213" header="0.31496062992125984" footer="0.31496062992125984"/>
  <pageSetup paperSize="9" scale="40" orientation="landscape" r:id="rId1"/>
  <headerFooter>
    <oddHeader>&amp;Lメッセージ認証機能評価 単体機能評価仕様書
&amp;A&amp;R【CONFIDENTIAL】
T0100000015687</oddHeader>
  </headerFooter>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1:E18"/>
  <sheetViews>
    <sheetView tabSelected="1" view="pageBreakPreview" zoomScaleNormal="100" zoomScaleSheetLayoutView="100" workbookViewId="0">
      <selection activeCell="B18" sqref="B18"/>
    </sheetView>
  </sheetViews>
  <sheetFormatPr defaultRowHeight="15"/>
  <cols>
    <col min="1" max="1" width="3.28515625" customWidth="1"/>
    <col min="2" max="3" width="28.7109375" style="53" customWidth="1"/>
    <col min="4" max="4" width="7.42578125" style="57" customWidth="1"/>
    <col min="5" max="5" width="6.28515625" style="4" customWidth="1"/>
  </cols>
  <sheetData>
    <row r="1" spans="1:5" ht="15.75">
      <c r="A1" s="21" t="s">
        <v>82</v>
      </c>
      <c r="B1" s="55"/>
      <c r="C1" s="55"/>
      <c r="D1" s="56"/>
    </row>
    <row r="2" spans="1:5" ht="16.5">
      <c r="A2" s="11" t="s">
        <v>140</v>
      </c>
      <c r="B2" s="55"/>
      <c r="C2" s="55"/>
      <c r="D2" s="56"/>
    </row>
    <row r="3" spans="1:5">
      <c r="B3" s="55"/>
      <c r="C3" s="55"/>
      <c r="D3" s="56"/>
    </row>
    <row r="4" spans="1:5" ht="15.75" customHeight="1">
      <c r="B4" s="373" t="s">
        <v>119</v>
      </c>
      <c r="C4" s="374"/>
      <c r="D4" s="375"/>
      <c r="E4" s="52"/>
    </row>
    <row r="5" spans="1:5" ht="15.75" customHeight="1">
      <c r="B5" s="16" t="s">
        <v>2132</v>
      </c>
      <c r="C5" s="232" t="s">
        <v>120</v>
      </c>
      <c r="D5" s="16" t="s">
        <v>121</v>
      </c>
      <c r="E5" s="52"/>
    </row>
    <row r="6" spans="1:5">
      <c r="B6" s="54" t="s">
        <v>2133</v>
      </c>
      <c r="C6" s="54" t="s">
        <v>160</v>
      </c>
      <c r="D6" s="58" t="s">
        <v>138</v>
      </c>
    </row>
    <row r="7" spans="1:5">
      <c r="B7" s="59" t="s">
        <v>2139</v>
      </c>
      <c r="C7" s="59" t="s">
        <v>294</v>
      </c>
      <c r="D7" s="58" t="s">
        <v>138</v>
      </c>
    </row>
    <row r="8" spans="1:5">
      <c r="B8" s="59" t="s">
        <v>2138</v>
      </c>
      <c r="C8" s="59" t="s">
        <v>295</v>
      </c>
      <c r="D8" s="58" t="s">
        <v>138</v>
      </c>
    </row>
    <row r="9" spans="1:5">
      <c r="B9" s="59" t="s">
        <v>2137</v>
      </c>
      <c r="C9" s="59" t="s">
        <v>296</v>
      </c>
      <c r="D9" s="58" t="s">
        <v>138</v>
      </c>
    </row>
    <row r="10" spans="1:5">
      <c r="B10" s="59" t="s">
        <v>2136</v>
      </c>
      <c r="C10" s="59" t="s">
        <v>1466</v>
      </c>
      <c r="D10" s="58" t="s">
        <v>138</v>
      </c>
    </row>
    <row r="11" spans="1:5">
      <c r="B11" s="59" t="s">
        <v>2135</v>
      </c>
      <c r="C11" s="59" t="s">
        <v>1467</v>
      </c>
      <c r="D11" s="58" t="s">
        <v>138</v>
      </c>
    </row>
    <row r="12" spans="1:5">
      <c r="B12" s="59" t="s">
        <v>2134</v>
      </c>
      <c r="C12" s="59" t="s">
        <v>1470</v>
      </c>
      <c r="D12" s="58" t="s">
        <v>138</v>
      </c>
    </row>
    <row r="13" spans="1:5">
      <c r="B13" s="59"/>
      <c r="C13" s="59"/>
      <c r="D13" s="58"/>
    </row>
    <row r="14" spans="1:5">
      <c r="B14"/>
      <c r="C14" s="4"/>
      <c r="D14"/>
    </row>
    <row r="15" spans="1:5">
      <c r="B15"/>
      <c r="C15" s="4"/>
      <c r="D15"/>
    </row>
    <row r="16" spans="1:5">
      <c r="B16"/>
      <c r="C16" s="4"/>
      <c r="D16"/>
    </row>
    <row r="17" spans="2:4">
      <c r="B17"/>
      <c r="C17" s="4"/>
      <c r="D17"/>
    </row>
    <row r="18" spans="2:4">
      <c r="B18"/>
      <c r="C18" s="4"/>
      <c r="D18"/>
    </row>
  </sheetData>
  <mergeCells count="1">
    <mergeCell ref="B4:D4"/>
  </mergeCells>
  <phoneticPr fontId="1"/>
  <hyperlinks>
    <hyperlink ref="A1" location="目次!A1" display="目次" xr:uid="{00000000-0004-0000-0F00-000000000000}"/>
  </hyperlinks>
  <pageMargins left="0.7" right="0.7" top="0.75" bottom="0.75" header="0.3" footer="0.3"/>
  <pageSetup paperSize="9" scale="67" orientation="portrait" r:id="rId1"/>
  <headerFooter>
    <oddHeader>&amp;Lメッセージ認証機能評価 単体機能評価仕様書
&amp;A&amp;R【CONFIDENTIAL】
T0100000015687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adScenario">
                <anchor moveWithCells="1" sizeWithCells="1">
                  <from>
                    <xdr:col>8</xdr:col>
                    <xdr:colOff>123825</xdr:colOff>
                    <xdr:row>3</xdr:row>
                    <xdr:rowOff>57150</xdr:rowOff>
                  </from>
                  <to>
                    <xdr:col>9</xdr:col>
                    <xdr:colOff>571500</xdr:colOff>
                    <xdr:row>4</xdr:row>
                    <xdr:rowOff>142875</xdr:rowOff>
                  </to>
                </anchor>
              </controlPr>
            </control>
          </mc:Choice>
        </mc:AlternateContent>
        <mc:AlternateContent xmlns:mc="http://schemas.openxmlformats.org/markup-compatibility/2006">
          <mc:Choice Requires="x14">
            <control shapeId="4101" r:id="rId5" name="Button 5">
              <controlPr defaultSize="0" print="0" autoFill="0" autoPict="0" macro="[0]!extProcSheet">
                <anchor moveWithCells="1" sizeWithCells="1">
                  <from>
                    <xdr:col>5</xdr:col>
                    <xdr:colOff>123825</xdr:colOff>
                    <xdr:row>3</xdr:row>
                    <xdr:rowOff>57150</xdr:rowOff>
                  </from>
                  <to>
                    <xdr:col>6</xdr:col>
                    <xdr:colOff>571500</xdr:colOff>
                    <xdr:row>4</xdr:row>
                    <xdr:rowOff>142875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D50"/>
  <sheetViews>
    <sheetView view="pageBreakPreview" zoomScaleNormal="100" zoomScaleSheetLayoutView="100" workbookViewId="0">
      <selection activeCell="D8" sqref="D8"/>
    </sheetView>
  </sheetViews>
  <sheetFormatPr defaultColWidth="9" defaultRowHeight="15"/>
  <cols>
    <col min="1" max="1" width="3.28515625" style="4" customWidth="1"/>
    <col min="2" max="2" width="20.28515625" style="53" bestFit="1" customWidth="1"/>
    <col min="3" max="3" width="18.7109375" style="53" customWidth="1"/>
    <col min="4" max="4" width="32.7109375" style="4" bestFit="1" customWidth="1"/>
    <col min="5" max="16384" width="9" style="4"/>
  </cols>
  <sheetData>
    <row r="1" spans="1:4" ht="15.75">
      <c r="A1" s="21" t="s">
        <v>82</v>
      </c>
      <c r="B1" s="55"/>
      <c r="C1" s="55"/>
    </row>
    <row r="2" spans="1:4" ht="16.5">
      <c r="A2" s="11" t="s">
        <v>139</v>
      </c>
      <c r="B2" s="55"/>
      <c r="C2" s="55"/>
    </row>
    <row r="3" spans="1:4">
      <c r="B3" s="55"/>
      <c r="C3" s="55"/>
    </row>
    <row r="4" spans="1:4" ht="15.75" customHeight="1">
      <c r="B4" s="376" t="s">
        <v>116</v>
      </c>
      <c r="C4" s="376"/>
      <c r="D4" s="376"/>
    </row>
    <row r="5" spans="1:4" ht="15.75" customHeight="1">
      <c r="B5" s="139" t="s">
        <v>117</v>
      </c>
      <c r="C5" s="139" t="s">
        <v>118</v>
      </c>
      <c r="D5" s="139" t="s">
        <v>5</v>
      </c>
    </row>
    <row r="6" spans="1:4">
      <c r="B6" s="54" t="s">
        <v>122</v>
      </c>
      <c r="C6" s="54" t="s">
        <v>136</v>
      </c>
      <c r="D6" s="140"/>
    </row>
    <row r="7" spans="1:4">
      <c r="B7" s="54" t="s">
        <v>123</v>
      </c>
      <c r="C7" s="54" t="s">
        <v>136</v>
      </c>
      <c r="D7" s="140"/>
    </row>
    <row r="8" spans="1:4">
      <c r="B8" s="54" t="s">
        <v>124</v>
      </c>
      <c r="C8" s="54" t="s">
        <v>136</v>
      </c>
      <c r="D8" s="140"/>
    </row>
    <row r="9" spans="1:4">
      <c r="B9" s="54" t="s">
        <v>125</v>
      </c>
      <c r="C9" s="54" t="s">
        <v>136</v>
      </c>
      <c r="D9" s="140"/>
    </row>
    <row r="10" spans="1:4">
      <c r="B10" s="54" t="s">
        <v>87</v>
      </c>
      <c r="C10" s="54" t="s">
        <v>136</v>
      </c>
      <c r="D10" s="140"/>
    </row>
    <row r="11" spans="1:4">
      <c r="B11" s="54" t="s">
        <v>297</v>
      </c>
      <c r="C11" s="54" t="s">
        <v>136</v>
      </c>
      <c r="D11" s="140"/>
    </row>
    <row r="12" spans="1:4">
      <c r="B12" s="54" t="s">
        <v>298</v>
      </c>
      <c r="C12" s="54" t="s">
        <v>136</v>
      </c>
      <c r="D12" s="140"/>
    </row>
    <row r="13" spans="1:4">
      <c r="B13" s="54" t="s">
        <v>126</v>
      </c>
      <c r="C13" s="54" t="s">
        <v>136</v>
      </c>
      <c r="D13" s="140"/>
    </row>
    <row r="14" spans="1:4">
      <c r="B14" s="54" t="s">
        <v>127</v>
      </c>
      <c r="C14" s="54" t="s">
        <v>136</v>
      </c>
      <c r="D14" s="140"/>
    </row>
    <row r="15" spans="1:4">
      <c r="B15" s="54" t="s">
        <v>128</v>
      </c>
      <c r="C15" s="54" t="s">
        <v>136</v>
      </c>
      <c r="D15" s="140"/>
    </row>
    <row r="16" spans="1:4">
      <c r="B16" s="54" t="s">
        <v>1566</v>
      </c>
      <c r="C16" s="54" t="s">
        <v>136</v>
      </c>
      <c r="D16" s="140"/>
    </row>
    <row r="17" spans="2:4">
      <c r="B17" s="54" t="s">
        <v>1568</v>
      </c>
      <c r="C17" s="54" t="s">
        <v>136</v>
      </c>
      <c r="D17" s="141"/>
    </row>
    <row r="18" spans="2:4">
      <c r="B18" s="54" t="s">
        <v>1570</v>
      </c>
      <c r="C18" s="54" t="s">
        <v>136</v>
      </c>
      <c r="D18" s="140"/>
    </row>
    <row r="19" spans="2:4">
      <c r="B19" s="54" t="s">
        <v>1571</v>
      </c>
      <c r="C19" s="54" t="s">
        <v>136</v>
      </c>
      <c r="D19" s="140"/>
    </row>
    <row r="20" spans="2:4">
      <c r="B20" s="54" t="s">
        <v>81</v>
      </c>
      <c r="C20" s="54" t="s">
        <v>136</v>
      </c>
      <c r="D20" s="140"/>
    </row>
    <row r="21" spans="2:4">
      <c r="B21" s="54" t="s">
        <v>129</v>
      </c>
      <c r="C21" s="54" t="s">
        <v>136</v>
      </c>
      <c r="D21" s="140"/>
    </row>
    <row r="22" spans="2:4">
      <c r="B22" s="54" t="s">
        <v>130</v>
      </c>
      <c r="C22" s="54" t="s">
        <v>136</v>
      </c>
      <c r="D22" s="140"/>
    </row>
    <row r="23" spans="2:4">
      <c r="B23" s="54" t="s">
        <v>131</v>
      </c>
      <c r="C23" s="54" t="s">
        <v>136</v>
      </c>
      <c r="D23" s="140"/>
    </row>
    <row r="24" spans="2:4">
      <c r="B24" s="54" t="s">
        <v>132</v>
      </c>
      <c r="C24" s="54" t="s">
        <v>136</v>
      </c>
      <c r="D24" s="140"/>
    </row>
    <row r="25" spans="2:4">
      <c r="B25" s="54" t="s">
        <v>133</v>
      </c>
      <c r="C25" s="54" t="s">
        <v>136</v>
      </c>
      <c r="D25" s="140"/>
    </row>
    <row r="26" spans="2:4">
      <c r="B26" s="54" t="s">
        <v>134</v>
      </c>
      <c r="C26" s="54" t="s">
        <v>136</v>
      </c>
      <c r="D26" s="140"/>
    </row>
    <row r="27" spans="2:4">
      <c r="B27" s="54" t="s">
        <v>80</v>
      </c>
      <c r="C27" s="54" t="s">
        <v>136</v>
      </c>
      <c r="D27" s="140"/>
    </row>
    <row r="28" spans="2:4">
      <c r="B28" s="54" t="s">
        <v>135</v>
      </c>
      <c r="C28" s="54" t="s">
        <v>136</v>
      </c>
      <c r="D28" s="140"/>
    </row>
    <row r="29" spans="2:4">
      <c r="B29" s="54" t="s">
        <v>155</v>
      </c>
      <c r="C29" s="54" t="s">
        <v>136</v>
      </c>
      <c r="D29" s="140"/>
    </row>
    <row r="30" spans="2:4">
      <c r="B30" s="54" t="s">
        <v>156</v>
      </c>
      <c r="C30" s="54" t="s">
        <v>136</v>
      </c>
      <c r="D30" s="140"/>
    </row>
    <row r="31" spans="2:4">
      <c r="B31" s="54" t="s">
        <v>157</v>
      </c>
      <c r="C31" s="54" t="s">
        <v>136</v>
      </c>
      <c r="D31" s="140"/>
    </row>
    <row r="32" spans="2:4">
      <c r="B32" s="54" t="s">
        <v>158</v>
      </c>
      <c r="C32" s="54" t="s">
        <v>136</v>
      </c>
      <c r="D32" s="140"/>
    </row>
    <row r="33" spans="2:4">
      <c r="B33" s="54" t="s">
        <v>72</v>
      </c>
      <c r="C33" s="54" t="s">
        <v>136</v>
      </c>
      <c r="D33" s="140"/>
    </row>
    <row r="34" spans="2:4">
      <c r="B34" s="54" t="s">
        <v>70</v>
      </c>
      <c r="C34" s="54" t="s">
        <v>136</v>
      </c>
      <c r="D34" s="140"/>
    </row>
    <row r="35" spans="2:4">
      <c r="B35" s="54" t="s">
        <v>71</v>
      </c>
      <c r="C35" s="54" t="s">
        <v>136</v>
      </c>
      <c r="D35" s="140"/>
    </row>
    <row r="36" spans="2:4">
      <c r="B36" s="54" t="s">
        <v>137</v>
      </c>
      <c r="C36" s="54" t="s">
        <v>136</v>
      </c>
      <c r="D36" s="140"/>
    </row>
    <row r="37" spans="2:4">
      <c r="B37" s="54" t="s">
        <v>68</v>
      </c>
      <c r="C37" s="54" t="s">
        <v>136</v>
      </c>
      <c r="D37" s="140"/>
    </row>
    <row r="38" spans="2:4">
      <c r="B38" s="54" t="s">
        <v>1573</v>
      </c>
      <c r="C38" s="54" t="s">
        <v>136</v>
      </c>
      <c r="D38" s="140"/>
    </row>
    <row r="39" spans="2:4">
      <c r="B39" s="54" t="s">
        <v>1574</v>
      </c>
      <c r="C39" s="54" t="s">
        <v>136</v>
      </c>
      <c r="D39" s="140"/>
    </row>
    <row r="40" spans="2:4">
      <c r="B40" s="54" t="s">
        <v>1545</v>
      </c>
      <c r="C40" s="54" t="s">
        <v>136</v>
      </c>
      <c r="D40" s="140"/>
    </row>
    <row r="41" spans="2:4">
      <c r="B41" s="54" t="s">
        <v>1289</v>
      </c>
      <c r="C41" s="54" t="s">
        <v>136</v>
      </c>
      <c r="D41" s="140"/>
    </row>
    <row r="42" spans="2:4">
      <c r="B42" s="54" t="s">
        <v>1562</v>
      </c>
      <c r="C42" s="54" t="s">
        <v>136</v>
      </c>
      <c r="D42" s="140"/>
    </row>
    <row r="43" spans="2:4">
      <c r="B43" s="54" t="s">
        <v>1563</v>
      </c>
      <c r="C43" s="54" t="s">
        <v>136</v>
      </c>
      <c r="D43" s="140"/>
    </row>
    <row r="44" spans="2:4">
      <c r="B44" s="54" t="s">
        <v>1379</v>
      </c>
      <c r="C44" s="54" t="s">
        <v>136</v>
      </c>
      <c r="D44" s="140"/>
    </row>
    <row r="45" spans="2:4">
      <c r="B45" s="54" t="s">
        <v>1399</v>
      </c>
      <c r="C45" s="54" t="s">
        <v>136</v>
      </c>
      <c r="D45" s="140"/>
    </row>
    <row r="46" spans="2:4">
      <c r="B46" s="54" t="s">
        <v>1579</v>
      </c>
      <c r="C46" s="54" t="s">
        <v>1580</v>
      </c>
      <c r="D46" s="140"/>
    </row>
    <row r="47" spans="2:4">
      <c r="B47" s="54"/>
      <c r="C47" s="54"/>
      <c r="D47" s="140"/>
    </row>
    <row r="48" spans="2:4">
      <c r="B48" s="54"/>
      <c r="C48" s="54"/>
      <c r="D48" s="140"/>
    </row>
    <row r="49" spans="2:4">
      <c r="B49" s="54"/>
      <c r="C49" s="54"/>
      <c r="D49" s="140"/>
    </row>
    <row r="50" spans="2:4">
      <c r="B50" s="54"/>
      <c r="C50" s="54"/>
      <c r="D50" s="140"/>
    </row>
  </sheetData>
  <mergeCells count="1">
    <mergeCell ref="B4:D4"/>
  </mergeCells>
  <phoneticPr fontId="1"/>
  <hyperlinks>
    <hyperlink ref="A1" location="目次!A1" display="目次" xr:uid="{00000000-0004-0000-1000-000000000000}"/>
  </hyperlinks>
  <pageMargins left="0.70866141732283472" right="0.70866141732283472" top="0.74803149606299213" bottom="0.74803149606299213" header="0.31496062992125984" footer="0.31496062992125984"/>
  <pageSetup paperSize="9" orientation="portrait" r:id="rId1"/>
  <headerFooter>
    <oddHeader>&amp;Lメッセージ認証機能評価 単体機能評価仕様書
&amp;A&amp;R【CONFIDENTIAL】
T0100000015687</oddHead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36"/>
  <sheetViews>
    <sheetView view="pageBreakPreview" zoomScaleNormal="100" zoomScaleSheetLayoutView="100" workbookViewId="0">
      <selection activeCell="E2" sqref="E2"/>
    </sheetView>
  </sheetViews>
  <sheetFormatPr defaultRowHeight="15"/>
  <cols>
    <col min="1" max="1" width="3.28515625" customWidth="1"/>
    <col min="2" max="2" width="9" style="4"/>
  </cols>
  <sheetData>
    <row r="1" spans="1:2" s="4" customFormat="1" ht="15.75">
      <c r="A1" s="21" t="s">
        <v>82</v>
      </c>
      <c r="B1" s="21"/>
    </row>
    <row r="2" spans="1:2" s="4" customFormat="1" ht="16.5">
      <c r="A2" s="11" t="s">
        <v>1508</v>
      </c>
      <c r="B2" s="11"/>
    </row>
    <row r="3" spans="1:2" s="4" customFormat="1">
      <c r="A3" s="138"/>
      <c r="B3" s="4" t="s">
        <v>1544</v>
      </c>
    </row>
    <row r="4" spans="1:2" s="4" customFormat="1">
      <c r="A4" s="138"/>
      <c r="B4" s="138"/>
    </row>
    <row r="5" spans="1:2" s="135" customFormat="1" ht="13.5">
      <c r="B5" s="135" t="s">
        <v>1482</v>
      </c>
    </row>
    <row r="6" spans="1:2" s="135" customFormat="1" ht="13.5">
      <c r="B6" s="135" t="s">
        <v>1483</v>
      </c>
    </row>
    <row r="7" spans="1:2" s="135" customFormat="1" ht="13.5">
      <c r="B7" s="135" t="s">
        <v>1484</v>
      </c>
    </row>
    <row r="8" spans="1:2" s="135" customFormat="1" ht="13.5">
      <c r="B8" s="135" t="s">
        <v>1485</v>
      </c>
    </row>
    <row r="9" spans="1:2" s="135" customFormat="1" ht="13.5">
      <c r="B9" s="135" t="s">
        <v>1486</v>
      </c>
    </row>
    <row r="10" spans="1:2" s="135" customFormat="1" ht="13.5"/>
    <row r="11" spans="1:2" s="135" customFormat="1" ht="13.5">
      <c r="B11" s="135" t="s">
        <v>1487</v>
      </c>
    </row>
    <row r="12" spans="1:2" s="135" customFormat="1" ht="13.5">
      <c r="B12" s="135" t="s">
        <v>1488</v>
      </c>
    </row>
    <row r="13" spans="1:2" s="135" customFormat="1" ht="13.5">
      <c r="B13" s="135" t="s">
        <v>1489</v>
      </c>
    </row>
    <row r="14" spans="1:2" s="135" customFormat="1" ht="13.5">
      <c r="B14" s="135" t="s">
        <v>1490</v>
      </c>
    </row>
    <row r="15" spans="1:2" s="135" customFormat="1" ht="13.5">
      <c r="B15" s="135" t="s">
        <v>1489</v>
      </c>
    </row>
    <row r="16" spans="1:2" s="135" customFormat="1" ht="13.5"/>
    <row r="17" spans="2:2" s="135" customFormat="1" ht="13.5">
      <c r="B17" s="135" t="s">
        <v>1493</v>
      </c>
    </row>
    <row r="18" spans="2:2" s="135" customFormat="1" ht="13.5">
      <c r="B18" s="135" t="s">
        <v>1494</v>
      </c>
    </row>
    <row r="19" spans="2:2" s="135" customFormat="1" ht="13.5">
      <c r="B19" s="135" t="s">
        <v>1495</v>
      </c>
    </row>
    <row r="20" spans="2:2" s="135" customFormat="1" ht="13.5">
      <c r="B20" s="135" t="s">
        <v>1496</v>
      </c>
    </row>
    <row r="21" spans="2:2" s="135" customFormat="1" ht="13.5">
      <c r="B21" s="135" t="s">
        <v>1725</v>
      </c>
    </row>
    <row r="22" spans="2:2" s="135" customFormat="1" ht="13.5">
      <c r="B22" s="135" t="s">
        <v>1726</v>
      </c>
    </row>
    <row r="23" spans="2:2" s="135" customFormat="1" ht="13.5">
      <c r="B23" s="135" t="s">
        <v>1727</v>
      </c>
    </row>
    <row r="24" spans="2:2" s="135" customFormat="1" ht="13.5">
      <c r="B24" s="135" t="s">
        <v>1497</v>
      </c>
    </row>
    <row r="25" spans="2:2" s="135" customFormat="1" ht="13.5"/>
    <row r="26" spans="2:2" s="135" customFormat="1" ht="13.5">
      <c r="B26" s="135" t="s">
        <v>1511</v>
      </c>
    </row>
    <row r="27" spans="2:2" s="135" customFormat="1" ht="13.5">
      <c r="B27" s="135" t="s">
        <v>1513</v>
      </c>
    </row>
    <row r="28" spans="2:2" s="135" customFormat="1" ht="13.5">
      <c r="B28" s="135" t="s">
        <v>1512</v>
      </c>
    </row>
    <row r="29" spans="2:2" s="135" customFormat="1" ht="13.5">
      <c r="B29" s="135" t="s">
        <v>1734</v>
      </c>
    </row>
    <row r="30" spans="2:2" s="135" customFormat="1" ht="13.5">
      <c r="B30" s="135" t="s">
        <v>1498</v>
      </c>
    </row>
    <row r="31" spans="2:2" s="135" customFormat="1" ht="13.5">
      <c r="B31" s="135" t="s">
        <v>1499</v>
      </c>
    </row>
    <row r="32" spans="2:2" s="135" customFormat="1" ht="13.5">
      <c r="B32" s="135" t="s">
        <v>1500</v>
      </c>
    </row>
    <row r="33" spans="2:2" s="135" customFormat="1" ht="13.5">
      <c r="B33" s="135" t="s">
        <v>1510</v>
      </c>
    </row>
    <row r="34" spans="2:2" s="135" customFormat="1" ht="13.5">
      <c r="B34" s="135" t="s">
        <v>1497</v>
      </c>
    </row>
    <row r="35" spans="2:2" s="135" customFormat="1" ht="13.5">
      <c r="B35" s="135" t="s">
        <v>1491</v>
      </c>
    </row>
    <row r="36" spans="2:2" s="135" customFormat="1" ht="13.5">
      <c r="B36" s="135" t="s">
        <v>1492</v>
      </c>
    </row>
  </sheetData>
  <phoneticPr fontId="1"/>
  <hyperlinks>
    <hyperlink ref="A1" location="目次!A1" display="目次" xr:uid="{00000000-0004-0000-1100-000000000000}"/>
  </hyperlinks>
  <pageMargins left="0.70866141732283472" right="0.70866141732283472" top="0.74803149606299213" bottom="0.74803149606299213" header="0.31496062992125984" footer="0.31496062992125984"/>
  <pageSetup paperSize="9" orientation="portrait" r:id="rId1"/>
  <headerFooter>
    <oddHeader>&amp;Lメッセージ認証機能評価 単体機能評価仕様書
&amp;A&amp;R【CONFIDENTIAL】
T0100000015687</oddHead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B11"/>
  <sheetViews>
    <sheetView view="pageBreakPreview" zoomScaleNormal="100" zoomScaleSheetLayoutView="100" workbookViewId="0">
      <selection activeCell="O6" sqref="O6"/>
    </sheetView>
  </sheetViews>
  <sheetFormatPr defaultRowHeight="15"/>
  <cols>
    <col min="1" max="1" width="3" customWidth="1"/>
  </cols>
  <sheetData>
    <row r="1" spans="1:2" ht="15.75">
      <c r="A1" s="21" t="s">
        <v>82</v>
      </c>
    </row>
    <row r="2" spans="1:2" ht="16.5">
      <c r="A2" s="11" t="s">
        <v>1506</v>
      </c>
    </row>
    <row r="3" spans="1:2">
      <c r="A3" s="138"/>
      <c r="B3" t="s">
        <v>1544</v>
      </c>
    </row>
    <row r="4" spans="1:2" s="4" customFormat="1">
      <c r="A4" s="138"/>
    </row>
    <row r="5" spans="1:2" s="135" customFormat="1" ht="13.5">
      <c r="B5" s="135" t="s">
        <v>1514</v>
      </c>
    </row>
    <row r="6" spans="1:2" s="135" customFormat="1" ht="13.5">
      <c r="B6" s="135" t="s">
        <v>1501</v>
      </c>
    </row>
    <row r="7" spans="1:2" s="135" customFormat="1" ht="13.5">
      <c r="B7" s="135" t="s">
        <v>1502</v>
      </c>
    </row>
    <row r="8" spans="1:2" s="135" customFormat="1" ht="13.5">
      <c r="B8" s="135" t="s">
        <v>1503</v>
      </c>
    </row>
    <row r="9" spans="1:2" s="135" customFormat="1" ht="13.5">
      <c r="B9" s="135" t="s">
        <v>1504</v>
      </c>
    </row>
    <row r="10" spans="1:2" s="135" customFormat="1" ht="13.5">
      <c r="B10" s="135" t="s">
        <v>1515</v>
      </c>
    </row>
    <row r="11" spans="1:2" s="135" customFormat="1" ht="13.5">
      <c r="B11" s="135" t="s">
        <v>1505</v>
      </c>
    </row>
  </sheetData>
  <phoneticPr fontId="1"/>
  <hyperlinks>
    <hyperlink ref="A1" location="目次!A1" display="目次" xr:uid="{00000000-0004-0000-1200-000000000000}"/>
  </hyperlinks>
  <pageMargins left="0.70866141732283472" right="0.70866141732283472" top="0.74803149606299213" bottom="0.74803149606299213" header="0.31496062992125984" footer="0.31496062992125984"/>
  <pageSetup paperSize="9" scale="87" orientation="portrait" r:id="rId1"/>
  <headerFooter>
    <oddHeader>&amp;Lメッセージ認証機能評価 単体機能評価仕様書
&amp;A&amp;R【CONFIDENTIAL】
T0100000015687</oddHead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dimension ref="A1:G110"/>
  <sheetViews>
    <sheetView zoomScaleNormal="100" workbookViewId="0">
      <pane ySplit="3" topLeftCell="A4" activePane="bottomLeft" state="frozen"/>
      <selection pane="bottomLeft"/>
    </sheetView>
  </sheetViews>
  <sheetFormatPr defaultColWidth="9" defaultRowHeight="14.25"/>
  <cols>
    <col min="1" max="1" width="6" style="210" customWidth="1"/>
    <col min="2" max="2" width="17.7109375" style="210" customWidth="1"/>
    <col min="3" max="3" width="49.7109375" style="211" customWidth="1"/>
    <col min="4" max="4" width="12.28515625" style="212" customWidth="1"/>
    <col min="5" max="5" width="12.85546875" style="210" customWidth="1"/>
    <col min="6" max="6" width="6.7109375" style="210" customWidth="1"/>
    <col min="7" max="7" width="87" style="210" customWidth="1"/>
    <col min="8" max="16384" width="9" style="210"/>
  </cols>
  <sheetData>
    <row r="1" spans="1:7">
      <c r="A1" s="209" t="s">
        <v>82</v>
      </c>
    </row>
    <row r="2" spans="1:7">
      <c r="A2" s="213" t="s">
        <v>2009</v>
      </c>
    </row>
    <row r="3" spans="1:7">
      <c r="A3" s="214" t="s">
        <v>2010</v>
      </c>
      <c r="B3" s="214" t="s">
        <v>2011</v>
      </c>
      <c r="C3" s="215" t="s">
        <v>2012</v>
      </c>
      <c r="D3" s="382" t="s">
        <v>2013</v>
      </c>
      <c r="E3" s="383"/>
      <c r="F3" s="216"/>
      <c r="G3" s="214" t="s">
        <v>2014</v>
      </c>
    </row>
    <row r="4" spans="1:7">
      <c r="A4" s="217" t="s">
        <v>2015</v>
      </c>
      <c r="B4" s="217" t="s">
        <v>2016</v>
      </c>
      <c r="C4" s="218"/>
      <c r="D4" s="219" t="s">
        <v>943</v>
      </c>
      <c r="E4" s="217" t="s">
        <v>943</v>
      </c>
      <c r="F4" s="217"/>
      <c r="G4" s="217" t="s">
        <v>2017</v>
      </c>
    </row>
    <row r="5" spans="1:7">
      <c r="A5" s="379" t="s">
        <v>1940</v>
      </c>
      <c r="B5" s="220" t="s">
        <v>2018</v>
      </c>
      <c r="C5" s="220" t="s">
        <v>2019</v>
      </c>
      <c r="D5" s="221" t="s">
        <v>2020</v>
      </c>
      <c r="E5" s="220" t="s">
        <v>943</v>
      </c>
      <c r="F5" s="220" t="s">
        <v>2021</v>
      </c>
      <c r="G5" s="222" t="s">
        <v>2022</v>
      </c>
    </row>
    <row r="6" spans="1:7">
      <c r="A6" s="381"/>
      <c r="B6" s="379" t="s">
        <v>2023</v>
      </c>
      <c r="C6" s="379" t="s">
        <v>2024</v>
      </c>
      <c r="D6" s="220" t="s">
        <v>2025</v>
      </c>
      <c r="E6" s="220" t="s">
        <v>943</v>
      </c>
      <c r="F6" s="220" t="s">
        <v>2021</v>
      </c>
      <c r="G6" s="220" t="s">
        <v>2026</v>
      </c>
    </row>
    <row r="7" spans="1:7">
      <c r="A7" s="381"/>
      <c r="B7" s="381"/>
      <c r="C7" s="381"/>
      <c r="D7" s="220" t="s">
        <v>807</v>
      </c>
      <c r="E7" s="220" t="s">
        <v>95</v>
      </c>
      <c r="F7" s="220" t="s">
        <v>2021</v>
      </c>
      <c r="G7" s="222" t="s">
        <v>2027</v>
      </c>
    </row>
    <row r="8" spans="1:7">
      <c r="A8" s="381"/>
      <c r="B8" s="381"/>
      <c r="C8" s="381"/>
      <c r="D8" s="220" t="s">
        <v>809</v>
      </c>
      <c r="E8" s="220" t="s">
        <v>95</v>
      </c>
      <c r="F8" s="220" t="s">
        <v>2021</v>
      </c>
      <c r="G8" s="222" t="s">
        <v>2028</v>
      </c>
    </row>
    <row r="9" spans="1:7">
      <c r="A9" s="381"/>
      <c r="B9" s="381"/>
      <c r="C9" s="381"/>
      <c r="D9" s="220" t="s">
        <v>2029</v>
      </c>
      <c r="E9" s="220" t="s">
        <v>95</v>
      </c>
      <c r="F9" s="220" t="s">
        <v>2021</v>
      </c>
      <c r="G9" s="222" t="s">
        <v>2030</v>
      </c>
    </row>
    <row r="10" spans="1:7">
      <c r="A10" s="381"/>
      <c r="B10" s="381"/>
      <c r="C10" s="381"/>
      <c r="D10" s="220" t="s">
        <v>830</v>
      </c>
      <c r="E10" s="220" t="s">
        <v>95</v>
      </c>
      <c r="F10" s="220" t="s">
        <v>2021</v>
      </c>
      <c r="G10" s="222" t="s">
        <v>2031</v>
      </c>
    </row>
    <row r="11" spans="1:7">
      <c r="A11" s="381"/>
      <c r="B11" s="380"/>
      <c r="C11" s="380"/>
      <c r="D11" s="220" t="s">
        <v>875</v>
      </c>
      <c r="E11" s="220" t="s">
        <v>95</v>
      </c>
      <c r="F11" s="220" t="s">
        <v>2021</v>
      </c>
      <c r="G11" s="222" t="s">
        <v>2032</v>
      </c>
    </row>
    <row r="12" spans="1:7">
      <c r="A12" s="381"/>
      <c r="B12" s="379" t="s">
        <v>2033</v>
      </c>
      <c r="C12" s="379" t="s">
        <v>2034</v>
      </c>
      <c r="D12" s="377" t="s">
        <v>807</v>
      </c>
      <c r="E12" s="379" t="s">
        <v>4</v>
      </c>
      <c r="F12" s="220" t="s">
        <v>2021</v>
      </c>
      <c r="G12" s="222" t="s">
        <v>2035</v>
      </c>
    </row>
    <row r="13" spans="1:7">
      <c r="A13" s="381"/>
      <c r="B13" s="381"/>
      <c r="C13" s="381"/>
      <c r="D13" s="378"/>
      <c r="E13" s="380"/>
      <c r="F13" s="220" t="s">
        <v>1021</v>
      </c>
      <c r="G13" s="222" t="s">
        <v>2036</v>
      </c>
    </row>
    <row r="14" spans="1:7" ht="28.5">
      <c r="A14" s="381"/>
      <c r="B14" s="381"/>
      <c r="C14" s="381"/>
      <c r="D14" s="223" t="s">
        <v>2037</v>
      </c>
      <c r="E14" s="220" t="s">
        <v>2038</v>
      </c>
      <c r="F14" s="220" t="s">
        <v>2021</v>
      </c>
      <c r="G14" s="222" t="s">
        <v>2035</v>
      </c>
    </row>
    <row r="15" spans="1:7">
      <c r="A15" s="381"/>
      <c r="B15" s="381"/>
      <c r="C15" s="381"/>
      <c r="D15" s="221" t="s">
        <v>963</v>
      </c>
      <c r="E15" s="220" t="s">
        <v>943</v>
      </c>
      <c r="F15" s="220" t="s">
        <v>1021</v>
      </c>
      <c r="G15" s="220" t="s">
        <v>2039</v>
      </c>
    </row>
    <row r="16" spans="1:7">
      <c r="A16" s="381"/>
      <c r="B16" s="381"/>
      <c r="C16" s="381"/>
      <c r="D16" s="221" t="s">
        <v>964</v>
      </c>
      <c r="E16" s="220" t="s">
        <v>943</v>
      </c>
      <c r="F16" s="220" t="s">
        <v>1021</v>
      </c>
      <c r="G16" s="220" t="s">
        <v>2039</v>
      </c>
    </row>
    <row r="17" spans="1:7">
      <c r="A17" s="381"/>
      <c r="B17" s="381"/>
      <c r="C17" s="381"/>
      <c r="D17" s="221" t="s">
        <v>2040</v>
      </c>
      <c r="E17" s="220" t="s">
        <v>943</v>
      </c>
      <c r="F17" s="220" t="s">
        <v>1021</v>
      </c>
      <c r="G17" s="220" t="s">
        <v>2039</v>
      </c>
    </row>
    <row r="18" spans="1:7" ht="99.75">
      <c r="A18" s="381"/>
      <c r="B18" s="381"/>
      <c r="C18" s="381"/>
      <c r="D18" s="377" t="s">
        <v>809</v>
      </c>
      <c r="E18" s="379" t="s">
        <v>4</v>
      </c>
      <c r="F18" s="220" t="s">
        <v>2021</v>
      </c>
      <c r="G18" s="222" t="s">
        <v>2041</v>
      </c>
    </row>
    <row r="19" spans="1:7">
      <c r="A19" s="381"/>
      <c r="B19" s="381"/>
      <c r="C19" s="381"/>
      <c r="D19" s="378"/>
      <c r="E19" s="380"/>
      <c r="F19" s="220" t="s">
        <v>1021</v>
      </c>
      <c r="G19" s="222" t="s">
        <v>2042</v>
      </c>
    </row>
    <row r="20" spans="1:7">
      <c r="A20" s="381"/>
      <c r="B20" s="381"/>
      <c r="C20" s="381"/>
      <c r="D20" s="221" t="s">
        <v>2043</v>
      </c>
      <c r="E20" s="220" t="s">
        <v>2038</v>
      </c>
      <c r="F20" s="220" t="s">
        <v>2021</v>
      </c>
      <c r="G20" s="222" t="s">
        <v>2044</v>
      </c>
    </row>
    <row r="21" spans="1:7">
      <c r="A21" s="381"/>
      <c r="B21" s="381"/>
      <c r="C21" s="381"/>
      <c r="D21" s="221" t="s">
        <v>2045</v>
      </c>
      <c r="E21" s="220" t="s">
        <v>2038</v>
      </c>
      <c r="F21" s="220" t="s">
        <v>2021</v>
      </c>
      <c r="G21" s="222" t="s">
        <v>2044</v>
      </c>
    </row>
    <row r="22" spans="1:7" ht="28.5">
      <c r="A22" s="381"/>
      <c r="B22" s="381"/>
      <c r="C22" s="381"/>
      <c r="D22" s="223" t="s">
        <v>2046</v>
      </c>
      <c r="E22" s="220" t="s">
        <v>2038</v>
      </c>
      <c r="F22" s="220" t="s">
        <v>2021</v>
      </c>
      <c r="G22" s="222" t="s">
        <v>2047</v>
      </c>
    </row>
    <row r="23" spans="1:7">
      <c r="A23" s="381"/>
      <c r="B23" s="381"/>
      <c r="C23" s="381"/>
      <c r="D23" s="221" t="s">
        <v>2048</v>
      </c>
      <c r="E23" s="220" t="s">
        <v>2038</v>
      </c>
      <c r="F23" s="220" t="s">
        <v>2021</v>
      </c>
      <c r="G23" s="222" t="s">
        <v>2044</v>
      </c>
    </row>
    <row r="24" spans="1:7">
      <c r="A24" s="381"/>
      <c r="B24" s="381"/>
      <c r="C24" s="381"/>
      <c r="D24" s="221" t="s">
        <v>2049</v>
      </c>
      <c r="E24" s="220" t="s">
        <v>2038</v>
      </c>
      <c r="F24" s="220" t="s">
        <v>2021</v>
      </c>
      <c r="G24" s="222" t="s">
        <v>2044</v>
      </c>
    </row>
    <row r="25" spans="1:7">
      <c r="A25" s="381"/>
      <c r="B25" s="381"/>
      <c r="C25" s="381"/>
      <c r="D25" s="221" t="s">
        <v>2050</v>
      </c>
      <c r="E25" s="220" t="s">
        <v>2038</v>
      </c>
      <c r="F25" s="220" t="s">
        <v>2021</v>
      </c>
      <c r="G25" s="222" t="s">
        <v>2044</v>
      </c>
    </row>
    <row r="26" spans="1:7">
      <c r="A26" s="381"/>
      <c r="B26" s="381"/>
      <c r="C26" s="381"/>
      <c r="D26" s="221" t="s">
        <v>2051</v>
      </c>
      <c r="E26" s="220" t="s">
        <v>2038</v>
      </c>
      <c r="F26" s="220" t="s">
        <v>2021</v>
      </c>
      <c r="G26" s="222" t="s">
        <v>2044</v>
      </c>
    </row>
    <row r="27" spans="1:7" ht="28.5">
      <c r="A27" s="381"/>
      <c r="B27" s="381"/>
      <c r="C27" s="381"/>
      <c r="D27" s="223" t="s">
        <v>2052</v>
      </c>
      <c r="E27" s="220" t="s">
        <v>943</v>
      </c>
      <c r="F27" s="220" t="s">
        <v>1021</v>
      </c>
      <c r="G27" s="220" t="s">
        <v>2039</v>
      </c>
    </row>
    <row r="28" spans="1:7">
      <c r="A28" s="381"/>
      <c r="B28" s="381"/>
      <c r="C28" s="381"/>
      <c r="D28" s="221" t="s">
        <v>1963</v>
      </c>
      <c r="E28" s="220" t="s">
        <v>943</v>
      </c>
      <c r="F28" s="220" t="s">
        <v>1021</v>
      </c>
      <c r="G28" s="220" t="s">
        <v>2039</v>
      </c>
    </row>
    <row r="29" spans="1:7">
      <c r="A29" s="381"/>
      <c r="B29" s="381"/>
      <c r="C29" s="381"/>
      <c r="D29" s="221" t="s">
        <v>1965</v>
      </c>
      <c r="E29" s="220" t="s">
        <v>943</v>
      </c>
      <c r="F29" s="220" t="s">
        <v>1021</v>
      </c>
      <c r="G29" s="220" t="s">
        <v>2039</v>
      </c>
    </row>
    <row r="30" spans="1:7" ht="71.25">
      <c r="A30" s="381"/>
      <c r="B30" s="381"/>
      <c r="C30" s="381"/>
      <c r="D30" s="223" t="s">
        <v>2053</v>
      </c>
      <c r="E30" s="220" t="s">
        <v>324</v>
      </c>
      <c r="F30" s="220" t="s">
        <v>2021</v>
      </c>
      <c r="G30" s="222" t="s">
        <v>2054</v>
      </c>
    </row>
    <row r="31" spans="1:7" ht="57">
      <c r="A31" s="381"/>
      <c r="B31" s="381"/>
      <c r="C31" s="381"/>
      <c r="D31" s="223" t="s">
        <v>2055</v>
      </c>
      <c r="E31" s="220" t="s">
        <v>2038</v>
      </c>
      <c r="F31" s="220" t="s">
        <v>2021</v>
      </c>
      <c r="G31" s="222" t="s">
        <v>2056</v>
      </c>
    </row>
    <row r="32" spans="1:7" ht="28.5">
      <c r="A32" s="381"/>
      <c r="B32" s="381"/>
      <c r="C32" s="381"/>
      <c r="D32" s="223" t="s">
        <v>2057</v>
      </c>
      <c r="E32" s="220" t="s">
        <v>2038</v>
      </c>
      <c r="F32" s="220" t="s">
        <v>2021</v>
      </c>
      <c r="G32" s="222" t="s">
        <v>2058</v>
      </c>
    </row>
    <row r="33" spans="1:7" ht="28.5">
      <c r="A33" s="381"/>
      <c r="B33" s="381"/>
      <c r="C33" s="381"/>
      <c r="D33" s="223" t="s">
        <v>2059</v>
      </c>
      <c r="E33" s="220" t="s">
        <v>2038</v>
      </c>
      <c r="F33" s="220" t="s">
        <v>2021</v>
      </c>
      <c r="G33" s="222" t="s">
        <v>2058</v>
      </c>
    </row>
    <row r="34" spans="1:7" ht="71.25">
      <c r="A34" s="381"/>
      <c r="B34" s="381"/>
      <c r="C34" s="381"/>
      <c r="D34" s="223" t="s">
        <v>2060</v>
      </c>
      <c r="E34" s="220" t="s">
        <v>324</v>
      </c>
      <c r="F34" s="220" t="s">
        <v>2021</v>
      </c>
      <c r="G34" s="222" t="s">
        <v>2061</v>
      </c>
    </row>
    <row r="35" spans="1:7" ht="57">
      <c r="A35" s="381"/>
      <c r="B35" s="381"/>
      <c r="C35" s="381"/>
      <c r="D35" s="223" t="s">
        <v>2062</v>
      </c>
      <c r="E35" s="220" t="s">
        <v>2038</v>
      </c>
      <c r="F35" s="220" t="s">
        <v>2021</v>
      </c>
      <c r="G35" s="222" t="s">
        <v>2063</v>
      </c>
    </row>
    <row r="36" spans="1:7" ht="28.5">
      <c r="A36" s="381"/>
      <c r="B36" s="381"/>
      <c r="C36" s="381"/>
      <c r="D36" s="223" t="s">
        <v>2064</v>
      </c>
      <c r="E36" s="220" t="s">
        <v>2038</v>
      </c>
      <c r="F36" s="220" t="s">
        <v>2021</v>
      </c>
      <c r="G36" s="222" t="s">
        <v>2058</v>
      </c>
    </row>
    <row r="37" spans="1:7" ht="28.5">
      <c r="A37" s="381"/>
      <c r="B37" s="381"/>
      <c r="C37" s="381"/>
      <c r="D37" s="223" t="s">
        <v>2065</v>
      </c>
      <c r="E37" s="220" t="s">
        <v>2038</v>
      </c>
      <c r="F37" s="220" t="s">
        <v>2021</v>
      </c>
      <c r="G37" s="222" t="s">
        <v>2058</v>
      </c>
    </row>
    <row r="38" spans="1:7" ht="71.25">
      <c r="A38" s="381"/>
      <c r="B38" s="381"/>
      <c r="C38" s="381"/>
      <c r="D38" s="223" t="s">
        <v>2066</v>
      </c>
      <c r="E38" s="220" t="s">
        <v>324</v>
      </c>
      <c r="F38" s="220" t="s">
        <v>2021</v>
      </c>
      <c r="G38" s="222" t="s">
        <v>2067</v>
      </c>
    </row>
    <row r="39" spans="1:7" ht="57">
      <c r="A39" s="381"/>
      <c r="B39" s="381"/>
      <c r="C39" s="381"/>
      <c r="D39" s="223" t="s">
        <v>2068</v>
      </c>
      <c r="E39" s="220" t="s">
        <v>2038</v>
      </c>
      <c r="F39" s="220" t="s">
        <v>2021</v>
      </c>
      <c r="G39" s="222" t="s">
        <v>2056</v>
      </c>
    </row>
    <row r="40" spans="1:7" ht="28.5">
      <c r="A40" s="381"/>
      <c r="B40" s="381"/>
      <c r="C40" s="381"/>
      <c r="D40" s="223" t="s">
        <v>2069</v>
      </c>
      <c r="E40" s="220" t="s">
        <v>2038</v>
      </c>
      <c r="F40" s="220" t="s">
        <v>2021</v>
      </c>
      <c r="G40" s="222" t="s">
        <v>2058</v>
      </c>
    </row>
    <row r="41" spans="1:7" ht="28.5">
      <c r="A41" s="381"/>
      <c r="B41" s="381"/>
      <c r="C41" s="381"/>
      <c r="D41" s="223" t="s">
        <v>2070</v>
      </c>
      <c r="E41" s="220" t="s">
        <v>2038</v>
      </c>
      <c r="F41" s="220" t="s">
        <v>2021</v>
      </c>
      <c r="G41" s="222" t="s">
        <v>2058</v>
      </c>
    </row>
    <row r="42" spans="1:7" ht="28.5">
      <c r="A42" s="381"/>
      <c r="B42" s="381"/>
      <c r="C42" s="381"/>
      <c r="D42" s="223" t="s">
        <v>2071</v>
      </c>
      <c r="E42" s="220" t="s">
        <v>943</v>
      </c>
      <c r="F42" s="220" t="s">
        <v>1021</v>
      </c>
      <c r="G42" s="220" t="s">
        <v>2039</v>
      </c>
    </row>
    <row r="43" spans="1:7">
      <c r="A43" s="381"/>
      <c r="B43" s="381"/>
      <c r="C43" s="381"/>
      <c r="D43" s="221" t="s">
        <v>2072</v>
      </c>
      <c r="E43" s="220" t="s">
        <v>943</v>
      </c>
      <c r="F43" s="220" t="s">
        <v>1021</v>
      </c>
      <c r="G43" s="220" t="s">
        <v>2039</v>
      </c>
    </row>
    <row r="44" spans="1:7">
      <c r="A44" s="381"/>
      <c r="B44" s="381"/>
      <c r="C44" s="381"/>
      <c r="D44" s="221" t="s">
        <v>2073</v>
      </c>
      <c r="E44" s="220" t="s">
        <v>943</v>
      </c>
      <c r="F44" s="220" t="s">
        <v>1021</v>
      </c>
      <c r="G44" s="220" t="s">
        <v>2039</v>
      </c>
    </row>
    <row r="45" spans="1:7" ht="28.5">
      <c r="A45" s="381"/>
      <c r="B45" s="381"/>
      <c r="C45" s="381"/>
      <c r="D45" s="377" t="s">
        <v>2029</v>
      </c>
      <c r="E45" s="379" t="s">
        <v>4</v>
      </c>
      <c r="F45" s="220" t="s">
        <v>2021</v>
      </c>
      <c r="G45" s="222" t="s">
        <v>2074</v>
      </c>
    </row>
    <row r="46" spans="1:7">
      <c r="A46" s="381"/>
      <c r="B46" s="381"/>
      <c r="C46" s="381"/>
      <c r="D46" s="378"/>
      <c r="E46" s="380"/>
      <c r="F46" s="220" t="s">
        <v>1021</v>
      </c>
      <c r="G46" s="222" t="s">
        <v>2075</v>
      </c>
    </row>
    <row r="47" spans="1:7">
      <c r="A47" s="381"/>
      <c r="B47" s="381"/>
      <c r="C47" s="381"/>
      <c r="D47" s="221" t="s">
        <v>719</v>
      </c>
      <c r="E47" s="220" t="s">
        <v>2038</v>
      </c>
      <c r="F47" s="220" t="s">
        <v>2021</v>
      </c>
      <c r="G47" s="222" t="s">
        <v>2076</v>
      </c>
    </row>
    <row r="48" spans="1:7">
      <c r="A48" s="381"/>
      <c r="B48" s="381"/>
      <c r="C48" s="381"/>
      <c r="D48" s="221" t="s">
        <v>2077</v>
      </c>
      <c r="E48" s="220" t="s">
        <v>2038</v>
      </c>
      <c r="F48" s="220" t="s">
        <v>2021</v>
      </c>
      <c r="G48" s="222" t="s">
        <v>2076</v>
      </c>
    </row>
    <row r="49" spans="1:7">
      <c r="A49" s="381"/>
      <c r="B49" s="381"/>
      <c r="C49" s="381"/>
      <c r="D49" s="221" t="s">
        <v>1125</v>
      </c>
      <c r="E49" s="220" t="s">
        <v>943</v>
      </c>
      <c r="F49" s="220" t="s">
        <v>1021</v>
      </c>
      <c r="G49" s="220" t="s">
        <v>2039</v>
      </c>
    </row>
    <row r="50" spans="1:7">
      <c r="A50" s="381"/>
      <c r="B50" s="381"/>
      <c r="C50" s="381"/>
      <c r="D50" s="221" t="s">
        <v>1982</v>
      </c>
      <c r="E50" s="220" t="s">
        <v>943</v>
      </c>
      <c r="F50" s="220" t="s">
        <v>1021</v>
      </c>
      <c r="G50" s="220" t="s">
        <v>2039</v>
      </c>
    </row>
    <row r="51" spans="1:7">
      <c r="A51" s="381"/>
      <c r="B51" s="381"/>
      <c r="C51" s="381"/>
      <c r="D51" s="221" t="s">
        <v>1983</v>
      </c>
      <c r="E51" s="220" t="s">
        <v>943</v>
      </c>
      <c r="F51" s="220" t="s">
        <v>1021</v>
      </c>
      <c r="G51" s="220" t="s">
        <v>2039</v>
      </c>
    </row>
    <row r="52" spans="1:7">
      <c r="A52" s="381"/>
      <c r="B52" s="381"/>
      <c r="C52" s="381"/>
      <c r="D52" s="221" t="s">
        <v>1985</v>
      </c>
      <c r="E52" s="220" t="s">
        <v>943</v>
      </c>
      <c r="F52" s="220" t="s">
        <v>1021</v>
      </c>
      <c r="G52" s="220" t="s">
        <v>2039</v>
      </c>
    </row>
    <row r="53" spans="1:7" ht="71.25">
      <c r="A53" s="381"/>
      <c r="B53" s="381"/>
      <c r="C53" s="381"/>
      <c r="D53" s="223" t="s">
        <v>2078</v>
      </c>
      <c r="E53" s="220" t="s">
        <v>324</v>
      </c>
      <c r="F53" s="220" t="s">
        <v>2021</v>
      </c>
      <c r="G53" s="222" t="s">
        <v>2079</v>
      </c>
    </row>
    <row r="54" spans="1:7">
      <c r="A54" s="381"/>
      <c r="B54" s="381"/>
      <c r="C54" s="381"/>
      <c r="D54" s="221" t="s">
        <v>2080</v>
      </c>
      <c r="E54" s="220" t="s">
        <v>2038</v>
      </c>
      <c r="F54" s="220" t="s">
        <v>2021</v>
      </c>
      <c r="G54" s="222" t="s">
        <v>2056</v>
      </c>
    </row>
    <row r="55" spans="1:7">
      <c r="A55" s="381"/>
      <c r="B55" s="381"/>
      <c r="C55" s="381"/>
      <c r="D55" s="221" t="s">
        <v>2081</v>
      </c>
      <c r="E55" s="220" t="s">
        <v>2038</v>
      </c>
      <c r="F55" s="220" t="s">
        <v>2021</v>
      </c>
      <c r="G55" s="222" t="s">
        <v>2056</v>
      </c>
    </row>
    <row r="56" spans="1:7">
      <c r="A56" s="381"/>
      <c r="B56" s="381"/>
      <c r="C56" s="381"/>
      <c r="D56" s="221" t="s">
        <v>2082</v>
      </c>
      <c r="E56" s="220" t="s">
        <v>2038</v>
      </c>
      <c r="F56" s="220" t="s">
        <v>2021</v>
      </c>
      <c r="G56" s="222" t="s">
        <v>2056</v>
      </c>
    </row>
    <row r="57" spans="1:7">
      <c r="A57" s="381"/>
      <c r="B57" s="381"/>
      <c r="C57" s="381"/>
      <c r="D57" s="221" t="s">
        <v>2083</v>
      </c>
      <c r="E57" s="220" t="s">
        <v>2038</v>
      </c>
      <c r="F57" s="220" t="s">
        <v>2021</v>
      </c>
      <c r="G57" s="222" t="s">
        <v>2056</v>
      </c>
    </row>
    <row r="58" spans="1:7">
      <c r="A58" s="381"/>
      <c r="B58" s="381"/>
      <c r="C58" s="381"/>
      <c r="D58" s="377" t="s">
        <v>830</v>
      </c>
      <c r="E58" s="379" t="s">
        <v>4</v>
      </c>
      <c r="F58" s="220" t="s">
        <v>2021</v>
      </c>
      <c r="G58" s="222" t="s">
        <v>2084</v>
      </c>
    </row>
    <row r="59" spans="1:7" ht="28.5">
      <c r="A59" s="381"/>
      <c r="B59" s="381"/>
      <c r="C59" s="381"/>
      <c r="D59" s="378"/>
      <c r="E59" s="380"/>
      <c r="F59" s="220" t="s">
        <v>1021</v>
      </c>
      <c r="G59" s="222" t="s">
        <v>2085</v>
      </c>
    </row>
    <row r="60" spans="1:7" ht="28.5">
      <c r="A60" s="381"/>
      <c r="B60" s="381"/>
      <c r="C60" s="381"/>
      <c r="D60" s="223" t="s">
        <v>2086</v>
      </c>
      <c r="E60" s="220" t="s">
        <v>2038</v>
      </c>
      <c r="F60" s="220" t="s">
        <v>2021</v>
      </c>
      <c r="G60" s="222" t="s">
        <v>2084</v>
      </c>
    </row>
    <row r="61" spans="1:7">
      <c r="A61" s="381"/>
      <c r="B61" s="381"/>
      <c r="C61" s="381"/>
      <c r="D61" s="221" t="s">
        <v>1425</v>
      </c>
      <c r="E61" s="220" t="s">
        <v>943</v>
      </c>
      <c r="F61" s="220" t="s">
        <v>1021</v>
      </c>
      <c r="G61" s="220" t="s">
        <v>2087</v>
      </c>
    </row>
    <row r="62" spans="1:7">
      <c r="A62" s="381"/>
      <c r="B62" s="381"/>
      <c r="C62" s="381"/>
      <c r="D62" s="221" t="s">
        <v>1426</v>
      </c>
      <c r="E62" s="220" t="s">
        <v>943</v>
      </c>
      <c r="F62" s="220" t="s">
        <v>1021</v>
      </c>
      <c r="G62" s="220" t="s">
        <v>2087</v>
      </c>
    </row>
    <row r="63" spans="1:7">
      <c r="A63" s="381"/>
      <c r="B63" s="381"/>
      <c r="C63" s="381"/>
      <c r="D63" s="221" t="s">
        <v>1423</v>
      </c>
      <c r="E63" s="220" t="s">
        <v>943</v>
      </c>
      <c r="F63" s="220" t="s">
        <v>1021</v>
      </c>
      <c r="G63" s="220" t="s">
        <v>2087</v>
      </c>
    </row>
    <row r="64" spans="1:7" ht="99.75">
      <c r="A64" s="381"/>
      <c r="B64" s="381"/>
      <c r="C64" s="381"/>
      <c r="D64" s="377" t="s">
        <v>875</v>
      </c>
      <c r="E64" s="379" t="s">
        <v>4</v>
      </c>
      <c r="F64" s="220" t="s">
        <v>2021</v>
      </c>
      <c r="G64" s="222" t="s">
        <v>2088</v>
      </c>
    </row>
    <row r="65" spans="1:7">
      <c r="A65" s="381"/>
      <c r="B65" s="381"/>
      <c r="C65" s="381"/>
      <c r="D65" s="378"/>
      <c r="E65" s="380"/>
      <c r="F65" s="220" t="s">
        <v>1021</v>
      </c>
      <c r="G65" s="222" t="s">
        <v>2089</v>
      </c>
    </row>
    <row r="66" spans="1:7">
      <c r="A66" s="381"/>
      <c r="B66" s="381"/>
      <c r="C66" s="381"/>
      <c r="D66" s="221" t="s">
        <v>2090</v>
      </c>
      <c r="E66" s="220" t="s">
        <v>2038</v>
      </c>
      <c r="F66" s="220" t="s">
        <v>2021</v>
      </c>
      <c r="G66" s="222" t="s">
        <v>2044</v>
      </c>
    </row>
    <row r="67" spans="1:7">
      <c r="A67" s="381"/>
      <c r="B67" s="381"/>
      <c r="C67" s="381"/>
      <c r="D67" s="221" t="s">
        <v>2091</v>
      </c>
      <c r="E67" s="220" t="s">
        <v>2038</v>
      </c>
      <c r="F67" s="220" t="s">
        <v>2021</v>
      </c>
      <c r="G67" s="222" t="s">
        <v>2044</v>
      </c>
    </row>
    <row r="68" spans="1:7" ht="28.5">
      <c r="A68" s="381"/>
      <c r="B68" s="381"/>
      <c r="C68" s="381"/>
      <c r="D68" s="223" t="s">
        <v>2092</v>
      </c>
      <c r="E68" s="220" t="s">
        <v>2038</v>
      </c>
      <c r="F68" s="220" t="s">
        <v>2021</v>
      </c>
      <c r="G68" s="222" t="s">
        <v>2093</v>
      </c>
    </row>
    <row r="69" spans="1:7">
      <c r="A69" s="381"/>
      <c r="B69" s="381"/>
      <c r="C69" s="381"/>
      <c r="D69" s="221" t="s">
        <v>2094</v>
      </c>
      <c r="E69" s="220" t="s">
        <v>2038</v>
      </c>
      <c r="F69" s="220" t="s">
        <v>2021</v>
      </c>
      <c r="G69" s="222" t="s">
        <v>2044</v>
      </c>
    </row>
    <row r="70" spans="1:7">
      <c r="A70" s="381"/>
      <c r="B70" s="381"/>
      <c r="C70" s="381"/>
      <c r="D70" s="221" t="s">
        <v>2095</v>
      </c>
      <c r="E70" s="220" t="s">
        <v>2038</v>
      </c>
      <c r="F70" s="220" t="s">
        <v>2021</v>
      </c>
      <c r="G70" s="222" t="s">
        <v>2044</v>
      </c>
    </row>
    <row r="71" spans="1:7">
      <c r="A71" s="381"/>
      <c r="B71" s="381"/>
      <c r="C71" s="381"/>
      <c r="D71" s="221" t="s">
        <v>2096</v>
      </c>
      <c r="E71" s="220" t="s">
        <v>2038</v>
      </c>
      <c r="F71" s="220" t="s">
        <v>2021</v>
      </c>
      <c r="G71" s="222" t="s">
        <v>2044</v>
      </c>
    </row>
    <row r="72" spans="1:7">
      <c r="A72" s="381"/>
      <c r="B72" s="381"/>
      <c r="C72" s="381"/>
      <c r="D72" s="221" t="s">
        <v>2097</v>
      </c>
      <c r="E72" s="220" t="s">
        <v>2038</v>
      </c>
      <c r="F72" s="220" t="s">
        <v>2021</v>
      </c>
      <c r="G72" s="222" t="s">
        <v>2044</v>
      </c>
    </row>
    <row r="73" spans="1:7" ht="57">
      <c r="A73" s="381"/>
      <c r="B73" s="381"/>
      <c r="C73" s="381"/>
      <c r="D73" s="223" t="s">
        <v>2098</v>
      </c>
      <c r="E73" s="220" t="s">
        <v>943</v>
      </c>
      <c r="F73" s="220" t="s">
        <v>1021</v>
      </c>
      <c r="G73" s="220" t="s">
        <v>2099</v>
      </c>
    </row>
    <row r="74" spans="1:7" ht="71.25">
      <c r="A74" s="381"/>
      <c r="B74" s="381"/>
      <c r="C74" s="381"/>
      <c r="D74" s="223" t="s">
        <v>2100</v>
      </c>
      <c r="E74" s="220" t="s">
        <v>324</v>
      </c>
      <c r="F74" s="220" t="s">
        <v>2021</v>
      </c>
      <c r="G74" s="222" t="s">
        <v>2101</v>
      </c>
    </row>
    <row r="75" spans="1:7" ht="28.5">
      <c r="A75" s="381"/>
      <c r="B75" s="381"/>
      <c r="C75" s="381"/>
      <c r="D75" s="223" t="s">
        <v>2102</v>
      </c>
      <c r="E75" s="220" t="s">
        <v>2038</v>
      </c>
      <c r="F75" s="220" t="s">
        <v>2021</v>
      </c>
      <c r="G75" s="222" t="s">
        <v>2103</v>
      </c>
    </row>
    <row r="76" spans="1:7" ht="28.5">
      <c r="A76" s="381"/>
      <c r="B76" s="381"/>
      <c r="C76" s="381"/>
      <c r="D76" s="223" t="s">
        <v>2104</v>
      </c>
      <c r="E76" s="220" t="s">
        <v>2038</v>
      </c>
      <c r="F76" s="220" t="s">
        <v>2021</v>
      </c>
      <c r="G76" s="222" t="s">
        <v>2105</v>
      </c>
    </row>
    <row r="77" spans="1:7" ht="28.5">
      <c r="A77" s="381"/>
      <c r="B77" s="381"/>
      <c r="C77" s="381"/>
      <c r="D77" s="223" t="s">
        <v>2106</v>
      </c>
      <c r="E77" s="220" t="s">
        <v>2038</v>
      </c>
      <c r="F77" s="220" t="s">
        <v>2021</v>
      </c>
      <c r="G77" s="222" t="s">
        <v>2105</v>
      </c>
    </row>
    <row r="78" spans="1:7" ht="71.25">
      <c r="A78" s="381"/>
      <c r="B78" s="381"/>
      <c r="C78" s="381"/>
      <c r="D78" s="223" t="s">
        <v>2107</v>
      </c>
      <c r="E78" s="220" t="s">
        <v>324</v>
      </c>
      <c r="F78" s="220" t="s">
        <v>2021</v>
      </c>
      <c r="G78" s="222" t="s">
        <v>2108</v>
      </c>
    </row>
    <row r="79" spans="1:7" ht="28.5">
      <c r="A79" s="381"/>
      <c r="B79" s="381"/>
      <c r="C79" s="381"/>
      <c r="D79" s="223" t="s">
        <v>2109</v>
      </c>
      <c r="E79" s="220" t="s">
        <v>2038</v>
      </c>
      <c r="F79" s="220" t="s">
        <v>2021</v>
      </c>
      <c r="G79" s="222" t="s">
        <v>2110</v>
      </c>
    </row>
    <row r="80" spans="1:7" ht="28.5">
      <c r="A80" s="381"/>
      <c r="B80" s="381"/>
      <c r="C80" s="381"/>
      <c r="D80" s="223" t="s">
        <v>2111</v>
      </c>
      <c r="E80" s="220" t="s">
        <v>2038</v>
      </c>
      <c r="F80" s="220" t="s">
        <v>2021</v>
      </c>
      <c r="G80" s="222" t="s">
        <v>2105</v>
      </c>
    </row>
    <row r="81" spans="1:7" ht="28.5">
      <c r="A81" s="381"/>
      <c r="B81" s="381"/>
      <c r="C81" s="381"/>
      <c r="D81" s="223" t="s">
        <v>2112</v>
      </c>
      <c r="E81" s="220" t="s">
        <v>2038</v>
      </c>
      <c r="F81" s="220" t="s">
        <v>2021</v>
      </c>
      <c r="G81" s="222" t="s">
        <v>2105</v>
      </c>
    </row>
    <row r="82" spans="1:7" ht="71.25">
      <c r="A82" s="381"/>
      <c r="B82" s="381"/>
      <c r="C82" s="381"/>
      <c r="D82" s="223" t="s">
        <v>2113</v>
      </c>
      <c r="E82" s="220" t="s">
        <v>324</v>
      </c>
      <c r="F82" s="220" t="s">
        <v>2021</v>
      </c>
      <c r="G82" s="222" t="s">
        <v>2114</v>
      </c>
    </row>
    <row r="83" spans="1:7" ht="57">
      <c r="A83" s="381"/>
      <c r="B83" s="381"/>
      <c r="C83" s="381"/>
      <c r="D83" s="223" t="s">
        <v>2115</v>
      </c>
      <c r="E83" s="220" t="s">
        <v>2038</v>
      </c>
      <c r="F83" s="220" t="s">
        <v>2021</v>
      </c>
      <c r="G83" s="222" t="s">
        <v>2103</v>
      </c>
    </row>
    <row r="84" spans="1:7" ht="28.5">
      <c r="A84" s="381"/>
      <c r="B84" s="381"/>
      <c r="C84" s="381"/>
      <c r="D84" s="223" t="s">
        <v>2116</v>
      </c>
      <c r="E84" s="220" t="s">
        <v>2038</v>
      </c>
      <c r="F84" s="220" t="s">
        <v>2021</v>
      </c>
      <c r="G84" s="222" t="s">
        <v>2105</v>
      </c>
    </row>
    <row r="85" spans="1:7" ht="28.5">
      <c r="A85" s="381"/>
      <c r="B85" s="381"/>
      <c r="C85" s="381"/>
      <c r="D85" s="223" t="s">
        <v>2117</v>
      </c>
      <c r="E85" s="220" t="s">
        <v>2038</v>
      </c>
      <c r="F85" s="220" t="s">
        <v>2021</v>
      </c>
      <c r="G85" s="222" t="s">
        <v>2105</v>
      </c>
    </row>
    <row r="86" spans="1:7" ht="57">
      <c r="A86" s="381"/>
      <c r="B86" s="381"/>
      <c r="C86" s="380"/>
      <c r="D86" s="223" t="s">
        <v>2118</v>
      </c>
      <c r="E86" s="220" t="s">
        <v>943</v>
      </c>
      <c r="F86" s="220" t="s">
        <v>1021</v>
      </c>
      <c r="G86" s="220" t="s">
        <v>2039</v>
      </c>
    </row>
    <row r="87" spans="1:7">
      <c r="A87" s="381"/>
      <c r="B87" s="381"/>
      <c r="C87" s="379" t="s">
        <v>2119</v>
      </c>
      <c r="D87" s="223" t="s">
        <v>2120</v>
      </c>
      <c r="E87" s="220" t="s">
        <v>4</v>
      </c>
      <c r="F87" s="220" t="s">
        <v>2021</v>
      </c>
      <c r="G87" s="220" t="s">
        <v>2121</v>
      </c>
    </row>
    <row r="88" spans="1:7">
      <c r="A88" s="381"/>
      <c r="B88" s="381"/>
      <c r="C88" s="381"/>
      <c r="D88" s="223" t="s">
        <v>1031</v>
      </c>
      <c r="E88" s="220" t="s">
        <v>2038</v>
      </c>
      <c r="F88" s="220" t="s">
        <v>2021</v>
      </c>
      <c r="G88" s="220" t="s">
        <v>2121</v>
      </c>
    </row>
    <row r="89" spans="1:7">
      <c r="A89" s="381"/>
      <c r="B89" s="381"/>
      <c r="C89" s="381"/>
      <c r="D89" s="221" t="s">
        <v>2122</v>
      </c>
      <c r="E89" s="220" t="s">
        <v>4</v>
      </c>
      <c r="F89" s="220" t="s">
        <v>2021</v>
      </c>
      <c r="G89" s="222" t="s">
        <v>2123</v>
      </c>
    </row>
    <row r="90" spans="1:7">
      <c r="A90" s="381"/>
      <c r="B90" s="381"/>
      <c r="C90" s="381"/>
      <c r="D90" s="221" t="s">
        <v>509</v>
      </c>
      <c r="E90" s="220" t="s">
        <v>2038</v>
      </c>
      <c r="F90" s="220" t="s">
        <v>2021</v>
      </c>
      <c r="G90" s="222" t="s">
        <v>2123</v>
      </c>
    </row>
    <row r="91" spans="1:7">
      <c r="A91" s="381"/>
      <c r="B91" s="381"/>
      <c r="C91" s="381"/>
      <c r="D91" s="377" t="s">
        <v>2124</v>
      </c>
      <c r="E91" s="220" t="s">
        <v>3</v>
      </c>
      <c r="F91" s="220" t="s">
        <v>2021</v>
      </c>
      <c r="G91" s="222" t="s">
        <v>2125</v>
      </c>
    </row>
    <row r="92" spans="1:7">
      <c r="A92" s="381"/>
      <c r="B92" s="381"/>
      <c r="C92" s="381"/>
      <c r="D92" s="378"/>
      <c r="E92" s="220" t="s">
        <v>4</v>
      </c>
      <c r="F92" s="220" t="s">
        <v>2021</v>
      </c>
      <c r="G92" s="222" t="s">
        <v>2126</v>
      </c>
    </row>
    <row r="93" spans="1:7">
      <c r="A93" s="381"/>
      <c r="B93" s="381"/>
      <c r="C93" s="381"/>
      <c r="D93" s="221" t="s">
        <v>2127</v>
      </c>
      <c r="E93" s="220" t="s">
        <v>2038</v>
      </c>
      <c r="F93" s="220" t="s">
        <v>2021</v>
      </c>
      <c r="G93" s="222" t="s">
        <v>2126</v>
      </c>
    </row>
    <row r="94" spans="1:7">
      <c r="A94" s="381"/>
      <c r="B94" s="381"/>
      <c r="C94" s="381"/>
      <c r="D94" s="221" t="s">
        <v>2128</v>
      </c>
      <c r="E94" s="220" t="s">
        <v>2038</v>
      </c>
      <c r="F94" s="220" t="s">
        <v>2021</v>
      </c>
      <c r="G94" s="222" t="s">
        <v>2126</v>
      </c>
    </row>
    <row r="95" spans="1:7">
      <c r="A95" s="381"/>
      <c r="B95" s="381"/>
      <c r="C95" s="381"/>
      <c r="D95" s="221" t="s">
        <v>791</v>
      </c>
      <c r="E95" s="220" t="s">
        <v>3</v>
      </c>
      <c r="F95" s="220" t="s">
        <v>2021</v>
      </c>
      <c r="G95" s="222" t="s">
        <v>2125</v>
      </c>
    </row>
    <row r="96" spans="1:7">
      <c r="A96" s="381"/>
      <c r="B96" s="381"/>
      <c r="C96" s="381"/>
      <c r="D96" s="221" t="s">
        <v>912</v>
      </c>
      <c r="E96" s="220" t="s">
        <v>4</v>
      </c>
      <c r="F96" s="220" t="s">
        <v>2021</v>
      </c>
      <c r="G96" s="222" t="s">
        <v>2129</v>
      </c>
    </row>
    <row r="97" spans="1:7">
      <c r="A97" s="381"/>
      <c r="B97" s="380"/>
      <c r="C97" s="380"/>
      <c r="D97" s="221" t="s">
        <v>916</v>
      </c>
      <c r="E97" s="220" t="s">
        <v>2038</v>
      </c>
      <c r="F97" s="220" t="s">
        <v>2021</v>
      </c>
      <c r="G97" s="222" t="s">
        <v>2129</v>
      </c>
    </row>
    <row r="98" spans="1:7">
      <c r="A98" s="380"/>
      <c r="B98" s="224" t="s">
        <v>2130</v>
      </c>
      <c r="C98" s="220" t="s">
        <v>2131</v>
      </c>
      <c r="D98" s="225" t="s">
        <v>943</v>
      </c>
      <c r="E98" s="224" t="s">
        <v>943</v>
      </c>
      <c r="F98" s="224" t="s">
        <v>943</v>
      </c>
      <c r="G98" s="226" t="s">
        <v>943</v>
      </c>
    </row>
    <row r="99" spans="1:7">
      <c r="A99" s="227"/>
      <c r="B99" s="227"/>
      <c r="C99" s="228"/>
      <c r="D99" s="229"/>
      <c r="E99" s="227"/>
      <c r="F99" s="227"/>
      <c r="G99" s="230"/>
    </row>
    <row r="100" spans="1:7">
      <c r="A100" s="227"/>
      <c r="B100" s="227"/>
      <c r="C100" s="228"/>
      <c r="D100" s="229"/>
      <c r="E100" s="227"/>
      <c r="F100" s="227"/>
      <c r="G100" s="230"/>
    </row>
    <row r="101" spans="1:7">
      <c r="A101" s="227"/>
      <c r="B101" s="227"/>
      <c r="C101" s="228"/>
      <c r="D101" s="229"/>
      <c r="E101" s="227"/>
      <c r="F101" s="227"/>
      <c r="G101" s="230"/>
    </row>
    <row r="102" spans="1:7">
      <c r="A102" s="227"/>
      <c r="B102" s="227"/>
      <c r="C102" s="228"/>
      <c r="D102" s="229"/>
      <c r="E102" s="227"/>
      <c r="F102" s="227"/>
      <c r="G102" s="230"/>
    </row>
    <row r="103" spans="1:7">
      <c r="A103" s="227"/>
      <c r="B103" s="227"/>
      <c r="C103" s="228"/>
      <c r="D103" s="231"/>
      <c r="E103" s="227"/>
      <c r="F103" s="227"/>
      <c r="G103" s="230"/>
    </row>
    <row r="104" spans="1:7">
      <c r="A104" s="227"/>
      <c r="B104" s="227"/>
      <c r="C104" s="228"/>
      <c r="D104" s="231"/>
      <c r="E104" s="227"/>
      <c r="F104" s="227"/>
      <c r="G104" s="227"/>
    </row>
    <row r="105" spans="1:7">
      <c r="A105" s="227"/>
      <c r="B105" s="227"/>
      <c r="C105" s="228"/>
      <c r="D105" s="231"/>
      <c r="E105" s="227"/>
      <c r="F105" s="227"/>
      <c r="G105" s="227"/>
    </row>
    <row r="106" spans="1:7">
      <c r="A106" s="227"/>
      <c r="B106" s="227"/>
      <c r="C106" s="228"/>
      <c r="D106" s="231"/>
      <c r="E106" s="227"/>
      <c r="F106" s="227"/>
      <c r="G106" s="227"/>
    </row>
    <row r="107" spans="1:7">
      <c r="A107" s="227"/>
      <c r="B107" s="227"/>
      <c r="C107" s="228"/>
      <c r="D107" s="231"/>
      <c r="E107" s="227"/>
      <c r="F107" s="227"/>
      <c r="G107" s="227"/>
    </row>
    <row r="108" spans="1:7">
      <c r="A108" s="227"/>
      <c r="B108" s="227"/>
      <c r="C108" s="228"/>
      <c r="D108" s="231"/>
      <c r="E108" s="227"/>
      <c r="F108" s="227"/>
      <c r="G108" s="227"/>
    </row>
    <row r="109" spans="1:7">
      <c r="A109" s="227"/>
      <c r="B109" s="227"/>
      <c r="C109" s="228"/>
      <c r="D109" s="231"/>
      <c r="E109" s="227"/>
      <c r="F109" s="227"/>
      <c r="G109" s="227"/>
    </row>
    <row r="110" spans="1:7">
      <c r="A110" s="227"/>
      <c r="B110" s="227"/>
      <c r="C110" s="228"/>
      <c r="D110" s="231"/>
      <c r="E110" s="227"/>
      <c r="F110" s="227"/>
      <c r="G110" s="227"/>
    </row>
  </sheetData>
  <mergeCells count="18">
    <mergeCell ref="D3:E3"/>
    <mergeCell ref="D12:D13"/>
    <mergeCell ref="E12:E13"/>
    <mergeCell ref="D18:D19"/>
    <mergeCell ref="E18:E19"/>
    <mergeCell ref="D91:D92"/>
    <mergeCell ref="D45:D46"/>
    <mergeCell ref="E45:E46"/>
    <mergeCell ref="A5:A98"/>
    <mergeCell ref="B6:B11"/>
    <mergeCell ref="C6:C11"/>
    <mergeCell ref="B12:B97"/>
    <mergeCell ref="C12:C86"/>
    <mergeCell ref="C87:C97"/>
    <mergeCell ref="D58:D59"/>
    <mergeCell ref="E58:E59"/>
    <mergeCell ref="D64:D65"/>
    <mergeCell ref="E64:E65"/>
  </mergeCells>
  <phoneticPr fontId="1"/>
  <hyperlinks>
    <hyperlink ref="A1" location="目次!A1" display="目次" xr:uid="{00000000-0004-0000-1300-000000000000}"/>
  </hyperlinks>
  <pageMargins left="0.7" right="0.7" top="0.75" bottom="0.75" header="0.3" footer="0.3"/>
  <pageSetup paperSize="9" orientation="portrait" horizontalDpi="4294967294"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nversation-Topic xmlns="bca0bc44-19d1-4824-98a4-321de56310bf" xsi:nil="true"/>
    <Received xmlns="bca0bc44-19d1-4824-98a4-321de56310bf" xsi:nil="true"/>
    <Importance xmlns="bca0bc44-19d1-4824-98a4-321de56310bf" xsi:nil="true"/>
    <ISC xmlns="554b5531-0c2b-4dbd-bf37-7deb61ad4c5e">1</ISC>
    <Conversation-Index xmlns="bca0bc44-19d1-4824-98a4-321de56310bf" xsi:nil="true"/>
    <Bcc xmlns="bca0bc44-19d1-4824-98a4-321de56310bf" xsi:nil="true"/>
    <Sensitivity xmlns="bca0bc44-19d1-4824-98a4-321de56310bf" xsi:nil="true"/>
    <IconOverlay xmlns="http://schemas.microsoft.com/sharepoint/v4" xsi:nil="true"/>
    <To xmlns="bca0bc44-19d1-4824-98a4-321de56310bf" xsi:nil="true"/>
    <Safeguarding xmlns="554b5531-0c2b-4dbd-bf37-7deb61ad4c5e">No</Safeguarding>
    <Reply-To xmlns="bca0bc44-19d1-4824-98a4-321de56310bf" xsi:nil="true"/>
    <In-Reply-To xmlns="bca0bc44-19d1-4824-98a4-321de56310bf" xsi:nil="true"/>
    <MailPreviewData xmlns="bca0bc44-19d1-4824-98a4-321de56310bf" xsi:nil="true"/>
    <MessageClass xmlns="554b5531-0c2b-4dbd-bf37-7deb61ad4c5e" xsi:nil="true"/>
    <ArchivingPeriod xmlns="554b5531-0c2b-4dbd-bf37-7deb61ad4c5e">15</ArchivingPeriod>
    <CSC xmlns="554b5531-0c2b-4dbd-bf37-7deb61ad4c5e">1</CSC>
    <Historicalrelevance xmlns="554b5531-0c2b-4dbd-bf37-7deb61ad4c5e">No</Historicalrelevance>
    <Date1 xmlns="bca0bc44-19d1-4824-98a4-321de56310bf" xsi:nil="true"/>
    <Attachment xmlns="bca0bc44-19d1-4824-98a4-321de56310bf">true</Attachment>
    <References xmlns="bca0bc44-19d1-4824-98a4-321de56310bf" xsi:nil="true"/>
    <ASC xmlns="554b5531-0c2b-4dbd-bf37-7deb61ad4c5e">1</ASC>
    <Cc xmlns="bca0bc44-19d1-4824-98a4-321de56310bf" xsi:nil="true"/>
    <Message-ID xmlns="bca0bc44-19d1-4824-98a4-321de56310bf" xsi:nil="true"/>
    <OriginalSubject xmlns="bca0bc44-19d1-4824-98a4-321de56310bf" xsi:nil="true"/>
    <From1 xmlns="bca0bc44-19d1-4824-98a4-321de56310bf" xsi:nil="true"/>
    <Revisions xmlns="554b5531-0c2b-4dbd-bf37-7deb61ad4c5e">
      <Url xsi:nil="true"/>
      <Description xsi:nil="true"/>
    </Revisions>
    <LockedStatus xmlns="554b5531-0c2b-4dbd-bf37-7deb61ad4c5e">Unlocked</LockedStatus>
    <_vti_ItemHoldRecordStatus xmlns="http://schemas.microsoft.com/sharepoint/v3" xsi:nil="true"/>
    <_vti_ItemDeclaredRecord xmlns="http://schemas.microsoft.com/sharepoint/v3" xsi:nil="true"/>
    <_dlc_DocId xmlns="554b5531-0c2b-4dbd-bf37-7deb61ad4c5e">P12S142488-1599716605-2419</_dlc_DocId>
    <_dlc_DocIdUrl xmlns="554b5531-0c2b-4dbd-bf37-7deb61ad4c5e">
      <Url>https://sites.inside-share2.bosch.com/sites/142488/_layouts/15/DocIdRedir.aspx?ID=P12S142488-1599716605-2419</Url>
      <Description>P12S142488-1599716605-2419</Description>
    </_dlc_DocIdUrl>
    <ILMItemType xmlns="554b5531-0c2b-4dbd-bf37-7deb61ad4c5e">ConceptualItem</ILMItemType>
    <LockedBy xmlns="554b5531-0c2b-4dbd-bf37-7deb61ad4c5e">
      <UserInfo>
        <DisplayName/>
        <AccountId xsi:nil="true"/>
        <AccountType/>
      </UserInfo>
    </LockedBy>
    <ILMCreationRevision xmlns="554b5531-0c2b-4dbd-bf37-7deb61ad4c5e">false</ILMCreationRevision>
    <IlmBasedOn xmlns="554b5531-0c2b-4dbd-bf37-7deb61ad4c5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ILMBoschDocument" ma:contentTypeID="0x01010045D38828867BBB41AE465C17D1ED99D801000EB2560D5EF5294EABD530B0D0EF45D4" ma:contentTypeVersion="9" ma:contentTypeDescription="Bosch Document Content Type for ILM" ma:contentTypeScope="" ma:versionID="aa70f3a0b7876d408a353213e1911f70">
  <xsd:schema xmlns:xsd="http://www.w3.org/2001/XMLSchema" xmlns:xs="http://www.w3.org/2001/XMLSchema" xmlns:p="http://schemas.microsoft.com/office/2006/metadata/properties" xmlns:ns1="http://schemas.microsoft.com/sharepoint/v3" xmlns:ns2="554b5531-0c2b-4dbd-bf37-7deb61ad4c5e" xmlns:ns3="bca0bc44-19d1-4824-98a4-321de56310bf" xmlns:ns4="http://schemas.microsoft.com/sharepoint/v4" targetNamespace="http://schemas.microsoft.com/office/2006/metadata/properties" ma:root="true" ma:fieldsID="13003be420631d126d1e8a934d2472c8" ns1:_="" ns2:_="" ns3:_="" ns4:_="">
    <xsd:import namespace="http://schemas.microsoft.com/sharepoint/v3"/>
    <xsd:import namespace="554b5531-0c2b-4dbd-bf37-7deb61ad4c5e"/>
    <xsd:import namespace="bca0bc44-19d1-4824-98a4-321de56310bf"/>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2:CSC"/>
                <xsd:element ref="ns2:ASC"/>
                <xsd:element ref="ns2:ISC"/>
                <xsd:element ref="ns2:ArchivingPeriod"/>
                <xsd:element ref="ns2:Safeguarding"/>
                <xsd:element ref="ns2:Historicalrelevance"/>
                <xsd:element ref="ns3:OriginalSubject" minOccurs="0"/>
                <xsd:element ref="ns3:From1" minOccurs="0"/>
                <xsd:element ref="ns3:Cc" minOccurs="0"/>
                <xsd:element ref="ns3:Bcc" minOccurs="0"/>
                <xsd:element ref="ns3:Conversation-Topic" minOccurs="0"/>
                <xsd:element ref="ns3:Date1" minOccurs="0"/>
                <xsd:element ref="ns3:Reply-To" minOccurs="0"/>
                <xsd:element ref="ns3:To" minOccurs="0"/>
                <xsd:element ref="ns3:Received" minOccurs="0"/>
                <xsd:element ref="ns3:Attachment" minOccurs="0"/>
                <xsd:element ref="ns3:Sensitivity" minOccurs="0"/>
                <xsd:element ref="ns3:Importance" minOccurs="0"/>
                <xsd:element ref="ns3:In-Reply-To" minOccurs="0"/>
                <xsd:element ref="ns3:References" minOccurs="0"/>
                <xsd:element ref="ns3:Conversation-Index" minOccurs="0"/>
                <xsd:element ref="ns3:MailPreviewData" minOccurs="0"/>
                <xsd:element ref="ns2:MessageClass" minOccurs="0"/>
                <xsd:element ref="ns3:Message-ID" minOccurs="0"/>
                <xsd:element ref="ns2:IlmBasedOn" minOccurs="0"/>
                <xsd:element ref="ns2:LockedStatus" minOccurs="0"/>
                <xsd:element ref="ns2:LockedBy" minOccurs="0"/>
                <xsd:element ref="ns2:ILMItemType" minOccurs="0"/>
                <xsd:element ref="ns2:ILMCreationRevision" minOccurs="0"/>
                <xsd:element ref="ns2:Revisions" minOccurs="0"/>
                <xsd:element ref="ns4:IconOverlay" minOccurs="0"/>
                <xsd:element ref="ns1:_vti_ItemDeclaredRecord" minOccurs="0"/>
                <xsd:element ref="ns1:_vti_ItemHoldRecord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vti_ItemDeclaredRecord" ma:index="42" nillable="true" ma:displayName="Declared Record" ma:hidden="true" ma:internalName="_vti_ItemDeclaredRecord" ma:readOnly="true">
      <xsd:simpleType>
        <xsd:restriction base="dms:DateTime"/>
      </xsd:simpleType>
    </xsd:element>
    <xsd:element name="_vti_ItemHoldRecordStatus" ma:index="43" nillable="true" ma:displayName="Hold and Record Status" ma:decimals="0" ma:description="" ma:hidden="true" ma:indexed="true" ma:internalName="_vti_ItemHoldRecordStatu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54b5531-0c2b-4dbd-bf37-7deb61ad4c5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CSC" ma:index="11" ma:displayName="C-SC" ma:default="1" ma:description="Security Class for Confidentiality." ma:format="Dropdown" ma:indexed="true" ma:internalName="CSC" ma:readOnly="false">
      <xsd:simpleType>
        <xsd:restriction base="dms:Choice">
          <xsd:enumeration value="0"/>
          <xsd:enumeration value="1"/>
          <xsd:enumeration value="2"/>
          <xsd:enumeration value="3"/>
        </xsd:restriction>
      </xsd:simpleType>
    </xsd:element>
    <xsd:element name="ASC" ma:index="12" ma:displayName="A-SC" ma:default="1" ma:description="Security Class for Availability" ma:format="Dropdown" ma:indexed="true" ma:internalName="ASC" ma:readOnly="false">
      <xsd:simpleType>
        <xsd:restriction base="dms:Choice">
          <xsd:enumeration value="0"/>
          <xsd:enumeration value="1"/>
          <xsd:enumeration value="2"/>
          <xsd:enumeration value="3"/>
        </xsd:restriction>
      </xsd:simpleType>
    </xsd:element>
    <xsd:element name="ISC" ma:index="13" ma:displayName="I-SC" ma:default="1" ma:description="Security Class for Integrity" ma:format="Dropdown" ma:internalName="ISC" ma:readOnly="false">
      <xsd:simpleType>
        <xsd:restriction base="dms:Choice">
          <xsd:enumeration value="0"/>
          <xsd:enumeration value="1"/>
          <xsd:enumeration value="2"/>
          <xsd:enumeration value="3"/>
        </xsd:restriction>
      </xsd:simpleType>
    </xsd:element>
    <xsd:element name="ArchivingPeriod" ma:index="14" ma:displayName="Archiving Period (in years)" ma:default="15" ma:description="File will be deleted from the archive after end of the archiving" ma:format="Dropdown" ma:indexed="true" ma:internalName="ArchivingPeriod" ma:readOnly="false">
      <xsd:simpleType>
        <xsd:union memberTypes="dms:Text">
          <xsd:simpleType>
            <xsd:restriction base="dms:Choice">
              <xsd:enumeration value="1"/>
              <xsd:enumeration value="3"/>
              <xsd:enumeration value="6"/>
              <xsd:enumeration value="10"/>
              <xsd:enumeration value="15"/>
              <xsd:enumeration value="35"/>
              <xsd:enumeration value="Delete when archiving"/>
              <xsd:enumeration value="infinite"/>
            </xsd:restriction>
          </xsd:simpleType>
        </xsd:union>
      </xsd:simpleType>
    </xsd:element>
    <xsd:element name="Safeguarding" ma:index="15" ma:displayName="Safeguarding" ma:default="No" ma:description="Special safeguarding requirements" ma:format="Dropdown" ma:internalName="Safeguarding" ma:readOnly="false">
      <xsd:simpleType>
        <xsd:restriction base="dms:Choice">
          <xsd:enumeration value="Yes"/>
          <xsd:enumeration value="No"/>
        </xsd:restriction>
      </xsd:simpleType>
    </xsd:element>
    <xsd:element name="Historicalrelevance" ma:index="16" ma:displayName="Historical relevance" ma:default="No" ma:description="Handover to C/CCH" ma:format="Dropdown" ma:internalName="Historicalrelevance" ma:readOnly="false">
      <xsd:simpleType>
        <xsd:restriction base="dms:Choice">
          <xsd:enumeration value="Yes"/>
          <xsd:enumeration value="No"/>
        </xsd:restriction>
      </xsd:simpleType>
    </xsd:element>
    <xsd:element name="MessageClass" ma:index="33" nillable="true" ma:displayName="MessageClass" ma:hidden="true" ma:internalName="MessageClass">
      <xsd:simpleType>
        <xsd:restriction base="dms:Text">
          <xsd:maxLength value="255"/>
        </xsd:restriction>
      </xsd:simpleType>
    </xsd:element>
    <xsd:element name="IlmBasedOn" ma:index="35" nillable="true" ma:displayName="Based on" ma:internalName="IlmBasedOn" ma:readOnly="true">
      <xsd:simpleType>
        <xsd:restriction base="dms:Text"/>
      </xsd:simpleType>
    </xsd:element>
    <xsd:element name="LockedStatus" ma:index="36" nillable="true" ma:displayName="Locked Status" ma:default="Unlocked" ma:internalName="LockedStatus" ma:readOnly="true">
      <xsd:simpleType>
        <xsd:restriction base="dms:Text"/>
      </xsd:simpleType>
    </xsd:element>
    <xsd:element name="LockedBy" ma:index="37" nillable="true" ma:displayName="Locked By" ma:internalName="Locked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LMItemType" ma:index="38" nillable="true" ma:displayName="ILMItemType" ma:default="ConceptualItem" ma:indexed="true" ma:internalName="ILMItemType" ma:readOnly="true">
      <xsd:simpleType>
        <xsd:restriction base="dms:Text"/>
      </xsd:simpleType>
    </xsd:element>
    <xsd:element name="ILMCreationRevision" ma:index="39" nillable="true" ma:displayName="Creating Revision" ma:internalName="ILMCreationRevision" ma:readOnly="true">
      <xsd:simpleType>
        <xsd:restriction base="dms:Boolean"/>
      </xsd:simpleType>
    </xsd:element>
    <xsd:element name="Revisions" ma:index="40" nillable="true" ma:displayName="Revision set" ma:internalName="Revisions" ma:readOnly="tru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ca0bc44-19d1-4824-98a4-321de56310bf" elementFormDefault="qualified">
    <xsd:import namespace="http://schemas.microsoft.com/office/2006/documentManagement/types"/>
    <xsd:import namespace="http://schemas.microsoft.com/office/infopath/2007/PartnerControls"/>
    <xsd:element name="OriginalSubject" ma:index="17" nillable="true" ma:displayName="OriginalSubject" ma:internalName="OriginalSubject">
      <xsd:simpleType>
        <xsd:restriction base="dms:Text">
          <xsd:maxLength value="255"/>
        </xsd:restriction>
      </xsd:simpleType>
    </xsd:element>
    <xsd:element name="From1" ma:index="18" nillable="true" ma:displayName="From" ma:internalName="From1">
      <xsd:simpleType>
        <xsd:restriction base="dms:Text">
          <xsd:maxLength value="255"/>
        </xsd:restriction>
      </xsd:simpleType>
    </xsd:element>
    <xsd:element name="Cc" ma:index="19" nillable="true" ma:displayName="Cc" ma:internalName="Cc">
      <xsd:simpleType>
        <xsd:restriction base="dms:Note">
          <xsd:maxLength value="255"/>
        </xsd:restriction>
      </xsd:simpleType>
    </xsd:element>
    <xsd:element name="Bcc" ma:index="20" nillable="true" ma:displayName="Bcc" ma:internalName="Bcc">
      <xsd:simpleType>
        <xsd:restriction base="dms:Note">
          <xsd:maxLength value="255"/>
        </xsd:restriction>
      </xsd:simpleType>
    </xsd:element>
    <xsd:element name="Conversation-Topic" ma:index="21" nillable="true" ma:displayName="Conversation-Topic" ma:internalName="Conversation_x002d_Topic">
      <xsd:simpleType>
        <xsd:restriction base="dms:Text">
          <xsd:maxLength value="255"/>
        </xsd:restriction>
      </xsd:simpleType>
    </xsd:element>
    <xsd:element name="Date1" ma:index="22" nillable="true" ma:displayName="Date" ma:format="DateOnly" ma:internalName="Date1">
      <xsd:simpleType>
        <xsd:restriction base="dms:DateTime"/>
      </xsd:simpleType>
    </xsd:element>
    <xsd:element name="Reply-To" ma:index="23" nillable="true" ma:displayName="Reply-To" ma:internalName="Reply_x002d_To">
      <xsd:simpleType>
        <xsd:restriction base="dms:Text">
          <xsd:maxLength value="255"/>
        </xsd:restriction>
      </xsd:simpleType>
    </xsd:element>
    <xsd:element name="To" ma:index="24" nillable="true" ma:displayName="To" ma:internalName="To">
      <xsd:simpleType>
        <xsd:restriction base="dms:Note">
          <xsd:maxLength value="255"/>
        </xsd:restriction>
      </xsd:simpleType>
    </xsd:element>
    <xsd:element name="Received" ma:index="25" nillable="true" ma:displayName="Received" ma:internalName="Received">
      <xsd:simpleType>
        <xsd:restriction base="dms:Text">
          <xsd:maxLength value="255"/>
        </xsd:restriction>
      </xsd:simpleType>
    </xsd:element>
    <xsd:element name="Attachment" ma:index="26" nillable="true" ma:displayName="Attachment" ma:default="1" ma:internalName="Attachment">
      <xsd:simpleType>
        <xsd:restriction base="dms:Boolean"/>
      </xsd:simpleType>
    </xsd:element>
    <xsd:element name="Sensitivity" ma:index="27" nillable="true" ma:displayName="Sensitivity" ma:internalName="Sensitivity">
      <xsd:simpleType>
        <xsd:restriction base="dms:Text">
          <xsd:maxLength value="255"/>
        </xsd:restriction>
      </xsd:simpleType>
    </xsd:element>
    <xsd:element name="Importance" ma:index="28" nillable="true" ma:displayName="Importance" ma:internalName="Importance">
      <xsd:simpleType>
        <xsd:restriction base="dms:Text">
          <xsd:maxLength value="255"/>
        </xsd:restriction>
      </xsd:simpleType>
    </xsd:element>
    <xsd:element name="In-Reply-To" ma:index="29" nillable="true" ma:displayName="In-Reply-To" ma:internalName="In_x002d_Reply_x002d_To">
      <xsd:simpleType>
        <xsd:restriction base="dms:Text">
          <xsd:maxLength value="255"/>
        </xsd:restriction>
      </xsd:simpleType>
    </xsd:element>
    <xsd:element name="References" ma:index="30" nillable="true" ma:displayName="References" ma:internalName="References">
      <xsd:simpleType>
        <xsd:restriction base="dms:Text">
          <xsd:maxLength value="255"/>
        </xsd:restriction>
      </xsd:simpleType>
    </xsd:element>
    <xsd:element name="Conversation-Index" ma:index="31" nillable="true" ma:displayName="Conversation-Index" ma:hidden="true" ma:internalName="Conversation_x002d_Index">
      <xsd:simpleType>
        <xsd:restriction base="dms:Text">
          <xsd:maxLength value="255"/>
        </xsd:restriction>
      </xsd:simpleType>
    </xsd:element>
    <xsd:element name="MailPreviewData" ma:index="32" nillable="true" ma:displayName="MailPreviewData" ma:hidden="true" ma:internalName="MailPreviewData">
      <xsd:simpleType>
        <xsd:restriction base="dms:Note"/>
      </xsd:simpleType>
    </xsd:element>
    <xsd:element name="Message-ID" ma:index="34" nillable="true" ma:displayName="Message-ID" ma:hidden="true" ma:internalName="Message_x002d_ID">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41"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2A1D3F7-88B9-482B-A657-70271B2E5A9C}">
  <ds:schemaRefs>
    <ds:schemaRef ds:uri="http://schemas.microsoft.com/office/2006/metadata/properties"/>
    <ds:schemaRef ds:uri="http://schemas.microsoft.com/office/infopath/2007/PartnerControls"/>
    <ds:schemaRef ds:uri="bca0bc44-19d1-4824-98a4-321de56310bf"/>
    <ds:schemaRef ds:uri="554b5531-0c2b-4dbd-bf37-7deb61ad4c5e"/>
    <ds:schemaRef ds:uri="http://schemas.microsoft.com/sharepoint/v4"/>
    <ds:schemaRef ds:uri="http://schemas.microsoft.com/sharepoint/v3"/>
  </ds:schemaRefs>
</ds:datastoreItem>
</file>

<file path=customXml/itemProps2.xml><?xml version="1.0" encoding="utf-8"?>
<ds:datastoreItem xmlns:ds="http://schemas.openxmlformats.org/officeDocument/2006/customXml" ds:itemID="{A5AD6A71-853B-4A52-9AF2-D07796B64117}">
  <ds:schemaRefs>
    <ds:schemaRef ds:uri="http://schemas.microsoft.com/sharepoint/v3/contenttype/forms"/>
  </ds:schemaRefs>
</ds:datastoreItem>
</file>

<file path=customXml/itemProps3.xml><?xml version="1.0" encoding="utf-8"?>
<ds:datastoreItem xmlns:ds="http://schemas.openxmlformats.org/officeDocument/2006/customXml" ds:itemID="{9F05A22D-A898-4AB5-9DC8-430479F03851}">
  <ds:schemaRefs>
    <ds:schemaRef ds:uri="http://schemas.microsoft.com/sharepoint/events"/>
  </ds:schemaRefs>
</ds:datastoreItem>
</file>

<file path=customXml/itemProps4.xml><?xml version="1.0" encoding="utf-8"?>
<ds:datastoreItem xmlns:ds="http://schemas.openxmlformats.org/officeDocument/2006/customXml" ds:itemID="{2EB7E490-9647-46C2-BEF8-EB9CD42835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54b5531-0c2b-4dbd-bf37-7deb61ad4c5e"/>
    <ds:schemaRef ds:uri="bca0bc44-19d1-4824-98a4-321de56310bf"/>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Cover</vt:lpstr>
      <vt:lpstr>TOC</vt:lpstr>
      <vt:lpstr>Intro</vt:lpstr>
      <vt:lpstr>EnvEval</vt:lpstr>
      <vt:lpstr>DesignVal</vt:lpstr>
      <vt:lpstr>SpecsDescRules</vt:lpstr>
      <vt:lpstr>FuncEvalItems_Aggregate</vt:lpstr>
      <vt:lpstr>FuncEvalItems_Aggregate_All</vt:lpstr>
      <vt:lpstr>DetailedManual_M1_M8</vt:lpstr>
      <vt:lpstr>DetailedManual_M9_M17</vt:lpstr>
      <vt:lpstr>DetailedManual_M18_M27</vt:lpstr>
      <vt:lpstr>DetailedManual_M28_M37</vt:lpstr>
      <vt:lpstr>DetailedManual_M38_M45</vt:lpstr>
      <vt:lpstr>DetailedManual_M46_M54</vt:lpstr>
      <vt:lpstr>DetailedManual_M55</vt:lpstr>
      <vt:lpstr>OutputSettings</vt:lpstr>
      <vt:lpstr>CmdList</vt:lpstr>
      <vt:lpstr>cinTemplate</vt:lpstr>
      <vt:lpstr>xmlTemplate</vt:lpstr>
      <vt:lpstr>ChangeHistory</vt:lpstr>
      <vt:lpstr>CmdList!Print_Area</vt:lpstr>
      <vt:lpstr>Cover!Print_Area</vt:lpstr>
      <vt:lpstr>DesignVal!Print_Area</vt:lpstr>
      <vt:lpstr>DetailedManual_M38_M45!Print_Area</vt:lpstr>
      <vt:lpstr>DetailedManual_M46_M54!Print_Area</vt:lpstr>
      <vt:lpstr>EnvEval!Print_Area</vt:lpstr>
      <vt:lpstr>FuncEvalItems_Aggregate_All!Print_Area</vt:lpstr>
      <vt:lpstr>Intro!Print_Area</vt:lpstr>
      <vt:lpstr>OutputSettings!Print_Area</vt:lpstr>
      <vt:lpstr>SpecsDescRules!Print_Area</vt:lpstr>
      <vt:lpstr>TOC!Print_Area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Mazda</dc:creator>
  <cp:lastModifiedBy>Nguyen Thanh Nam (RBVH/ESS31)</cp:lastModifiedBy>
  <cp:lastPrinted>2021-03-25T23:55:07Z</cp:lastPrinted>
  <dcterms:created xsi:type="dcterms:W3CDTF">2018-02-21T01:00:35Z</dcterms:created>
  <dcterms:modified xsi:type="dcterms:W3CDTF">2021-10-05T17:32:23Z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0x01010045D38828867BBB41AE465C17D1ED99D801000EB2560D5EF5294EABD530B0D0EF45D4</vt:lpwstr>
  </property>
  <property fmtid="{D5CDD505-2E9C-101B-9397-08002B2CF9AE}" pid="3" name="ecm_ItemDeleteBlockHolders">
    <vt:lpwstr/>
  </property>
  <property fmtid="{D5CDD505-2E9C-101B-9397-08002B2CF9AE}" pid="4" name="ecm_RecordRestrictions">
    <vt:lpwstr/>
  </property>
  <property fmtid="{D5CDD505-2E9C-101B-9397-08002B2CF9AE}" pid="5" name="ecm_ItemLockHolders">
    <vt:lpwstr/>
  </property>
  <property fmtid="{D5CDD505-2E9C-101B-9397-08002B2CF9AE}" pid="6" name="_dlc_DocIdItemGuid">
    <vt:lpwstr>977da978-e33c-40f9-befd-fcf43b663303</vt:lpwstr>
  </property>
  <property fmtid="{D5CDD505-2E9C-101B-9397-08002B2CF9AE}" pid="7" name="ILMRevision">
    <vt:lpwstr/>
  </property>
  <property fmtid="{D5CDD505-2E9C-101B-9397-08002B2CF9AE}" pid="8" name="ConceptualVersion">
    <vt:lpwstr/>
  </property>
  <property fmtid="{D5CDD505-2E9C-101B-9397-08002B2CF9AE}" pid="9" name="ConceptualVersionTreeview">
    <vt:lpwstr/>
  </property>
  <property fmtid="{D5CDD505-2E9C-101B-9397-08002B2CF9AE}" pid="10" name="ILMComments">
    <vt:lpwstr/>
  </property>
  <property fmtid="{D5CDD505-2E9C-101B-9397-08002B2CF9AE}" pid="11" name="ILMExternalReference">
    <vt:lpwstr/>
  </property>
  <property fmtid="{D5CDD505-2E9C-101B-9397-08002B2CF9AE}" pid="12" name="DocIdOfLinkItem">
    <vt:lpwstr/>
  </property>
</Properties>
</file>